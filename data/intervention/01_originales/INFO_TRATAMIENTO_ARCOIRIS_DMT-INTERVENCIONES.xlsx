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afit-my.sharepoint.com/personal/jmunozm1_eafit_edu_co/Documents/Projects/2022_Argos_Vivienda/12_DataSet/"/>
    </mc:Choice>
  </mc:AlternateContent>
  <xr:revisionPtr revIDLastSave="28" documentId="13_ncr:1_{40D5058F-C1D3-4E26-9244-12673C3EA755}" xr6:coauthVersionLast="47" xr6:coauthVersionMax="47" xr10:uidLastSave="{004574F5-1EB4-48D3-BE88-3E059FFF8B3E}"/>
  <bookViews>
    <workbookView xWindow="-108" yWindow="-108" windowWidth="23256" windowHeight="12456" xr2:uid="{3816BAFC-64C2-4631-BCEC-2DBF272AE0EB}"/>
  </bookViews>
  <sheets>
    <sheet name="Hoja2" sheetId="2" r:id="rId1"/>
    <sheet name="Hoja1" sheetId="1" r:id="rId2"/>
  </sheets>
  <definedNames>
    <definedName name="_xlnm._FilterDatabase" localSheetId="1" hidden="1">Hoja1!$A$1:$G$577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H5" i="2"/>
  <c r="C10" i="2"/>
  <c r="C9" i="2"/>
  <c r="C8" i="2"/>
  <c r="C4" i="2"/>
  <c r="C7" i="2"/>
  <c r="C5" i="2"/>
  <c r="C11" i="2"/>
  <c r="C6" i="2"/>
</calcChain>
</file>

<file path=xl/sharedStrings.xml><?xml version="1.0" encoding="utf-8"?>
<sst xmlns="http://schemas.openxmlformats.org/spreadsheetml/2006/main" count="2896" uniqueCount="585">
  <si>
    <t>CONSECUTIVO</t>
  </si>
  <si>
    <t>Número_Documento_Titular</t>
  </si>
  <si>
    <t>Nombres</t>
  </si>
  <si>
    <t>Municipio</t>
  </si>
  <si>
    <t>Hilde cecilia</t>
  </si>
  <si>
    <t>Baranquilla</t>
  </si>
  <si>
    <t>Edgar junior</t>
  </si>
  <si>
    <t xml:space="preserve">Monica mercedes </t>
  </si>
  <si>
    <t>BRAYAN JOSÉ</t>
  </si>
  <si>
    <t>ANDRES FELIPE</t>
  </si>
  <si>
    <t>Karina Maria</t>
  </si>
  <si>
    <t xml:space="preserve">JAIRO ANTONIO </t>
  </si>
  <si>
    <t>Greicy patricia</t>
  </si>
  <si>
    <t>PAULA ANDREA</t>
  </si>
  <si>
    <t xml:space="preserve">Edgar </t>
  </si>
  <si>
    <t xml:space="preserve">FRANCISCO JAVIER </t>
  </si>
  <si>
    <t>Erides maria</t>
  </si>
  <si>
    <t>Holadys</t>
  </si>
  <si>
    <t xml:space="preserve">Yuranis </t>
  </si>
  <si>
    <t>Lizeth de</t>
  </si>
  <si>
    <t>Alidis</t>
  </si>
  <si>
    <t xml:space="preserve">Gabriel </t>
  </si>
  <si>
    <t xml:space="preserve">JULITH VANESSA </t>
  </si>
  <si>
    <t>YURANIS JOHANA</t>
  </si>
  <si>
    <t>ELIZABETH</t>
  </si>
  <si>
    <t>Laury</t>
  </si>
  <si>
    <t>Ivan alberto</t>
  </si>
  <si>
    <t>LAINIS ARNETH</t>
  </si>
  <si>
    <t>América</t>
  </si>
  <si>
    <t xml:space="preserve">Cristina </t>
  </si>
  <si>
    <t xml:space="preserve">José gregorio </t>
  </si>
  <si>
    <t xml:space="preserve">Yenis patricia </t>
  </si>
  <si>
    <t xml:space="preserve">GENY VICTORIA </t>
  </si>
  <si>
    <t xml:space="preserve">Miguel </t>
  </si>
  <si>
    <t>Nancy isabel</t>
  </si>
  <si>
    <t xml:space="preserve">MARIBEL ESTHER </t>
  </si>
  <si>
    <t>Silvia elena</t>
  </si>
  <si>
    <t xml:space="preserve">Islena isabel </t>
  </si>
  <si>
    <t xml:space="preserve">Katherine paola </t>
  </si>
  <si>
    <t>Judith maria</t>
  </si>
  <si>
    <t>Yuldor</t>
  </si>
  <si>
    <t xml:space="preserve">Sivirley </t>
  </si>
  <si>
    <t xml:space="preserve">OLGA LUCIA </t>
  </si>
  <si>
    <t xml:space="preserve">Efigencia </t>
  </si>
  <si>
    <t xml:space="preserve">Kelly johana </t>
  </si>
  <si>
    <t xml:space="preserve">JUAN CARLOS </t>
  </si>
  <si>
    <t xml:space="preserve">CARMEN PATRICIA </t>
  </si>
  <si>
    <t>Miryan rosa</t>
  </si>
  <si>
    <t xml:space="preserve">ROCIO DEL CARMEN </t>
  </si>
  <si>
    <t>YENIFER PAOLA</t>
  </si>
  <si>
    <t xml:space="preserve">José María </t>
  </si>
  <si>
    <t xml:space="preserve">Francisco </t>
  </si>
  <si>
    <t xml:space="preserve">Rodulfo </t>
  </si>
  <si>
    <t>Luis Alberto</t>
  </si>
  <si>
    <t xml:space="preserve">Jose Pedro </t>
  </si>
  <si>
    <t xml:space="preserve">MARTÍN RAFAEL </t>
  </si>
  <si>
    <t>REGINALDO ENRIQUE</t>
  </si>
  <si>
    <t xml:space="preserve">Manuel calixto </t>
  </si>
  <si>
    <t xml:space="preserve">LUCILA </t>
  </si>
  <si>
    <t>Maria</t>
  </si>
  <si>
    <t>Mérida</t>
  </si>
  <si>
    <t xml:space="preserve">Elena Hortencia </t>
  </si>
  <si>
    <t>LUz MARIA</t>
  </si>
  <si>
    <t>Concepción</t>
  </si>
  <si>
    <t xml:space="preserve">ETILBIA </t>
  </si>
  <si>
    <t>Blanca yolanda</t>
  </si>
  <si>
    <t>Nidia</t>
  </si>
  <si>
    <t>Josefa maria</t>
  </si>
  <si>
    <t>Saray María</t>
  </si>
  <si>
    <t xml:space="preserve">Mercedes </t>
  </si>
  <si>
    <t xml:space="preserve">RUTH MERCEDES </t>
  </si>
  <si>
    <t xml:space="preserve">Angelica </t>
  </si>
  <si>
    <t>Yomaira del socorro</t>
  </si>
  <si>
    <t>Dora</t>
  </si>
  <si>
    <t>Ines del rocio</t>
  </si>
  <si>
    <t>Elizabeth maria</t>
  </si>
  <si>
    <t>Gloria</t>
  </si>
  <si>
    <t>Karen johana</t>
  </si>
  <si>
    <t xml:space="preserve">Milagros </t>
  </si>
  <si>
    <t xml:space="preserve">Miladis </t>
  </si>
  <si>
    <t xml:space="preserve">Enis </t>
  </si>
  <si>
    <t xml:space="preserve">Rosalba </t>
  </si>
  <si>
    <t>Diana</t>
  </si>
  <si>
    <t>Lizbeth</t>
  </si>
  <si>
    <t xml:space="preserve">Heidy yomaira </t>
  </si>
  <si>
    <t xml:space="preserve">Rosiris concepción </t>
  </si>
  <si>
    <t>Yolima isabel</t>
  </si>
  <si>
    <t xml:space="preserve">Amalia </t>
  </si>
  <si>
    <t>Monica liliana</t>
  </si>
  <si>
    <t>Ana</t>
  </si>
  <si>
    <t xml:space="preserve">Manuela </t>
  </si>
  <si>
    <t xml:space="preserve">GILBA TERESA </t>
  </si>
  <si>
    <t>EMELINA ROSA</t>
  </si>
  <si>
    <t>EDITH DEL CARMEN</t>
  </si>
  <si>
    <t>Aura helena</t>
  </si>
  <si>
    <t>JEYDI MARIA</t>
  </si>
  <si>
    <t>Yarleni</t>
  </si>
  <si>
    <t>NUBIA LUZ</t>
  </si>
  <si>
    <t>Luisa julio</t>
  </si>
  <si>
    <t xml:space="preserve">Ana isabel </t>
  </si>
  <si>
    <t xml:space="preserve">MARÍA CONCEPCIÓN </t>
  </si>
  <si>
    <t>Berta ester</t>
  </si>
  <si>
    <t>Mara</t>
  </si>
  <si>
    <t xml:space="preserve">Héctor </t>
  </si>
  <si>
    <t>María mercedes</t>
  </si>
  <si>
    <t>Rogelio daniel</t>
  </si>
  <si>
    <t xml:space="preserve">Ana María </t>
  </si>
  <si>
    <t>Maribel</t>
  </si>
  <si>
    <t>Luz helena</t>
  </si>
  <si>
    <t>Juana</t>
  </si>
  <si>
    <t xml:space="preserve">Sol teresa </t>
  </si>
  <si>
    <t>Lía esther</t>
  </si>
  <si>
    <t>Vilma isabel</t>
  </si>
  <si>
    <t>Miladys esther</t>
  </si>
  <si>
    <t xml:space="preserve">GLORIA ESTHER </t>
  </si>
  <si>
    <t xml:space="preserve">Carmen María </t>
  </si>
  <si>
    <t xml:space="preserve">JUDITH CECILIA </t>
  </si>
  <si>
    <t>Enilda</t>
  </si>
  <si>
    <t xml:space="preserve">Dorelis patricia </t>
  </si>
  <si>
    <t xml:space="preserve">YUDIS ISABEL </t>
  </si>
  <si>
    <t xml:space="preserve">Teresa </t>
  </si>
  <si>
    <t>Elsa Regina</t>
  </si>
  <si>
    <t>Nancy esther</t>
  </si>
  <si>
    <t>Ofelia</t>
  </si>
  <si>
    <t>Mara judith</t>
  </si>
  <si>
    <t>Manuela ester</t>
  </si>
  <si>
    <t xml:space="preserve">Ingrid enid </t>
  </si>
  <si>
    <t xml:space="preserve">ENEDITH DEL CARMEN </t>
  </si>
  <si>
    <t>Dalys</t>
  </si>
  <si>
    <t>Patricia yanet</t>
  </si>
  <si>
    <t xml:space="preserve">Piedad 
</t>
  </si>
  <si>
    <t>Eufemia</t>
  </si>
  <si>
    <t>GALINA ISABEL</t>
  </si>
  <si>
    <t xml:space="preserve">Yolanda </t>
  </si>
  <si>
    <t>Virina</t>
  </si>
  <si>
    <t>Doris</t>
  </si>
  <si>
    <t>Gilama rosa</t>
  </si>
  <si>
    <t>Nelci</t>
  </si>
  <si>
    <t xml:space="preserve">Luisa </t>
  </si>
  <si>
    <t>Tulia</t>
  </si>
  <si>
    <t>CAROLINA ESTHER</t>
  </si>
  <si>
    <t xml:space="preserve">Sonia Isabel </t>
  </si>
  <si>
    <t>FIDELINA MARIA</t>
  </si>
  <si>
    <t>DIANA ESTHER</t>
  </si>
  <si>
    <t>Rosalba</t>
  </si>
  <si>
    <t xml:space="preserve">Ingrid Esther </t>
  </si>
  <si>
    <t xml:space="preserve">Esperanza </t>
  </si>
  <si>
    <t>Elena</t>
  </si>
  <si>
    <t xml:space="preserve">MONICA PATRICIA </t>
  </si>
  <si>
    <t xml:space="preserve">Mabel Esther </t>
  </si>
  <si>
    <t>Francia elena</t>
  </si>
  <si>
    <t>aida luz</t>
  </si>
  <si>
    <t>Dilsa maria</t>
  </si>
  <si>
    <t xml:space="preserve">MARIA DE LAD MERCEDES </t>
  </si>
  <si>
    <t xml:space="preserve"> Jhoel </t>
  </si>
  <si>
    <t>Farine</t>
  </si>
  <si>
    <t>Danith</t>
  </si>
  <si>
    <t xml:space="preserve">Argemiro Manuel </t>
  </si>
  <si>
    <t xml:space="preserve">Luz </t>
  </si>
  <si>
    <t xml:space="preserve">Zoila </t>
  </si>
  <si>
    <t xml:space="preserve">CLAUDIA </t>
  </si>
  <si>
    <t xml:space="preserve">Julio </t>
  </si>
  <si>
    <t>Jose</t>
  </si>
  <si>
    <t xml:space="preserve">Erlen </t>
  </si>
  <si>
    <t xml:space="preserve">Javier </t>
  </si>
  <si>
    <t>Marcelino de jesus</t>
  </si>
  <si>
    <t xml:space="preserve">YOFAY LUIS </t>
  </si>
  <si>
    <t>Rafael</t>
  </si>
  <si>
    <t xml:space="preserve">Adolfo </t>
  </si>
  <si>
    <t xml:space="preserve">Wilmer José </t>
  </si>
  <si>
    <t xml:space="preserve">TONY ANIBAL </t>
  </si>
  <si>
    <t xml:space="preserve">César </t>
  </si>
  <si>
    <t xml:space="preserve"> Luis Daniel </t>
  </si>
  <si>
    <t>Jesus rafael</t>
  </si>
  <si>
    <t xml:space="preserve">Rodolfo </t>
  </si>
  <si>
    <t xml:space="preserve">Cesar Cristóbal </t>
  </si>
  <si>
    <t>Ostaciano</t>
  </si>
  <si>
    <t xml:space="preserve">Juan José </t>
  </si>
  <si>
    <t xml:space="preserve">Victor José </t>
  </si>
  <si>
    <t>Hugo alfredo</t>
  </si>
  <si>
    <t>Cristobal maria</t>
  </si>
  <si>
    <t xml:space="preserve">LACIDES </t>
  </si>
  <si>
    <t>Alvaro</t>
  </si>
  <si>
    <t xml:space="preserve">Luis </t>
  </si>
  <si>
    <t xml:space="preserve">Sergio </t>
  </si>
  <si>
    <t xml:space="preserve">Abimael </t>
  </si>
  <si>
    <t xml:space="preserve">IVÁN ENRIQUE </t>
  </si>
  <si>
    <t xml:space="preserve">Agustin alselmo </t>
  </si>
  <si>
    <t>Juan</t>
  </si>
  <si>
    <t>Celso</t>
  </si>
  <si>
    <t>Ricardo Alfredo</t>
  </si>
  <si>
    <t>Pedro de jesus</t>
  </si>
  <si>
    <t xml:space="preserve">Apolinar </t>
  </si>
  <si>
    <t xml:space="preserve">WILFRIDO RAFAEL </t>
  </si>
  <si>
    <t xml:space="preserve">José Luis </t>
  </si>
  <si>
    <t>YAMILE</t>
  </si>
  <si>
    <t>Cali</t>
  </si>
  <si>
    <t xml:space="preserve">Jennifer </t>
  </si>
  <si>
    <t>Laura natali</t>
  </si>
  <si>
    <t>José nain</t>
  </si>
  <si>
    <t>Reinaldo</t>
  </si>
  <si>
    <t>Ninsen  yane</t>
  </si>
  <si>
    <t>LUZ DARY</t>
  </si>
  <si>
    <t>Jania Paola</t>
  </si>
  <si>
    <t xml:space="preserve">Luz estrella </t>
  </si>
  <si>
    <t>Hely jhoana</t>
  </si>
  <si>
    <t xml:space="preserve">Claudia Milena </t>
  </si>
  <si>
    <t>Diana lucero</t>
  </si>
  <si>
    <t>Milton Javier</t>
  </si>
  <si>
    <t>María magnolia</t>
  </si>
  <si>
    <t xml:space="preserve">Anderson </t>
  </si>
  <si>
    <t>Andrés felipe</t>
  </si>
  <si>
    <t>Zoraida</t>
  </si>
  <si>
    <t>MAYRA ALEJANDRA</t>
  </si>
  <si>
    <t xml:space="preserve">Lorena </t>
  </si>
  <si>
    <t xml:space="preserve">Jon jarol </t>
  </si>
  <si>
    <t>Paola</t>
  </si>
  <si>
    <t>Argenis</t>
  </si>
  <si>
    <t>Carlos Alberto</t>
  </si>
  <si>
    <t>Diana Marcela</t>
  </si>
  <si>
    <t xml:space="preserve">Yorleny </t>
  </si>
  <si>
    <t>Luis Angel</t>
  </si>
  <si>
    <t>Marlen</t>
  </si>
  <si>
    <t>Sonia Janeth</t>
  </si>
  <si>
    <t>Fran marden</t>
  </si>
  <si>
    <t xml:space="preserve">FRANCELINE </t>
  </si>
  <si>
    <t>Eliana</t>
  </si>
  <si>
    <t xml:space="preserve">Paola </t>
  </si>
  <si>
    <t>Licet</t>
  </si>
  <si>
    <t xml:space="preserve">July Lorena </t>
  </si>
  <si>
    <t xml:space="preserve">Luis Antonio </t>
  </si>
  <si>
    <t>Jessica andrea</t>
  </si>
  <si>
    <t>Fabio nelson</t>
  </si>
  <si>
    <t>Isabel Cristina</t>
  </si>
  <si>
    <t xml:space="preserve">WILLIAM ESTEBAN </t>
  </si>
  <si>
    <t xml:space="preserve">Yesica </t>
  </si>
  <si>
    <t>NANCY</t>
  </si>
  <si>
    <t>LUIS MIGUEL</t>
  </si>
  <si>
    <t xml:space="preserve">WALTER </t>
  </si>
  <si>
    <t>DAVID FRANCISCO</t>
  </si>
  <si>
    <t xml:space="preserve">LUZ DEI </t>
  </si>
  <si>
    <t>Leidy viviana</t>
  </si>
  <si>
    <t>Angie Lorena</t>
  </si>
  <si>
    <t>Helda Libe</t>
  </si>
  <si>
    <t xml:space="preserve">Yesica Andrea </t>
  </si>
  <si>
    <t>Yohana Andrea</t>
  </si>
  <si>
    <t>José arbey</t>
  </si>
  <si>
    <t>Leydi Tatiana</t>
  </si>
  <si>
    <t xml:space="preserve">KEYLIN ELIANA </t>
  </si>
  <si>
    <t xml:space="preserve">Estefania </t>
  </si>
  <si>
    <t xml:space="preserve">Cindy Katherine </t>
  </si>
  <si>
    <t>JORGE ISMAEL</t>
  </si>
  <si>
    <t>Norma</t>
  </si>
  <si>
    <t>Mario de jesus</t>
  </si>
  <si>
    <t xml:space="preserve">Guillermo </t>
  </si>
  <si>
    <t xml:space="preserve">MIGUEL ÁNGEL </t>
  </si>
  <si>
    <t>OMAR ANDRES</t>
  </si>
  <si>
    <t xml:space="preserve">Yuleydy suhey </t>
  </si>
  <si>
    <t>Omar</t>
  </si>
  <si>
    <t>Gilberto antonio</t>
  </si>
  <si>
    <t xml:space="preserve">Heli </t>
  </si>
  <si>
    <t>HÉCTOR FABIO</t>
  </si>
  <si>
    <t>MARCOS JAVIER P</t>
  </si>
  <si>
    <t>JOSÉ WILSON</t>
  </si>
  <si>
    <t>Eber</t>
  </si>
  <si>
    <t xml:space="preserve">Jorge Enrique </t>
  </si>
  <si>
    <t>JOSE MAURO</t>
  </si>
  <si>
    <t>Jhon jaiver</t>
  </si>
  <si>
    <t>EDUCARDO</t>
  </si>
  <si>
    <t>María Elena</t>
  </si>
  <si>
    <t xml:space="preserve">Lucia </t>
  </si>
  <si>
    <t>Nency</t>
  </si>
  <si>
    <t>Ismenia</t>
  </si>
  <si>
    <t xml:space="preserve">ROSA MARÍA </t>
  </si>
  <si>
    <t xml:space="preserve">MARÍA GRACIELA </t>
  </si>
  <si>
    <t>Carmen rosa</t>
  </si>
  <si>
    <t xml:space="preserve">Ana Cecilia </t>
  </si>
  <si>
    <t xml:space="preserve">MARINA </t>
  </si>
  <si>
    <t xml:space="preserve">MARLENY </t>
  </si>
  <si>
    <t xml:space="preserve">GILBERTO </t>
  </si>
  <si>
    <t xml:space="preserve">Sandra Milena </t>
  </si>
  <si>
    <t>Bella nery</t>
  </si>
  <si>
    <t>Harlen</t>
  </si>
  <si>
    <t>Rossmira</t>
  </si>
  <si>
    <t xml:space="preserve">Aura María </t>
  </si>
  <si>
    <t>Ana. Sofia</t>
  </si>
  <si>
    <t>ANA SENEIDA</t>
  </si>
  <si>
    <t>Gregoria</t>
  </si>
  <si>
    <t xml:space="preserve">MARÍA ELENA </t>
  </si>
  <si>
    <t xml:space="preserve">MARÍA ELEUTERIA </t>
  </si>
  <si>
    <t xml:space="preserve">Laureano </t>
  </si>
  <si>
    <t>María Nubia</t>
  </si>
  <si>
    <t>Aixa maria</t>
  </si>
  <si>
    <t>Mariela</t>
  </si>
  <si>
    <t>Sandra Milena</t>
  </si>
  <si>
    <t xml:space="preserve">Paulo cesar </t>
  </si>
  <si>
    <t>Sandra milena</t>
  </si>
  <si>
    <t xml:space="preserve">GERARDINA </t>
  </si>
  <si>
    <t>María jesus</t>
  </si>
  <si>
    <t>José argiro</t>
  </si>
  <si>
    <t xml:space="preserve">Ana Milena </t>
  </si>
  <si>
    <t>MONICA</t>
  </si>
  <si>
    <t xml:space="preserve">LUZ ENEIDA </t>
  </si>
  <si>
    <t xml:space="preserve">STELLA </t>
  </si>
  <si>
    <t>Bersalina</t>
  </si>
  <si>
    <t>Marlene</t>
  </si>
  <si>
    <t xml:space="preserve">Luz marina </t>
  </si>
  <si>
    <t>Fanny</t>
  </si>
  <si>
    <t>María Miller</t>
  </si>
  <si>
    <t xml:space="preserve">Lilia Marlene </t>
  </si>
  <si>
    <t>Ana elisa</t>
  </si>
  <si>
    <t>Gladis stela</t>
  </si>
  <si>
    <t>GLORIA AMPARO</t>
  </si>
  <si>
    <t xml:space="preserve">Benilda </t>
  </si>
  <si>
    <t>Maricela</t>
  </si>
  <si>
    <t xml:space="preserve">Luz Marina </t>
  </si>
  <si>
    <t xml:space="preserve">LEONOR </t>
  </si>
  <si>
    <t xml:space="preserve">BLANCA INÉS </t>
  </si>
  <si>
    <t xml:space="preserve">María  Lucinda </t>
  </si>
  <si>
    <t>Elida Rosa</t>
  </si>
  <si>
    <t>María Isabelina</t>
  </si>
  <si>
    <t>Ilda maria</t>
  </si>
  <si>
    <t>Fabiola</t>
  </si>
  <si>
    <t>Olga</t>
  </si>
  <si>
    <t>Asuncion</t>
  </si>
  <si>
    <t>María Jesus</t>
  </si>
  <si>
    <t>Aleida</t>
  </si>
  <si>
    <t>Bacilia</t>
  </si>
  <si>
    <t xml:space="preserve">Maria Luz </t>
  </si>
  <si>
    <t>Ninfa maria</t>
  </si>
  <si>
    <t xml:space="preserve">OBDULIA </t>
  </si>
  <si>
    <t>Sandra liliana</t>
  </si>
  <si>
    <t>Ana nolfi</t>
  </si>
  <si>
    <t xml:space="preserve">RUSBITA </t>
  </si>
  <si>
    <t>Martha Isabel</t>
  </si>
  <si>
    <t>Sandra vicky</t>
  </si>
  <si>
    <t xml:space="preserve">ASCENETH </t>
  </si>
  <si>
    <t xml:space="preserve">PASTORA </t>
  </si>
  <si>
    <t>María</t>
  </si>
  <si>
    <t>Fabio de jesus</t>
  </si>
  <si>
    <t xml:space="preserve">Bolívar </t>
  </si>
  <si>
    <t>Basilio</t>
  </si>
  <si>
    <t>María oliva</t>
  </si>
  <si>
    <t xml:space="preserve">Amelia </t>
  </si>
  <si>
    <t>Bolivar</t>
  </si>
  <si>
    <t>Gerardo</t>
  </si>
  <si>
    <t xml:space="preserve">BERNARDITA </t>
  </si>
  <si>
    <t>María rosario</t>
  </si>
  <si>
    <t>Cecilia yasmin</t>
  </si>
  <si>
    <t xml:space="preserve">Argenis </t>
  </si>
  <si>
    <t>Martha Ines</t>
  </si>
  <si>
    <t>Ferney</t>
  </si>
  <si>
    <t>Omar Alberto</t>
  </si>
  <si>
    <t xml:space="preserve">Dilía Franky </t>
  </si>
  <si>
    <t>GLORIA OLAYA DE JESUS</t>
  </si>
  <si>
    <t>Martha cecilia</t>
  </si>
  <si>
    <t xml:space="preserve">CARMEN ALICIA </t>
  </si>
  <si>
    <t>ERMILA</t>
  </si>
  <si>
    <t xml:space="preserve">AURA ELENA </t>
  </si>
  <si>
    <t>María luz dalia</t>
  </si>
  <si>
    <t>Sandra Marlem</t>
  </si>
  <si>
    <t xml:space="preserve">Mauricio </t>
  </si>
  <si>
    <t xml:space="preserve">JESÚS FRANCO </t>
  </si>
  <si>
    <t xml:space="preserve">Laurido  Hernán </t>
  </si>
  <si>
    <t xml:space="preserve">Gerardo </t>
  </si>
  <si>
    <t>Medardo</t>
  </si>
  <si>
    <t>Leonardo</t>
  </si>
  <si>
    <t>Didier</t>
  </si>
  <si>
    <t xml:space="preserve">CESAR AUGUSTO </t>
  </si>
  <si>
    <t xml:space="preserve">Emilio José </t>
  </si>
  <si>
    <t>Geiver</t>
  </si>
  <si>
    <t xml:space="preserve">Jenifer Andrea </t>
  </si>
  <si>
    <t>Medellin</t>
  </si>
  <si>
    <t>Shirley Tatiana</t>
  </si>
  <si>
    <t xml:space="preserve">Isabel Cristina </t>
  </si>
  <si>
    <t>Tatiana Inés</t>
  </si>
  <si>
    <t>Luz Eneida</t>
  </si>
  <si>
    <t>Margarita Isabel</t>
  </si>
  <si>
    <t xml:space="preserve">Doralba </t>
  </si>
  <si>
    <t>Daniel Esmirt</t>
  </si>
  <si>
    <t>Lady  Yulieth</t>
  </si>
  <si>
    <t>Víctor Hugo</t>
  </si>
  <si>
    <t>Luisa Fernanda Jaramillo Jaramillo</t>
  </si>
  <si>
    <t xml:space="preserve">Jenifer Marcela </t>
  </si>
  <si>
    <t>Keila Andrea</t>
  </si>
  <si>
    <t>Carolina del carmen</t>
  </si>
  <si>
    <t>Gloria Gisela</t>
  </si>
  <si>
    <t>Jessica Stefania</t>
  </si>
  <si>
    <t xml:space="preserve">Duvan Alexis </t>
  </si>
  <si>
    <t>Blanca Aliria</t>
  </si>
  <si>
    <t>Sergio Alberto</t>
  </si>
  <si>
    <t xml:space="preserve">Claudia Patricia </t>
  </si>
  <si>
    <t>Hernán de Jesús</t>
  </si>
  <si>
    <t>Marco Tulio</t>
  </si>
  <si>
    <t>Cristián David</t>
  </si>
  <si>
    <t>José Alberto</t>
  </si>
  <si>
    <t xml:space="preserve">Karen </t>
  </si>
  <si>
    <t>Pablo Andrés</t>
  </si>
  <si>
    <t>Jorge Alberto</t>
  </si>
  <si>
    <t xml:space="preserve">Evelin Tatiana </t>
  </si>
  <si>
    <t>Meilyn  paola</t>
  </si>
  <si>
    <t xml:space="preserve">Natalia </t>
  </si>
  <si>
    <t>Carlos Arturo</t>
  </si>
  <si>
    <t>Jenifer julier calle parias</t>
  </si>
  <si>
    <t>Flor Enid Sánchez molina</t>
  </si>
  <si>
    <t xml:space="preserve">María Nubia </t>
  </si>
  <si>
    <t xml:space="preserve">Mario Humberto </t>
  </si>
  <si>
    <t>Yuly Tatiana</t>
  </si>
  <si>
    <t>Yesica Alejandra</t>
  </si>
  <si>
    <t>Leonardo Alonso</t>
  </si>
  <si>
    <t xml:space="preserve">Luis Eduardo Cartagena Vargas </t>
  </si>
  <si>
    <t xml:space="preserve">Edelmira </t>
  </si>
  <si>
    <t>Paula Andrea</t>
  </si>
  <si>
    <t xml:space="preserve">Luz Amparo </t>
  </si>
  <si>
    <t xml:space="preserve">Yanfary </t>
  </si>
  <si>
    <t>Sindy Yomara</t>
  </si>
  <si>
    <t xml:space="preserve">Eber Arley </t>
  </si>
  <si>
    <t>Aleidy Andrea</t>
  </si>
  <si>
    <t>Alba Lucía</t>
  </si>
  <si>
    <t xml:space="preserve">María Adalisve rincón </t>
  </si>
  <si>
    <t>Maria Viglenisa</t>
  </si>
  <si>
    <t>Gloria de Jesús</t>
  </si>
  <si>
    <t>Fabia Margarita</t>
  </si>
  <si>
    <t xml:space="preserve">Gloria Eunice </t>
  </si>
  <si>
    <t xml:space="preserve">María Mercedes </t>
  </si>
  <si>
    <t>Fany de jesus</t>
  </si>
  <si>
    <t>Luz omaira</t>
  </si>
  <si>
    <t xml:space="preserve">Marta Lilia </t>
  </si>
  <si>
    <t>Luz marina</t>
  </si>
  <si>
    <t>Maria franquelina</t>
  </si>
  <si>
    <t>Beatriz Elena</t>
  </si>
  <si>
    <t xml:space="preserve">Berta oliva </t>
  </si>
  <si>
    <t>Blanca emilia</t>
  </si>
  <si>
    <t>Martha ligia</t>
  </si>
  <si>
    <t>Nancy elena</t>
  </si>
  <si>
    <t>Maria Magnolia</t>
  </si>
  <si>
    <t>María Dolore</t>
  </si>
  <si>
    <t>María franquelina</t>
  </si>
  <si>
    <t>Maria Doriela</t>
  </si>
  <si>
    <t xml:space="preserve">Ana de Jesús </t>
  </si>
  <si>
    <t>Laura Rosa</t>
  </si>
  <si>
    <t>Martha Alicia</t>
  </si>
  <si>
    <t>Ruperto eliecer</t>
  </si>
  <si>
    <t xml:space="preserve">Gloria Elena </t>
  </si>
  <si>
    <t>María Inés</t>
  </si>
  <si>
    <t>Maria isidora</t>
  </si>
  <si>
    <t xml:space="preserve">María Otilia </t>
  </si>
  <si>
    <t>Joaquín Guillermo</t>
  </si>
  <si>
    <t xml:space="preserve">María Justiniano </t>
  </si>
  <si>
    <t>Luz Marina</t>
  </si>
  <si>
    <t xml:space="preserve">Bertha Inés </t>
  </si>
  <si>
    <t>María cecilia</t>
  </si>
  <si>
    <t>María Aura</t>
  </si>
  <si>
    <t>María Oliva</t>
  </si>
  <si>
    <t>Maria Odila</t>
  </si>
  <si>
    <t>Maria Eulalia</t>
  </si>
  <si>
    <t xml:space="preserve">Libia del Socorro </t>
  </si>
  <si>
    <t>Liliana del Socorro</t>
  </si>
  <si>
    <t>Argemiro Muñoz roldan</t>
  </si>
  <si>
    <t xml:space="preserve">Martina Sara </t>
  </si>
  <si>
    <t>Luz Dary</t>
  </si>
  <si>
    <t xml:space="preserve">María Eugenia </t>
  </si>
  <si>
    <t>John Jairo</t>
  </si>
  <si>
    <t>Yadys Patricia</t>
  </si>
  <si>
    <t xml:space="preserve">Sulinda Patricia </t>
  </si>
  <si>
    <t xml:space="preserve">Gloria Amparo </t>
  </si>
  <si>
    <t xml:space="preserve">Omaira </t>
  </si>
  <si>
    <t>Yarledys tatiana correa</t>
  </si>
  <si>
    <t>Elena Rocio Torres Lozano</t>
  </si>
  <si>
    <t>Celina</t>
  </si>
  <si>
    <t xml:space="preserve">Ana delfa </t>
  </si>
  <si>
    <t xml:space="preserve">Maria Amparo </t>
  </si>
  <si>
    <t xml:space="preserve">Maria Teresa </t>
  </si>
  <si>
    <t>Aura Cely</t>
  </si>
  <si>
    <t>Ana Felinda</t>
  </si>
  <si>
    <t>Bertha Alicia</t>
  </si>
  <si>
    <t>Marleni del socorro</t>
  </si>
  <si>
    <t xml:space="preserve">Ana Lilia </t>
  </si>
  <si>
    <t>Jerly Cristina</t>
  </si>
  <si>
    <t>Marcelino</t>
  </si>
  <si>
    <t xml:space="preserve">Luis Arturo </t>
  </si>
  <si>
    <t>Dora helena Cardona hernandez</t>
  </si>
  <si>
    <t>Morelia de Jesus</t>
  </si>
  <si>
    <t>Luz Jhaneth</t>
  </si>
  <si>
    <t>Cruz berarda Morales Morales</t>
  </si>
  <si>
    <t>María Consuelo parra ospina</t>
  </si>
  <si>
    <t>Argelis</t>
  </si>
  <si>
    <t>Amparo de Jesús higuita echavarria</t>
  </si>
  <si>
    <t xml:space="preserve">Luz Miriam </t>
  </si>
  <si>
    <t xml:space="preserve">Jhoana Marcela </t>
  </si>
  <si>
    <t>Ángela Gloria</t>
  </si>
  <si>
    <t xml:space="preserve">Edilma de Jesús </t>
  </si>
  <si>
    <t>Manuel José montaya muñoz</t>
  </si>
  <si>
    <t xml:space="preserve">Luz Marina del socorro </t>
  </si>
  <si>
    <t>María sobeiba Martínez marin</t>
  </si>
  <si>
    <t>María Araceli</t>
  </si>
  <si>
    <t xml:space="preserve">Maria Alba Luz </t>
  </si>
  <si>
    <t>María Dolores</t>
  </si>
  <si>
    <t>María Ninfa Higuita</t>
  </si>
  <si>
    <t>Dasney Maria</t>
  </si>
  <si>
    <t>Elizabeth del Socorro</t>
  </si>
  <si>
    <t xml:space="preserve">Argel María </t>
  </si>
  <si>
    <t>Luz margod Montoya mesa</t>
  </si>
  <si>
    <t>Maria Dilbia</t>
  </si>
  <si>
    <t>Victoria Eugenia</t>
  </si>
  <si>
    <t>Rosa Delfa</t>
  </si>
  <si>
    <t>María Noelia</t>
  </si>
  <si>
    <t>Viviana Edith</t>
  </si>
  <si>
    <t>Isabel</t>
  </si>
  <si>
    <t>María Nelly</t>
  </si>
  <si>
    <t>Astrid elena vallejo</t>
  </si>
  <si>
    <t xml:space="preserve">Luzeida del Socorro </t>
  </si>
  <si>
    <t xml:space="preserve">Graciela </t>
  </si>
  <si>
    <t>Maria Rosalba</t>
  </si>
  <si>
    <t>Miriam</t>
  </si>
  <si>
    <t>Luz dari</t>
  </si>
  <si>
    <t>Rocio Orozco Munoz</t>
  </si>
  <si>
    <t>Luz Mirian Del Socorro Mesa Tamayo</t>
  </si>
  <si>
    <t>Ester Marina</t>
  </si>
  <si>
    <t>María nubia</t>
  </si>
  <si>
    <t>Monica María</t>
  </si>
  <si>
    <t>Alba Inés</t>
  </si>
  <si>
    <t xml:space="preserve">Gildardo Antonio </t>
  </si>
  <si>
    <t>Etergiria del Socorro</t>
  </si>
  <si>
    <t>María del rosario</t>
  </si>
  <si>
    <t>Luz ella</t>
  </si>
  <si>
    <t>Luz Marina buitrago</t>
  </si>
  <si>
    <t>Claudia  Solena</t>
  </si>
  <si>
    <t>Margo Borja Echavarria</t>
  </si>
  <si>
    <t xml:space="preserve">María Emilce </t>
  </si>
  <si>
    <t>Gustavo de jesus</t>
  </si>
  <si>
    <t xml:space="preserve">Ana del Carmen </t>
  </si>
  <si>
    <t xml:space="preserve">Susana </t>
  </si>
  <si>
    <t>Blanca nubia Muñoz Garcia</t>
  </si>
  <si>
    <t xml:space="preserve">Diana María </t>
  </si>
  <si>
    <t>Jorge enrrique corre zerna</t>
  </si>
  <si>
    <t xml:space="preserve">Astrid Yuveine </t>
  </si>
  <si>
    <t>Jhon Mario</t>
  </si>
  <si>
    <t>Lidis del carmen</t>
  </si>
  <si>
    <t>Maria Estrella del Socorro</t>
  </si>
  <si>
    <t>Marleny de Jesús</t>
  </si>
  <si>
    <t>María Yolanda</t>
  </si>
  <si>
    <t>Lidia María</t>
  </si>
  <si>
    <t>Viviana maria</t>
  </si>
  <si>
    <t>Viviana del Carmen</t>
  </si>
  <si>
    <t xml:space="preserve">Ruth Bibiana </t>
  </si>
  <si>
    <t xml:space="preserve">Judy Mercedes </t>
  </si>
  <si>
    <t>Armando Antonio</t>
  </si>
  <si>
    <t xml:space="preserve">Francisco Eliseo </t>
  </si>
  <si>
    <t xml:space="preserve">Walter Antonio </t>
  </si>
  <si>
    <t xml:space="preserve">Lucas </t>
  </si>
  <si>
    <t xml:space="preserve">Rodrigo Andrés </t>
  </si>
  <si>
    <t>Juan de Jesus</t>
  </si>
  <si>
    <t>Andrés Mauricio Vasquez</t>
  </si>
  <si>
    <t xml:space="preserve">Carlos Fernando </t>
  </si>
  <si>
    <t xml:space="preserve">Eduard </t>
  </si>
  <si>
    <t>Jorge Nelson</t>
  </si>
  <si>
    <t>León Dario</t>
  </si>
  <si>
    <t>Javier Alonso Perez</t>
  </si>
  <si>
    <t>Rubén Dario</t>
  </si>
  <si>
    <t>Jesús Antonio</t>
  </si>
  <si>
    <t>Pedro José Bustamante Ortiz</t>
  </si>
  <si>
    <t>ETAPA</t>
  </si>
  <si>
    <t>Tratamiento</t>
  </si>
  <si>
    <t>PROYECTO</t>
  </si>
  <si>
    <t>HOGARES SALUDABLES MEDELLÍN</t>
  </si>
  <si>
    <t>Hogares Saludables YUMBO</t>
  </si>
  <si>
    <t>HOGARES SALUDABLES CALI</t>
  </si>
  <si>
    <t>Hogares Saludables BARRANQUILLA</t>
  </si>
  <si>
    <t>HOGARES SALUDABLES BARRANQUILLA</t>
  </si>
  <si>
    <t>INTERVENCIONES</t>
  </si>
  <si>
    <t>BAÑOS COCINA</t>
  </si>
  <si>
    <t>BAÑOS PISOS</t>
  </si>
  <si>
    <t>PISOS COCINA</t>
  </si>
  <si>
    <t>BAÑOS PISOS COCINA</t>
  </si>
  <si>
    <t>PISOS</t>
  </si>
  <si>
    <t>BAÑOS</t>
  </si>
  <si>
    <t>COCINA</t>
  </si>
  <si>
    <t xml:space="preserve">Karolay </t>
  </si>
  <si>
    <t xml:space="preserve">XIOMARA </t>
  </si>
  <si>
    <t>Etiquetas de fila</t>
  </si>
  <si>
    <t>#N/D</t>
  </si>
  <si>
    <t>(en blanco)</t>
  </si>
  <si>
    <t>Total general</t>
  </si>
  <si>
    <t>Cuenta de INTERVENCIONES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</si>
</sst>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 applyAlignment="1">
      <alignment wrapText="1"/>
    </xf>
    <xf numFmtId="0" fontId="3" fillId="0" borderId="0" xfId="0" applyFont="1"/>
    <xf numFmtId="1" fontId="3" fillId="0" borderId="0" xfId="0" applyNumberFormat="1" applyFont="1"/>
    <xf numFmtId="0" fontId="3" fillId="3" borderId="0" xfId="0" applyFont="1" applyFill="1"/>
    <xf numFmtId="1" fontId="3" fillId="3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4" fillId="2" borderId="0" xfId="0" applyFont="1" applyFill="1"/>
    <xf numFmtId="1" fontId="5" fillId="4" borderId="0" xfId="0" applyNumberFormat="1" applyFont="1" applyFill="1"/>
    <xf numFmtId="0" fontId="5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[INFO_TRATAMIENTO_ARCOIRIS_DMT-INTERVENCIONES.xlsx]Hoja2!TablaDinámica1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Hoja2!$A$4:$A$13</c:f>
              <c:strCache>
                <c:ptCount val="9"/>
                <c:pt idx="0">
                  <c:v>BAÑOS</c:v>
                </c:pt>
                <c:pt idx="1">
                  <c:v>BAÑOS COCINA</c:v>
                </c:pt>
                <c:pt idx="2">
                  <c:v>BAÑOS PISOS</c:v>
                </c:pt>
                <c:pt idx="3">
                  <c:v>BAÑOS PISOS COCINA</c:v>
                </c:pt>
                <c:pt idx="4">
                  <c:v>COCINA</c:v>
                </c:pt>
                <c:pt idx="5">
                  <c:v>PISOS</c:v>
                </c:pt>
                <c:pt idx="6">
                  <c:v>PISOS COCINA</c:v>
                </c:pt>
                <c:pt idx="7">
                  <c:v>#N/D</c:v>
                </c:pt>
                <c:pt idx="8">
                  <c:v>(en blanco)</c:v>
                </c:pt>
              </c:strCache>
            </c:strRef>
          </c:cat>
          <c:val>
            <c:numRef>
              <c:f>Hoja2!$B$4:$B$13</c:f>
              <c:numCache>
                <c:formatCode>General</c:formatCode>
                <c:ptCount val="9"/>
                <c:pt idx="0">
                  <c:v>48</c:v>
                </c:pt>
                <c:pt idx="1">
                  <c:v>261</c:v>
                </c:pt>
                <c:pt idx="2">
                  <c:v>37</c:v>
                </c:pt>
                <c:pt idx="3">
                  <c:v>90</c:v>
                </c:pt>
                <c:pt idx="4">
                  <c:v>26</c:v>
                </c:pt>
                <c:pt idx="5">
                  <c:v>33</c:v>
                </c:pt>
                <c:pt idx="6">
                  <c:v>78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3-46EF-85D5-9976ABD9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790751"/>
        <c:axId val="731785951"/>
      </c:barChart>
      <c:catAx>
        <c:axId val="7317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1785951"/>
        <c:crosses val="autoZero"/>
        <c:auto val="1"/>
        <c:lblAlgn val="ctr"/>
        <c:lblOffset val="100"/>
        <c:noMultiLvlLbl val="0"/>
      </c:catAx>
      <c:valAx>
        <c:axId val="7317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179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754380</xdr:colOff>
      <xdr:row>1</xdr:row>
      <xdr:rowOff>171450</xdr:rowOff>
    </xdr:from>
    <xdr:to>
      <xdr:col>10</xdr:col>
      <xdr:colOff>693420</xdr:colOff>
      <xdr:row>19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299ED6-8990-7F08-4CC4-8147276DA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a Mejía Tejada" refreshedDate="45362.643818750003" createdVersion="8" refreshedVersion="8" minRefreshableVersion="3" recordCount="579" xr:uid="{F59ABACF-722A-467A-AFFA-013528CFEFEA}">
  <cacheSource type="worksheet">
    <worksheetSource ref="A1:G1048576" sheet="Hoja1"/>
  </cacheSource>
  <cacheFields count="7">
    <cacheField name="CONSECUTIVO" numFmtId="0">
      <sharedItems containsString="0" containsBlank="1" containsNumber="1" containsInteger="1" minValue="1" maxValue="578"/>
    </cacheField>
    <cacheField name="Número_Documento_Titular" numFmtId="0">
      <sharedItems containsString="0" containsBlank="1" containsNumber="1" containsInteger="1" minValue="670254" maxValue="1214733443"/>
    </cacheField>
    <cacheField name="Nombres" numFmtId="0">
      <sharedItems containsBlank="1"/>
    </cacheField>
    <cacheField name="Municipio" numFmtId="0">
      <sharedItems containsBlank="1"/>
    </cacheField>
    <cacheField name="ETAPA" numFmtId="0">
      <sharedItems containsBlank="1"/>
    </cacheField>
    <cacheField name="INTERVENCIONES" numFmtId="0">
      <sharedItems containsBlank="1" count="9">
        <s v="PISOS COCINA"/>
        <s v="BAÑOS COCINA"/>
        <s v="BAÑOS PISOS"/>
        <s v="BAÑOS PISOS COCINA"/>
        <s v="BAÑOS"/>
        <s v="PISOS"/>
        <s v="COCINA"/>
        <e v="#N/A"/>
        <m/>
      </sharedItems>
    </cacheField>
    <cacheField name="PROYEC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n v="1"/>
    <n v="1001851457"/>
    <s v="Hilde cecilia"/>
    <s v="Baranquilla"/>
    <s v="Tratamiento"/>
    <x v="0"/>
    <s v="Hogares Saludables BARRANQUILLA"/>
  </r>
  <r>
    <n v="2"/>
    <n v="1002130477"/>
    <s v="Edgar junior"/>
    <s v="Baranquilla"/>
    <s v="Tratamiento"/>
    <x v="0"/>
    <s v="Hogares Saludables BARRANQUILLA"/>
  </r>
  <r>
    <n v="3"/>
    <n v="1002155243"/>
    <s v="Monica mercedes "/>
    <s v="Baranquilla"/>
    <s v="Tratamiento"/>
    <x v="1"/>
    <s v="Hogares Saludables BARRANQUILLA"/>
  </r>
  <r>
    <n v="4"/>
    <n v="1007132436"/>
    <s v="BRAYAN JOSÉ"/>
    <s v="Baranquilla"/>
    <s v="Tratamiento"/>
    <x v="0"/>
    <s v="Hogares Saludables BARRANQUILLA"/>
  </r>
  <r>
    <n v="5"/>
    <n v="1007175950"/>
    <s v="ANDRES FELIPE"/>
    <s v="Baranquilla"/>
    <s v="Tratamiento"/>
    <x v="2"/>
    <s v="Hogares Saludables BARRANQUILLA"/>
  </r>
  <r>
    <n v="6"/>
    <n v="1010119253"/>
    <s v="Karina Maria"/>
    <s v="Baranquilla"/>
    <s v="Tratamiento"/>
    <x v="1"/>
    <s v="Hogares Saludables BARRANQUILLA"/>
  </r>
  <r>
    <n v="7"/>
    <n v="10122125"/>
    <s v="JAIRO ANTONIO "/>
    <s v="Baranquilla"/>
    <s v="Tratamiento"/>
    <x v="2"/>
    <s v="Hogares Saludables BARRANQUILLA"/>
  </r>
  <r>
    <n v="8"/>
    <n v="1043435114"/>
    <s v="Greicy patricia"/>
    <s v="Baranquilla"/>
    <s v="Tratamiento"/>
    <x v="1"/>
    <s v="Hogares Saludables BARRANQUILLA"/>
  </r>
  <r>
    <n v="9"/>
    <n v="1043665208"/>
    <s v="PAULA ANDREA"/>
    <s v="Baranquilla"/>
    <s v="Tratamiento"/>
    <x v="0"/>
    <s v="Hogares Saludables BARRANQUILLA"/>
  </r>
  <r>
    <n v="10"/>
    <n v="1045677797"/>
    <s v="Edgar "/>
    <s v="Baranquilla"/>
    <s v="Tratamiento"/>
    <x v="0"/>
    <s v="Hogares Saludables BARRANQUILLA"/>
  </r>
  <r>
    <n v="11"/>
    <n v="1045678951"/>
    <s v="FRANCISCO JAVIER "/>
    <s v="Baranquilla"/>
    <s v="Tratamiento"/>
    <x v="3"/>
    <s v="Hogares Saludables BARRANQUILLA"/>
  </r>
  <r>
    <n v="12"/>
    <n v="1045679578"/>
    <s v="Erides maria"/>
    <s v="Baranquilla"/>
    <s v="Tratamiento"/>
    <x v="0"/>
    <s v="Hogares Saludables BARRANQUILLA"/>
  </r>
  <r>
    <n v="13"/>
    <n v="1045683391"/>
    <s v="Holadys"/>
    <s v="Baranquilla"/>
    <s v="Tratamiento"/>
    <x v="3"/>
    <s v="Hogares Saludables BARRANQUILLA"/>
  </r>
  <r>
    <n v="14"/>
    <n v="1045684410"/>
    <s v="Yuranis "/>
    <s v="Baranquilla"/>
    <s v="Tratamiento"/>
    <x v="0"/>
    <s v="Hogares Saludables BARRANQUILLA"/>
  </r>
  <r>
    <n v="15"/>
    <n v="1045685911"/>
    <s v="Lizeth de"/>
    <s v="Baranquilla"/>
    <s v="Tratamiento"/>
    <x v="1"/>
    <s v="Hogares Saludables BARRANQUILLA"/>
  </r>
  <r>
    <n v="16"/>
    <n v="1045691917"/>
    <s v="Alidis"/>
    <s v="Baranquilla"/>
    <s v="Tratamiento"/>
    <x v="4"/>
    <s v="Hogares Saludables BARRANQUILLA"/>
  </r>
  <r>
    <n v="17"/>
    <n v="1045724437"/>
    <s v="Gabriel "/>
    <s v="Baranquilla"/>
    <s v="Tratamiento"/>
    <x v="3"/>
    <s v="Hogares Saludables BARRANQUILLA"/>
  </r>
  <r>
    <n v="18"/>
    <n v="1045731398"/>
    <s v="JULITH VANESSA "/>
    <s v="Baranquilla"/>
    <s v="Tratamiento"/>
    <x v="1"/>
    <s v="Hogares Saludables BARRANQUILLA"/>
  </r>
  <r>
    <n v="19"/>
    <n v="1045741495"/>
    <s v="YURANIS JOHANA"/>
    <s v="Baranquilla"/>
    <s v="Tratamiento"/>
    <x v="0"/>
    <s v="Hogares Saludables BARRANQUILLA"/>
  </r>
  <r>
    <n v="20"/>
    <n v="1045743889"/>
    <s v="ELIZABETH"/>
    <s v="Baranquilla"/>
    <s v="Tratamiento"/>
    <x v="4"/>
    <s v="Hogares Saludables BARRANQUILLA"/>
  </r>
  <r>
    <n v="21"/>
    <n v="1045746691"/>
    <s v="Laury"/>
    <s v="Baranquilla"/>
    <s v="Tratamiento"/>
    <x v="3"/>
    <s v="Hogares Saludables BARRANQUILLA"/>
  </r>
  <r>
    <n v="22"/>
    <n v="1045748346"/>
    <s v="Ivan alberto"/>
    <s v="Baranquilla"/>
    <s v="Tratamiento"/>
    <x v="1"/>
    <s v="Hogares Saludables BARRANQUILLA"/>
  </r>
  <r>
    <n v="23"/>
    <n v="1045759593"/>
    <s v="LAINIS ARNETH"/>
    <s v="Baranquilla"/>
    <s v="Tratamiento"/>
    <x v="1"/>
    <s v="Hogares Saludables BARRANQUILLA"/>
  </r>
  <r>
    <n v="24"/>
    <n v="1047048484"/>
    <s v="América"/>
    <s v="Baranquilla"/>
    <s v="Tratamiento"/>
    <x v="0"/>
    <s v="Hogares Saludables BARRANQUILLA"/>
  </r>
  <r>
    <n v="25"/>
    <n v="1047221609"/>
    <s v="Cristina "/>
    <s v="Baranquilla"/>
    <s v="Tratamiento"/>
    <x v="1"/>
    <s v="Hogares Saludables BARRANQUILLA"/>
  </r>
  <r>
    <n v="26"/>
    <n v="1047223166"/>
    <s v="José gregorio "/>
    <s v="Baranquilla"/>
    <s v="Tratamiento"/>
    <x v="0"/>
    <s v="Hogares Saludables BARRANQUILLA"/>
  </r>
  <r>
    <n v="27"/>
    <n v="1047226056"/>
    <s v="Yenis patricia "/>
    <s v="Baranquilla"/>
    <s v="Tratamiento"/>
    <x v="2"/>
    <s v="Hogares Saludables BARRANQUILLA"/>
  </r>
  <r>
    <n v="28"/>
    <n v="1047227573"/>
    <s v="GENY VICTORIA "/>
    <s v="Baranquilla"/>
    <s v="Tratamiento"/>
    <x v="0"/>
    <s v="Hogares Saludables BARRANQUILLA"/>
  </r>
  <r>
    <n v="29"/>
    <n v="1048220109"/>
    <s v="Miguel "/>
    <s v="Baranquilla"/>
    <s v="Tratamiento"/>
    <x v="0"/>
    <s v="Hogares Saludables BARRANQUILLA"/>
  </r>
  <r>
    <n v="30"/>
    <n v="1129487310"/>
    <s v="Nancy isabel"/>
    <s v="Baranquilla"/>
    <s v="Tratamiento"/>
    <x v="3"/>
    <s v="Hogares Saludables BARRANQUILLA"/>
  </r>
  <r>
    <n v="31"/>
    <n v="1129497775"/>
    <s v="MARIBEL ESTHER "/>
    <s v="Baranquilla"/>
    <s v="Tratamiento"/>
    <x v="3"/>
    <s v="Hogares Saludables BARRANQUILLA"/>
  </r>
  <r>
    <n v="32"/>
    <n v="1129498810"/>
    <s v="Silvia elena"/>
    <s v="Baranquilla"/>
    <s v="Tratamiento"/>
    <x v="1"/>
    <s v="Hogares Saludables BARRANQUILLA"/>
  </r>
  <r>
    <n v="33"/>
    <n v="1129520081"/>
    <s v="Islena isabel "/>
    <s v="Baranquilla"/>
    <s v="Tratamiento"/>
    <x v="3"/>
    <s v="Hogares Saludables BARRANQUILLA"/>
  </r>
  <r>
    <n v="34"/>
    <n v="1129566300"/>
    <s v="Katherine paola "/>
    <s v="Baranquilla"/>
    <s v="Tratamiento"/>
    <x v="1"/>
    <s v="Hogares Saludables BARRANQUILLA"/>
  </r>
  <r>
    <n v="35"/>
    <n v="1140822745"/>
    <s v="Judith maria"/>
    <s v="Baranquilla"/>
    <s v="Tratamiento"/>
    <x v="5"/>
    <s v="Hogares Saludables BARRANQUILLA"/>
  </r>
  <r>
    <n v="36"/>
    <n v="1140837632"/>
    <s v="Yuldor"/>
    <s v="Baranquilla"/>
    <s v="Tratamiento"/>
    <x v="5"/>
    <s v="Hogares Saludables BARRANQUILLA"/>
  </r>
  <r>
    <n v="37"/>
    <n v="1143224673"/>
    <s v="Sivirley "/>
    <s v="Baranquilla"/>
    <s v="Tratamiento"/>
    <x v="1"/>
    <s v="Hogares Saludables BARRANQUILLA"/>
  </r>
  <r>
    <n v="38"/>
    <n v="1143229612"/>
    <s v="OLGA LUCIA "/>
    <s v="Baranquilla"/>
    <s v="Tratamiento"/>
    <x v="3"/>
    <s v="Hogares Saludables BARRANQUILLA"/>
  </r>
  <r>
    <n v="39"/>
    <n v="1143243433"/>
    <s v="Efigencia "/>
    <s v="Baranquilla"/>
    <s v="Tratamiento"/>
    <x v="0"/>
    <s v="Hogares Saludables BARRANQUILLA"/>
  </r>
  <r>
    <n v="40"/>
    <n v="1143246211"/>
    <s v="Kelly johana "/>
    <s v="Baranquilla"/>
    <s v="Tratamiento"/>
    <x v="3"/>
    <s v="Hogares Saludables BARRANQUILLA"/>
  </r>
  <r>
    <n v="41"/>
    <n v="1143247447"/>
    <s v="JUAN CARLOS "/>
    <s v="Baranquilla"/>
    <s v="Tratamiento"/>
    <x v="0"/>
    <s v="Hogares Saludables BARRANQUILLA"/>
  </r>
  <r>
    <n v="42"/>
    <n v="1143259102"/>
    <s v="CARMEN PATRICIA "/>
    <s v="Baranquilla"/>
    <s v="Tratamiento"/>
    <x v="0"/>
    <s v="Hogares Saludables BARRANQUILLA"/>
  </r>
  <r>
    <n v="43"/>
    <n v="1149440235"/>
    <s v="Miryan rosa"/>
    <s v="Baranquilla"/>
    <s v="Tratamiento"/>
    <x v="0"/>
    <s v="Hogares Saludables BARRANQUILLA"/>
  </r>
  <r>
    <n v="44"/>
    <n v="1193327320"/>
    <s v="ROCIO DEL CARMEN "/>
    <s v="Baranquilla"/>
    <s v="Tratamiento"/>
    <x v="3"/>
    <s v="Hogares Saludables BARRANQUILLA"/>
  </r>
  <r>
    <n v="45"/>
    <n v="1193371842"/>
    <s v="YENIFER PAOLA"/>
    <s v="Baranquilla"/>
    <s v="Tratamiento"/>
    <x v="0"/>
    <s v="Hogares Saludables BARRANQUILLA"/>
  </r>
  <r>
    <n v="46"/>
    <n v="12534970"/>
    <s v="José María "/>
    <s v="Baranquilla"/>
    <s v="Tratamiento"/>
    <x v="2"/>
    <s v="Hogares Saludables BARRANQUILLA"/>
  </r>
  <r>
    <n v="47"/>
    <n v="12549369"/>
    <s v="Francisco "/>
    <s v="Baranquilla"/>
    <s v="Tratamiento"/>
    <x v="0"/>
    <s v="Hogares Saludables BARRANQUILLA"/>
  </r>
  <r>
    <n v="48"/>
    <n v="13665069"/>
    <s v="Rodulfo "/>
    <s v="Baranquilla"/>
    <s v="Tratamiento"/>
    <x v="0"/>
    <s v="Hogares Saludables BARRANQUILLA"/>
  </r>
  <r>
    <n v="49"/>
    <n v="17152604"/>
    <s v="Luis Alberto"/>
    <s v="Baranquilla"/>
    <s v="Tratamiento"/>
    <x v="5"/>
    <s v="Hogares Saludables BARRANQUILLA"/>
  </r>
  <r>
    <n v="50"/>
    <n v="17808718"/>
    <s v="Jose Pedro "/>
    <s v="Baranquilla"/>
    <s v="Tratamiento"/>
    <x v="1"/>
    <s v="Hogares Saludables BARRANQUILLA"/>
  </r>
  <r>
    <n v="51"/>
    <n v="17849804"/>
    <s v="MARTÍN RAFAEL "/>
    <s v="Baranquilla"/>
    <s v="Tratamiento"/>
    <x v="0"/>
    <s v="Hogares Saludables BARRANQUILLA"/>
  </r>
  <r>
    <n v="52"/>
    <n v="18932393"/>
    <s v="REGINALDO ENRIQUE"/>
    <s v="Baranquilla"/>
    <s v="Tratamiento"/>
    <x v="1"/>
    <s v="Hogares Saludables BARRANQUILLA"/>
  </r>
  <r>
    <n v="53"/>
    <n v="19582075"/>
    <s v="Manuel calixto "/>
    <s v="Baranquilla"/>
    <s v="Tratamiento"/>
    <x v="0"/>
    <s v="Hogares Saludables BARRANQUILLA"/>
  </r>
  <r>
    <n v="54"/>
    <n v="22295551"/>
    <s v="LUCILA "/>
    <s v="Baranquilla"/>
    <s v="Tratamiento"/>
    <x v="1"/>
    <s v="Hogares Saludables BARRANQUILLA"/>
  </r>
  <r>
    <n v="55"/>
    <n v="22304817"/>
    <s v="Maria"/>
    <s v="Baranquilla"/>
    <s v="Tratamiento"/>
    <x v="3"/>
    <s v="Hogares Saludables BARRANQUILLA"/>
  </r>
  <r>
    <n v="56"/>
    <n v="22333001"/>
    <s v="Mérida"/>
    <s v="Baranquilla"/>
    <s v="Tratamiento"/>
    <x v="5"/>
    <s v="Hogares Saludables BARRANQUILLA"/>
  </r>
  <r>
    <n v="57"/>
    <n v="22365884"/>
    <s v="Elena Hortencia "/>
    <s v="Baranquilla"/>
    <s v="Tratamiento"/>
    <x v="3"/>
    <s v="Hogares Saludables BARRANQUILLA"/>
  </r>
  <r>
    <n v="58"/>
    <n v="22374314"/>
    <s v="LUz MARIA"/>
    <s v="Baranquilla"/>
    <s v="Tratamiento"/>
    <x v="0"/>
    <s v="Hogares Saludables BARRANQUILLA"/>
  </r>
  <r>
    <n v="59"/>
    <n v="22377867"/>
    <s v="Concepción"/>
    <s v="Baranquilla"/>
    <s v="Tratamiento"/>
    <x v="1"/>
    <s v="Hogares Saludables BARRANQUILLA"/>
  </r>
  <r>
    <n v="60"/>
    <n v="22378889"/>
    <s v="ETILBIA "/>
    <s v="Baranquilla"/>
    <s v="Tratamiento"/>
    <x v="0"/>
    <s v="Hogares Saludables BARRANQUILLA"/>
  </r>
  <r>
    <n v="61"/>
    <n v="22383297"/>
    <s v="Blanca yolanda"/>
    <s v="Baranquilla"/>
    <s v="Tratamiento"/>
    <x v="5"/>
    <s v="Hogares Saludables BARRANQUILLA"/>
  </r>
  <r>
    <n v="62"/>
    <n v="22385229"/>
    <s v="Nidia"/>
    <s v="Baranquilla"/>
    <s v="Tratamiento"/>
    <x v="1"/>
    <s v="Hogares Saludables BARRANQUILLA"/>
  </r>
  <r>
    <n v="63"/>
    <n v="22393271"/>
    <s v="Josefa maria"/>
    <s v="Baranquilla"/>
    <s v="Tratamiento"/>
    <x v="5"/>
    <s v="Hogares Saludables BARRANQUILLA"/>
  </r>
  <r>
    <n v="64"/>
    <n v="22414805"/>
    <s v="Saray María"/>
    <s v="Baranquilla"/>
    <s v="Tratamiento"/>
    <x v="1"/>
    <s v="Hogares Saludables BARRANQUILLA"/>
  </r>
  <r>
    <n v="65"/>
    <n v="22420818"/>
    <s v="Maria"/>
    <s v="Baranquilla"/>
    <s v="Tratamiento"/>
    <x v="1"/>
    <s v="Hogares Saludables BARRANQUILLA"/>
  </r>
  <r>
    <n v="66"/>
    <n v="22421041"/>
    <s v="Mercedes "/>
    <s v="Baranquilla"/>
    <s v="Tratamiento"/>
    <x v="2"/>
    <s v="Hogares Saludables BARRANQUILLA"/>
  </r>
  <r>
    <n v="67"/>
    <n v="22440120"/>
    <s v="RUTH MERCEDES "/>
    <s v="Baranquilla"/>
    <s v="Tratamiento"/>
    <x v="3"/>
    <s v="Hogares Saludables BARRANQUILLA"/>
  </r>
  <r>
    <n v="68"/>
    <n v="22446557"/>
    <s v="Angelica "/>
    <s v="Baranquilla"/>
    <s v="Tratamiento"/>
    <x v="0"/>
    <s v="Hogares Saludables BARRANQUILLA"/>
  </r>
  <r>
    <n v="69"/>
    <n v="22446587"/>
    <s v="Yomaira del socorro"/>
    <s v="Baranquilla"/>
    <s v="Tratamiento"/>
    <x v="1"/>
    <s v="Hogares Saludables BARRANQUILLA"/>
  </r>
  <r>
    <n v="70"/>
    <n v="22467946"/>
    <s v="Dora"/>
    <s v="Baranquilla"/>
    <s v="Tratamiento"/>
    <x v="1"/>
    <s v="Hogares Saludables BARRANQUILLA"/>
  </r>
  <r>
    <n v="71"/>
    <n v="22502121"/>
    <s v="Ines del rocio"/>
    <s v="Baranquilla"/>
    <s v="Tratamiento"/>
    <x v="1"/>
    <s v="Hogares Saludables BARRANQUILLA"/>
  </r>
  <r>
    <n v="72"/>
    <n v="22502647"/>
    <s v="Elizabeth maria"/>
    <s v="Baranquilla"/>
    <s v="Tratamiento"/>
    <x v="6"/>
    <s v="Hogares Saludables BARRANQUILLA"/>
  </r>
  <r>
    <n v="73"/>
    <n v="22503243"/>
    <s v="Gloria"/>
    <s v="Baranquilla"/>
    <s v="Tratamiento"/>
    <x v="0"/>
    <s v="Hogares Saludables BARRANQUILLA"/>
  </r>
  <r>
    <n v="74"/>
    <n v="22505364"/>
    <s v="Karen johana"/>
    <s v="Baranquilla"/>
    <s v="Tratamiento"/>
    <x v="2"/>
    <s v="Hogares Saludables BARRANQUILLA"/>
  </r>
  <r>
    <n v="75"/>
    <n v="22518128"/>
    <s v="Milagros "/>
    <s v="Baranquilla"/>
    <s v="Tratamiento"/>
    <x v="3"/>
    <s v="Hogares Saludables BARRANQUILLA"/>
  </r>
  <r>
    <n v="76"/>
    <n v="22532457"/>
    <s v="Miladis "/>
    <s v="Baranquilla"/>
    <s v="Tratamiento"/>
    <x v="0"/>
    <s v="Hogares Saludables BARRANQUILLA"/>
  </r>
  <r>
    <n v="77"/>
    <n v="22548648"/>
    <s v="Enis "/>
    <s v="Baranquilla"/>
    <s v="Tratamiento"/>
    <x v="1"/>
    <s v="Hogares Saludables BARRANQUILLA"/>
  </r>
  <r>
    <n v="78"/>
    <n v="22567435"/>
    <s v="Rosalba "/>
    <s v="Baranquilla"/>
    <s v="Tratamiento"/>
    <x v="3"/>
    <s v="Hogares Saludables BARRANQUILLA"/>
  </r>
  <r>
    <n v="79"/>
    <n v="22590461"/>
    <s v="Diana"/>
    <s v="Baranquilla"/>
    <s v="Tratamiento"/>
    <x v="0"/>
    <s v="Hogares Saludables BARRANQUILLA"/>
  </r>
  <r>
    <n v="80"/>
    <n v="22645794"/>
    <s v="Lizbeth"/>
    <s v="Baranquilla"/>
    <s v="Tratamiento"/>
    <x v="3"/>
    <s v="Hogares Saludables BARRANQUILLA"/>
  </r>
  <r>
    <n v="81"/>
    <n v="22646716"/>
    <s v="Heidy yomaira "/>
    <s v="Baranquilla"/>
    <s v="Tratamiento"/>
    <x v="1"/>
    <s v="Hogares Saludables BARRANQUILLA"/>
  </r>
  <r>
    <n v="82"/>
    <n v="22648878"/>
    <s v="Rosiris concepción "/>
    <s v="Baranquilla"/>
    <s v="Tratamiento"/>
    <x v="1"/>
    <s v="Hogares Saludables BARRANQUILLA"/>
  </r>
  <r>
    <n v="83"/>
    <n v="22655403"/>
    <s v="Yolima isabel"/>
    <s v="Baranquilla"/>
    <s v="Tratamiento"/>
    <x v="1"/>
    <s v="Hogares Saludables BARRANQUILLA"/>
  </r>
  <r>
    <n v="84"/>
    <n v="22703396"/>
    <s v="Amalia "/>
    <s v="Baranquilla"/>
    <s v="Tratamiento"/>
    <x v="1"/>
    <s v="Hogares Saludables BARRANQUILLA"/>
  </r>
  <r>
    <n v="85"/>
    <n v="22732410"/>
    <s v="Monica liliana"/>
    <s v="Baranquilla"/>
    <s v="Tratamiento"/>
    <x v="3"/>
    <s v="Hogares Saludables BARRANQUILLA"/>
  </r>
  <r>
    <n v="86"/>
    <n v="22736024"/>
    <s v="Karolay "/>
    <s v="Baranquilla"/>
    <s v="Tratamiento"/>
    <x v="0"/>
    <s v="Hogares Saludables BARRANQUILLA"/>
  </r>
  <r>
    <n v="87"/>
    <n v="22744721"/>
    <s v="Maria"/>
    <s v="Baranquilla"/>
    <s v="Tratamiento"/>
    <x v="4"/>
    <s v="Hogares Saludables BARRANQUILLA"/>
  </r>
  <r>
    <n v="88"/>
    <n v="22845935"/>
    <s v="Ana"/>
    <s v="Baranquilla"/>
    <s v="Tratamiento"/>
    <x v="1"/>
    <s v="Hogares Saludables BARRANQUILLA"/>
  </r>
  <r>
    <n v="89"/>
    <n v="22954309"/>
    <s v="Manuela "/>
    <s v="Baranquilla"/>
    <s v="Tratamiento"/>
    <x v="1"/>
    <s v="Hogares Saludables BARRANQUILLA"/>
  </r>
  <r>
    <n v="90"/>
    <n v="23070779"/>
    <s v="GILBA TERESA "/>
    <s v="Baranquilla"/>
    <s v="Tratamiento"/>
    <x v="0"/>
    <s v="Hogares Saludables BARRANQUILLA"/>
  </r>
  <r>
    <n v="91"/>
    <n v="23242735"/>
    <s v="EMELINA ROSA"/>
    <s v="Baranquilla"/>
    <s v="Tratamiento"/>
    <x v="2"/>
    <s v="Hogares Saludables BARRANQUILLA"/>
  </r>
  <r>
    <n v="92"/>
    <n v="25954420"/>
    <s v="EDITH DEL CARMEN"/>
    <s v="Baranquilla"/>
    <s v="Tratamiento"/>
    <x v="2"/>
    <s v="Hogares Saludables BARRANQUILLA"/>
  </r>
  <r>
    <n v="93"/>
    <n v="26718435"/>
    <s v="Aura helena"/>
    <s v="Baranquilla"/>
    <s v="Tratamiento"/>
    <x v="2"/>
    <s v="Hogares Saludables BARRANQUILLA"/>
  </r>
  <r>
    <n v="94"/>
    <n v="32580754"/>
    <s v="JEYDI MARIA"/>
    <s v="Baranquilla"/>
    <s v="Tratamiento"/>
    <x v="2"/>
    <s v="Hogares Saludables BARRANQUILLA"/>
  </r>
  <r>
    <n v="95"/>
    <n v="32612783"/>
    <s v="Yarleni"/>
    <s v="Baranquilla"/>
    <s v="Tratamiento"/>
    <x v="0"/>
    <s v="Hogares Saludables BARRANQUILLA"/>
  </r>
  <r>
    <n v="96"/>
    <n v="32613935"/>
    <s v="NUBIA LUZ"/>
    <s v="Baranquilla"/>
    <s v="Tratamiento"/>
    <x v="0"/>
    <s v="Hogares Saludables BARRANQUILLA"/>
  </r>
  <r>
    <n v="97"/>
    <n v="32623209"/>
    <s v="Luisa julio"/>
    <s v="Baranquilla"/>
    <s v="Tratamiento"/>
    <x v="1"/>
    <s v="Hogares Saludables BARRANQUILLA"/>
  </r>
  <r>
    <n v="98"/>
    <n v="32629512"/>
    <s v="Ana isabel "/>
    <s v="Baranquilla"/>
    <s v="Tratamiento"/>
    <x v="5"/>
    <s v="Hogares Saludables BARRANQUILLA"/>
  </r>
  <r>
    <n v="99"/>
    <n v="32634688"/>
    <s v="Ana"/>
    <s v="Baranquilla"/>
    <s v="Tratamiento"/>
    <x v="6"/>
    <s v="Hogares Saludables BARRANQUILLA"/>
  </r>
  <r>
    <n v="100"/>
    <n v="32636575"/>
    <s v="MARÍA CONCEPCIÓN "/>
    <s v="Baranquilla"/>
    <s v="Tratamiento"/>
    <x v="1"/>
    <s v="Hogares Saludables BARRANQUILLA"/>
  </r>
  <r>
    <n v="101"/>
    <n v="32639848"/>
    <s v="Maria"/>
    <s v="Baranquilla"/>
    <s v="Tratamiento"/>
    <x v="1"/>
    <s v="Hogares Saludables BARRANQUILLA"/>
  </r>
  <r>
    <n v="102"/>
    <n v="32648994"/>
    <s v="Berta ester"/>
    <s v="Baranquilla"/>
    <s v="Tratamiento"/>
    <x v="5"/>
    <s v="Hogares Saludables BARRANQUILLA"/>
  </r>
  <r>
    <n v="103"/>
    <n v="32650703"/>
    <s v="Mara"/>
    <s v="Baranquilla"/>
    <s v="Tratamiento"/>
    <x v="2"/>
    <s v="Hogares Saludables BARRANQUILLA"/>
  </r>
  <r>
    <n v="104"/>
    <n v="32665786"/>
    <s v="Héctor "/>
    <s v="Baranquilla"/>
    <s v="Tratamiento"/>
    <x v="0"/>
    <s v="Hogares Saludables BARRANQUILLA"/>
  </r>
  <r>
    <n v="105"/>
    <n v="32673448"/>
    <s v="María mercedes"/>
    <s v="Baranquilla"/>
    <s v="Tratamiento"/>
    <x v="3"/>
    <s v="Hogares Saludables BARRANQUILLA"/>
  </r>
  <r>
    <n v="106"/>
    <n v="32674359"/>
    <s v="Rogelio daniel"/>
    <s v="Baranquilla"/>
    <s v="Tratamiento"/>
    <x v="6"/>
    <s v="Hogares Saludables BARRANQUILLA"/>
  </r>
  <r>
    <n v="107"/>
    <n v="32674864"/>
    <s v="Ana María "/>
    <s v="Baranquilla"/>
    <s v="Tratamiento"/>
    <x v="0"/>
    <s v="Hogares Saludables BARRANQUILLA"/>
  </r>
  <r>
    <n v="108"/>
    <n v="32682939"/>
    <s v="Maribel"/>
    <s v="Baranquilla"/>
    <s v="Tratamiento"/>
    <x v="5"/>
    <s v="Hogares Saludables BARRANQUILLA"/>
  </r>
  <r>
    <n v="109"/>
    <n v="32688218"/>
    <s v="Luz helena"/>
    <s v="Baranquilla"/>
    <s v="Tratamiento"/>
    <x v="0"/>
    <s v="Hogares Saludables BARRANQUILLA"/>
  </r>
  <r>
    <n v="110"/>
    <n v="32688521"/>
    <s v="Juana"/>
    <s v="Baranquilla"/>
    <s v="Tratamiento"/>
    <x v="2"/>
    <s v="Hogares Saludables BARRANQUILLA"/>
  </r>
  <r>
    <n v="111"/>
    <n v="32690815"/>
    <s v="Sol teresa "/>
    <s v="Baranquilla"/>
    <s v="Tratamiento"/>
    <x v="0"/>
    <s v="Hogares Saludables BARRANQUILLA"/>
  </r>
  <r>
    <n v="112"/>
    <n v="32694200"/>
    <s v="Lía esther"/>
    <s v="Baranquilla"/>
    <s v="Tratamiento"/>
    <x v="0"/>
    <s v="Hogares Saludables BARRANQUILLA"/>
  </r>
  <r>
    <n v="113"/>
    <n v="32707038"/>
    <s v="Vilma isabel"/>
    <s v="Baranquilla"/>
    <s v="Tratamiento"/>
    <x v="0"/>
    <s v="Hogares Saludables BARRANQUILLA"/>
  </r>
  <r>
    <n v="114"/>
    <n v="32708738"/>
    <s v="Miladys esther"/>
    <s v="Baranquilla"/>
    <s v="Tratamiento"/>
    <x v="0"/>
    <s v="Hogares Saludables BARRANQUILLA"/>
  </r>
  <r>
    <n v="115"/>
    <n v="32709507"/>
    <s v="GLORIA ESTHER "/>
    <s v="Baranquilla"/>
    <s v="Tratamiento"/>
    <x v="6"/>
    <s v="Hogares Saludables BARRANQUILLA"/>
  </r>
  <r>
    <n v="116"/>
    <n v="32710701"/>
    <s v="Carmen María "/>
    <s v="Baranquilla"/>
    <s v="Tratamiento"/>
    <x v="5"/>
    <s v="Hogares Saludables BARRANQUILLA"/>
  </r>
  <r>
    <n v="117"/>
    <n v="32712481"/>
    <s v="JUDITH CECILIA "/>
    <s v="Baranquilla"/>
    <s v="Tratamiento"/>
    <x v="3"/>
    <s v="Hogares Saludables BARRANQUILLA"/>
  </r>
  <r>
    <n v="118"/>
    <n v="32716378"/>
    <s v="Enilda"/>
    <s v="Baranquilla"/>
    <s v="Tratamiento"/>
    <x v="5"/>
    <s v="Hogares Saludables BARRANQUILLA"/>
  </r>
  <r>
    <n v="119"/>
    <n v="32717266"/>
    <s v="Dorelis patricia "/>
    <s v="Baranquilla"/>
    <s v="Tratamiento"/>
    <x v="1"/>
    <s v="Hogares Saludables BARRANQUILLA"/>
  </r>
  <r>
    <n v="120"/>
    <n v="32727855"/>
    <s v="YUDIS ISABEL "/>
    <s v="Baranquilla"/>
    <s v="Tratamiento"/>
    <x v="1"/>
    <s v="Hogares Saludables BARRANQUILLA"/>
  </r>
  <r>
    <n v="121"/>
    <n v="32733938"/>
    <s v="Teresa "/>
    <s v="Baranquilla"/>
    <s v="Tratamiento"/>
    <x v="1"/>
    <s v="Hogares Saludables BARRANQUILLA"/>
  </r>
  <r>
    <n v="122"/>
    <n v="32734044"/>
    <s v="Elsa Regina"/>
    <s v="Baranquilla"/>
    <s v="Tratamiento"/>
    <x v="1"/>
    <s v="Hogares Saludables BARRANQUILLA"/>
  </r>
  <r>
    <n v="123"/>
    <n v="32736975"/>
    <s v="Nancy esther"/>
    <s v="Baranquilla"/>
    <s v="Tratamiento"/>
    <x v="0"/>
    <s v="Hogares Saludables BARRANQUILLA"/>
  </r>
  <r>
    <n v="124"/>
    <n v="32740221"/>
    <s v="Ofelia"/>
    <s v="Baranquilla"/>
    <s v="Tratamiento"/>
    <x v="6"/>
    <s v="Hogares Saludables BARRANQUILLA"/>
  </r>
  <r>
    <n v="125"/>
    <n v="32740999"/>
    <s v="Mara judith"/>
    <s v="Baranquilla"/>
    <s v="Tratamiento"/>
    <x v="0"/>
    <s v="Hogares Saludables BARRANQUILLA"/>
  </r>
  <r>
    <n v="126"/>
    <n v="32741994"/>
    <s v="Manuela ester"/>
    <s v="Baranquilla"/>
    <s v="Tratamiento"/>
    <x v="0"/>
    <s v="Hogares Saludables BARRANQUILLA"/>
  </r>
  <r>
    <n v="127"/>
    <n v="32744428"/>
    <s v="Ingrid enid "/>
    <s v="Baranquilla"/>
    <s v="Tratamiento"/>
    <x v="3"/>
    <s v="Hogares Saludables BARRANQUILLA"/>
  </r>
  <r>
    <n v="128"/>
    <n v="32752555"/>
    <s v="ENEDITH DEL CARMEN "/>
    <s v="Baranquilla"/>
    <s v="Tratamiento"/>
    <x v="5"/>
    <s v="Hogares Saludables BARRANQUILLA"/>
  </r>
  <r>
    <n v="129"/>
    <n v="32764598"/>
    <s v="Dalys"/>
    <s v="Baranquilla"/>
    <s v="Tratamiento"/>
    <x v="0"/>
    <s v="Hogares Saludables BARRANQUILLA"/>
  </r>
  <r>
    <n v="130"/>
    <n v="32772911"/>
    <s v="Patricia yanet"/>
    <s v="Baranquilla"/>
    <s v="Tratamiento"/>
    <x v="0"/>
    <s v="Hogares Saludables BARRANQUILLA"/>
  </r>
  <r>
    <n v="131"/>
    <n v="32778590"/>
    <s v="Piedad _x000a_"/>
    <s v="Baranquilla"/>
    <s v="Tratamiento"/>
    <x v="4"/>
    <s v="Hogares Saludables BARRANQUILLA"/>
  </r>
  <r>
    <n v="132"/>
    <n v="32779874"/>
    <s v="Eufemia"/>
    <s v="Baranquilla"/>
    <s v="Tratamiento"/>
    <x v="0"/>
    <s v="Hogares Saludables BARRANQUILLA"/>
  </r>
  <r>
    <n v="133"/>
    <n v="32783129"/>
    <s v="GALINA ISABEL"/>
    <s v="Baranquilla"/>
    <s v="Tratamiento"/>
    <x v="5"/>
    <s v="Hogares Saludables BARRANQUILLA"/>
  </r>
  <r>
    <n v="134"/>
    <n v="32783797"/>
    <s v="Yolanda "/>
    <s v="Baranquilla"/>
    <s v="Tratamiento"/>
    <x v="0"/>
    <s v="Hogares Saludables BARRANQUILLA"/>
  </r>
  <r>
    <n v="135"/>
    <n v="32785097"/>
    <s v="Virina"/>
    <s v="Baranquilla"/>
    <s v="Tratamiento"/>
    <x v="2"/>
    <s v="Hogares Saludables BARRANQUILLA"/>
  </r>
  <r>
    <n v="136"/>
    <n v="32790051"/>
    <s v="Doris"/>
    <s v="Baranquilla"/>
    <s v="Tratamiento"/>
    <x v="0"/>
    <s v="Hogares Saludables BARRANQUILLA"/>
  </r>
  <r>
    <n v="137"/>
    <n v="32796944"/>
    <s v="Gilama rosa"/>
    <s v="Baranquilla"/>
    <s v="Tratamiento"/>
    <x v="5"/>
    <s v="Hogares Saludables BARRANQUILLA"/>
  </r>
  <r>
    <n v="138"/>
    <n v="32797627"/>
    <s v="Nelci"/>
    <s v="Baranquilla"/>
    <s v="Tratamiento"/>
    <x v="0"/>
    <s v="Hogares Saludables BARRANQUILLA"/>
  </r>
  <r>
    <n v="139"/>
    <n v="32800662"/>
    <s v="Luisa "/>
    <s v="Baranquilla"/>
    <s v="Tratamiento"/>
    <x v="0"/>
    <s v="Hogares Saludables BARRANQUILLA"/>
  </r>
  <r>
    <n v="140"/>
    <n v="32802610"/>
    <s v="Tulia"/>
    <s v="Baranquilla"/>
    <s v="Tratamiento"/>
    <x v="3"/>
    <s v="Hogares Saludables BARRANQUILLA"/>
  </r>
  <r>
    <n v="141"/>
    <n v="32803448"/>
    <s v="CAROLINA ESTHER"/>
    <s v="Baranquilla"/>
    <s v="Tratamiento"/>
    <x v="6"/>
    <s v="Hogares Saludables BARRANQUILLA"/>
  </r>
  <r>
    <n v="142"/>
    <n v="32803484"/>
    <s v="Sonia Isabel "/>
    <s v="Baranquilla"/>
    <s v="Tratamiento"/>
    <x v="5"/>
    <s v="Hogares Saludables BARRANQUILLA"/>
  </r>
  <r>
    <n v="143"/>
    <n v="32810131"/>
    <s v="FIDELINA MARIA"/>
    <s v="Baranquilla"/>
    <s v="Tratamiento"/>
    <x v="0"/>
    <s v="Hogares Saludables BARRANQUILLA"/>
  </r>
  <r>
    <n v="144"/>
    <n v="32812129"/>
    <s v="DIANA ESTHER"/>
    <s v="Baranquilla"/>
    <s v="Tratamiento"/>
    <x v="0"/>
    <s v="Hogares Saludables BARRANQUILLA"/>
  </r>
  <r>
    <n v="145"/>
    <n v="32812890"/>
    <s v="Rosalba"/>
    <s v="Baranquilla"/>
    <s v="Tratamiento"/>
    <x v="1"/>
    <s v="Hogares Saludables BARRANQUILLA"/>
  </r>
  <r>
    <n v="146"/>
    <n v="32840396"/>
    <s v="Ingrid Esther "/>
    <s v="Baranquilla"/>
    <s v="Tratamiento"/>
    <x v="0"/>
    <s v="Hogares Saludables BARRANQUILLA"/>
  </r>
  <r>
    <n v="147"/>
    <n v="32843980"/>
    <s v="Esperanza "/>
    <s v="Baranquilla"/>
    <s v="Tratamiento"/>
    <x v="2"/>
    <s v="Hogares Saludables BARRANQUILLA"/>
  </r>
  <r>
    <n v="148"/>
    <n v="32850495"/>
    <s v="Elena"/>
    <s v="Baranquilla"/>
    <s v="Tratamiento"/>
    <x v="0"/>
    <s v="Hogares Saludables BARRANQUILLA"/>
  </r>
  <r>
    <n v="149"/>
    <n v="32884029"/>
    <s v="MONICA PATRICIA "/>
    <s v="Baranquilla"/>
    <s v="Tratamiento"/>
    <x v="1"/>
    <s v="Hogares Saludables BARRANQUILLA"/>
  </r>
  <r>
    <n v="150"/>
    <n v="32884556"/>
    <s v="Mabel Esther "/>
    <s v="Baranquilla"/>
    <s v="Tratamiento"/>
    <x v="3"/>
    <s v="Hogares Saludables BARRANQUILLA"/>
  </r>
  <r>
    <n v="151"/>
    <n v="32884723"/>
    <s v="Francia elena"/>
    <s v="Baranquilla"/>
    <s v="Tratamiento"/>
    <x v="1"/>
    <s v="Hogares Saludables BARRANQUILLA"/>
  </r>
  <r>
    <n v="152"/>
    <n v="32893688"/>
    <s v="aida luz"/>
    <s v="Baranquilla"/>
    <s v="Tratamiento"/>
    <x v="0"/>
    <s v="Hogares Saludables BARRANQUILLA"/>
  </r>
  <r>
    <n v="153"/>
    <n v="32894006"/>
    <s v="Dilsa maria"/>
    <s v="Baranquilla"/>
    <s v="Tratamiento"/>
    <x v="0"/>
    <s v="Hogares Saludables BARRANQUILLA"/>
  </r>
  <r>
    <n v="154"/>
    <n v="34977363"/>
    <s v="Ana"/>
    <s v="Baranquilla"/>
    <s v="Tratamiento"/>
    <x v="1"/>
    <s v="Hogares Saludables BARRANQUILLA"/>
  </r>
  <r>
    <n v="155"/>
    <n v="37926108"/>
    <s v="MARIA DE LAD MERCEDES "/>
    <s v="Baranquilla"/>
    <s v="Tratamiento"/>
    <x v="3"/>
    <s v="Hogares Saludables BARRANQUILLA"/>
  </r>
  <r>
    <n v="156"/>
    <n v="42271248"/>
    <s v=" Jhoel "/>
    <s v="Baranquilla"/>
    <s v="Tratamiento"/>
    <x v="3"/>
    <s v="Hogares Saludables BARRANQUILLA"/>
  </r>
  <r>
    <n v="157"/>
    <n v="45578869"/>
    <s v="Farine"/>
    <s v="Baranquilla"/>
    <s v="Tratamiento"/>
    <x v="1"/>
    <s v="Hogares Saludables BARRANQUILLA"/>
  </r>
  <r>
    <n v="158"/>
    <n v="45584758"/>
    <s v="Danith"/>
    <s v="Baranquilla"/>
    <s v="Tratamiento"/>
    <x v="3"/>
    <s v="Hogares Saludables BARRANQUILLA"/>
  </r>
  <r>
    <n v="159"/>
    <n v="5122512"/>
    <s v="Argemiro Manuel "/>
    <s v="Baranquilla"/>
    <s v="Tratamiento"/>
    <x v="3"/>
    <s v="Hogares Saludables BARRANQUILLA"/>
  </r>
  <r>
    <n v="160"/>
    <n v="52136819"/>
    <s v="XIOMARA "/>
    <s v="Baranquilla"/>
    <s v="Tratamiento"/>
    <x v="2"/>
    <s v="Hogares Saludables BARRANQUILLA"/>
  </r>
  <r>
    <n v="161"/>
    <n v="55231073"/>
    <s v="Luz "/>
    <s v="Baranquilla"/>
    <s v="Tratamiento"/>
    <x v="1"/>
    <s v="Hogares Saludables BARRANQUILLA"/>
  </r>
  <r>
    <n v="162"/>
    <n v="55232316"/>
    <s v="Zoila "/>
    <s v="Baranquilla"/>
    <s v="Tratamiento"/>
    <x v="1"/>
    <s v="Hogares Saludables BARRANQUILLA"/>
  </r>
  <r>
    <n v="163"/>
    <n v="57304740"/>
    <s v="CLAUDIA "/>
    <s v="Baranquilla"/>
    <s v="Tratamiento"/>
    <x v="5"/>
    <s v="Hogares Saludables BARRANQUILLA"/>
  </r>
  <r>
    <n v="164"/>
    <n v="64558825"/>
    <s v="Rosalba"/>
    <s v="Baranquilla"/>
    <s v="Tratamiento"/>
    <x v="1"/>
    <s v="Hogares Saludables BARRANQUILLA"/>
  </r>
  <r>
    <n v="165"/>
    <n v="72042663"/>
    <s v="Julio "/>
    <s v="Baranquilla"/>
    <s v="Tratamiento"/>
    <x v="1"/>
    <s v="Hogares Saludables BARRANQUILLA"/>
  </r>
  <r>
    <n v="166"/>
    <n v="72129785"/>
    <s v="Jose"/>
    <s v="Baranquilla"/>
    <s v="Tratamiento"/>
    <x v="3"/>
    <s v="Hogares Saludables BARRANQUILLA"/>
  </r>
  <r>
    <n v="167"/>
    <n v="72132483"/>
    <s v="Francisco "/>
    <s v="Baranquilla"/>
    <s v="Tratamiento"/>
    <x v="1"/>
    <s v="Hogares Saludables BARRANQUILLA"/>
  </r>
  <r>
    <n v="168"/>
    <n v="72144157"/>
    <s v="Erlen "/>
    <s v="Baranquilla"/>
    <s v="Tratamiento"/>
    <x v="0"/>
    <s v="Hogares Saludables BARRANQUILLA"/>
  </r>
  <r>
    <n v="169"/>
    <n v="72145817"/>
    <s v="Javier "/>
    <s v="Baranquilla"/>
    <s v="Tratamiento"/>
    <x v="0"/>
    <s v="Hogares Saludables BARRANQUILLA"/>
  </r>
  <r>
    <n v="170"/>
    <n v="72146737"/>
    <s v="Marcelino de jesus"/>
    <s v="Baranquilla"/>
    <s v="Tratamiento"/>
    <x v="5"/>
    <s v="Hogares Saludables BARRANQUILLA"/>
  </r>
  <r>
    <n v="171"/>
    <n v="72178853"/>
    <s v="YOFAY LUIS "/>
    <s v="Baranquilla"/>
    <s v="Tratamiento"/>
    <x v="5"/>
    <s v="Hogares Saludables BARRANQUILLA"/>
  </r>
  <r>
    <n v="172"/>
    <n v="72180833"/>
    <s v="Rafael"/>
    <s v="Baranquilla"/>
    <s v="Tratamiento"/>
    <x v="5"/>
    <s v="Hogares Saludables BARRANQUILLA"/>
  </r>
  <r>
    <n v="173"/>
    <n v="72182204"/>
    <s v="Adolfo "/>
    <s v="Baranquilla"/>
    <s v="Tratamiento"/>
    <x v="0"/>
    <s v="Hogares Saludables BARRANQUILLA"/>
  </r>
  <r>
    <n v="174"/>
    <n v="72200209"/>
    <s v="Wilmer José "/>
    <s v="Baranquilla"/>
    <s v="Tratamiento"/>
    <x v="1"/>
    <s v="Hogares Saludables BARRANQUILLA"/>
  </r>
  <r>
    <n v="175"/>
    <n v="72210592"/>
    <s v="TONY ANIBAL "/>
    <s v="Baranquilla"/>
    <s v="Tratamiento"/>
    <x v="1"/>
    <s v="Hogares Saludables BARRANQUILLA"/>
  </r>
  <r>
    <n v="176"/>
    <n v="72212320"/>
    <s v="César "/>
    <s v="Baranquilla"/>
    <s v="Tratamiento"/>
    <x v="5"/>
    <s v="Hogares Saludables BARRANQUILLA"/>
  </r>
  <r>
    <n v="177"/>
    <n v="72214776"/>
    <s v=" Luis Daniel "/>
    <s v="Baranquilla"/>
    <s v="Tratamiento"/>
    <x v="0"/>
    <s v="Hogares Saludables BARRANQUILLA"/>
  </r>
  <r>
    <n v="178"/>
    <n v="72227073"/>
    <s v="Jesus rafael"/>
    <s v="Baranquilla"/>
    <s v="Tratamiento"/>
    <x v="5"/>
    <s v="Hogares Saludables BARRANQUILLA"/>
  </r>
  <r>
    <n v="179"/>
    <n v="72227387"/>
    <s v="Rodolfo "/>
    <s v="Baranquilla"/>
    <s v="Tratamiento"/>
    <x v="2"/>
    <s v="Hogares Saludables BARRANQUILLA"/>
  </r>
  <r>
    <n v="180"/>
    <n v="72239164"/>
    <s v="Cesar Cristóbal "/>
    <s v="Baranquilla"/>
    <s v="Tratamiento"/>
    <x v="2"/>
    <s v="Hogares Saludables BARRANQUILLA"/>
  </r>
  <r>
    <n v="181"/>
    <n v="72298484"/>
    <s v="Ostaciano"/>
    <s v="Baranquilla"/>
    <s v="Tratamiento"/>
    <x v="1"/>
    <s v="Hogares Saludables BARRANQUILLA"/>
  </r>
  <r>
    <n v="182"/>
    <n v="73226383"/>
    <s v="Juan José "/>
    <s v="Baranquilla"/>
    <s v="Tratamiento"/>
    <x v="5"/>
    <s v="Hogares Saludables BARRANQUILLA"/>
  </r>
  <r>
    <n v="183"/>
    <n v="7444585"/>
    <s v="Victor José "/>
    <s v="Baranquilla"/>
    <s v="Tratamiento"/>
    <x v="2"/>
    <s v="Hogares Saludables BARRANQUILLA"/>
  </r>
  <r>
    <n v="184"/>
    <n v="7454371"/>
    <s v="Hugo alfredo"/>
    <s v="Baranquilla"/>
    <s v="Tratamiento"/>
    <x v="6"/>
    <s v="Hogares Saludables BARRANQUILLA"/>
  </r>
  <r>
    <n v="185"/>
    <n v="7474428"/>
    <s v="Cristobal maria"/>
    <s v="Baranquilla"/>
    <s v="Tratamiento"/>
    <x v="0"/>
    <s v="Hogares Saludables BARRANQUILLA"/>
  </r>
  <r>
    <n v="186"/>
    <n v="7476537"/>
    <s v="LACIDES "/>
    <s v="Baranquilla"/>
    <s v="Tratamiento"/>
    <x v="0"/>
    <s v="Hogares Saludables BARRANQUILLA"/>
  </r>
  <r>
    <n v="187"/>
    <n v="7476784"/>
    <s v="Alvaro"/>
    <s v="Baranquilla"/>
    <s v="Tratamiento"/>
    <x v="3"/>
    <s v="Hogares Saludables BARRANQUILLA"/>
  </r>
  <r>
    <n v="188"/>
    <n v="832608"/>
    <s v="Luis "/>
    <s v="Baranquilla"/>
    <s v="Tratamiento"/>
    <x v="0"/>
    <s v="Hogares Saludables BARRANQUILLA"/>
  </r>
  <r>
    <n v="189"/>
    <n v="8664032"/>
    <s v="Sergio "/>
    <s v="Baranquilla"/>
    <s v="Tratamiento"/>
    <x v="3"/>
    <s v="Hogares Saludables BARRANQUILLA"/>
  </r>
  <r>
    <n v="190"/>
    <n v="8672765"/>
    <s v="Abimael "/>
    <s v="Baranquilla"/>
    <s v="Tratamiento"/>
    <x v="5"/>
    <s v="Hogares Saludables BARRANQUILLA"/>
  </r>
  <r>
    <n v="191"/>
    <n v="8681506"/>
    <s v="IVÁN ENRIQUE "/>
    <s v="Baranquilla"/>
    <s v="Tratamiento"/>
    <x v="1"/>
    <s v="Hogares Saludables BARRANQUILLA"/>
  </r>
  <r>
    <n v="192"/>
    <n v="8686374"/>
    <s v="Agustin alselmo "/>
    <s v="Baranquilla"/>
    <s v="Tratamiento"/>
    <x v="5"/>
    <s v="Hogares Saludables BARRANQUILLA"/>
  </r>
  <r>
    <n v="193"/>
    <n v="8719594"/>
    <s v="Juan"/>
    <s v="Baranquilla"/>
    <s v="Tratamiento"/>
    <x v="2"/>
    <s v="Hogares Saludables BARRANQUILLA"/>
  </r>
  <r>
    <n v="194"/>
    <n v="8724214"/>
    <s v="Celso"/>
    <s v="Baranquilla"/>
    <s v="Tratamiento"/>
    <x v="5"/>
    <s v="Hogares Saludables BARRANQUILLA"/>
  </r>
  <r>
    <n v="195"/>
    <n v="8734568"/>
    <s v="Ricardo Alfredo"/>
    <s v="Baranquilla"/>
    <s v="Tratamiento"/>
    <x v="0"/>
    <s v="Hogares Saludables BARRANQUILLA"/>
  </r>
  <r>
    <n v="196"/>
    <n v="8737489"/>
    <s v="Pedro de jesus"/>
    <s v="Baranquilla"/>
    <s v="Tratamiento"/>
    <x v="5"/>
    <s v="Hogares Saludables BARRANQUILLA"/>
  </r>
  <r>
    <n v="197"/>
    <n v="8754897"/>
    <s v="Apolinar "/>
    <s v="Baranquilla"/>
    <s v="Tratamiento"/>
    <x v="3"/>
    <s v="Hogares Saludables BARRANQUILLA"/>
  </r>
  <r>
    <n v="198"/>
    <n v="8758157"/>
    <s v="WILFRIDO RAFAEL "/>
    <s v="Baranquilla"/>
    <s v="Tratamiento"/>
    <x v="3"/>
    <s v="Hogares Saludables BARRANQUILLA"/>
  </r>
  <r>
    <n v="199"/>
    <n v="8779085"/>
    <s v="Rafael"/>
    <s v="Baranquilla"/>
    <s v="Tratamiento"/>
    <x v="1"/>
    <s v="Hogares Saludables BARRANQUILLA"/>
  </r>
  <r>
    <n v="200"/>
    <n v="8799243"/>
    <s v="José Luis "/>
    <s v="Baranquilla"/>
    <s v="Tratamiento"/>
    <x v="1"/>
    <s v="Hogares Saludables BARRANQUILLA"/>
  </r>
  <r>
    <n v="201"/>
    <n v="1002793265"/>
    <s v="YAMILE"/>
    <s v="Cali"/>
    <s v="Tratamiento"/>
    <x v="0"/>
    <s v="Hogares Saludables YUMBO"/>
  </r>
  <r>
    <n v="202"/>
    <n v="1005873832"/>
    <s v="Jennifer "/>
    <s v="Cali"/>
    <s v="Tratamiento"/>
    <x v="0"/>
    <s v="HOGARES SALUDABLES CALI"/>
  </r>
  <r>
    <n v="203"/>
    <n v="1006233749"/>
    <s v="Laura natali"/>
    <s v="Cali"/>
    <s v="Tratamiento"/>
    <x v="1"/>
    <s v="HOGARES SALUDABLES CALI"/>
  </r>
  <r>
    <n v="204"/>
    <n v="10375239"/>
    <s v="José nain"/>
    <s v="Cali"/>
    <s v="Tratamiento"/>
    <x v="1"/>
    <s v="Hogares Saludables YUMBO"/>
  </r>
  <r>
    <n v="205"/>
    <n v="10472271"/>
    <s v="Reinaldo"/>
    <s v="Cali"/>
    <s v="Tratamiento"/>
    <x v="1"/>
    <s v="Hogares Saludables YUMBO"/>
  </r>
  <r>
    <n v="206"/>
    <n v="1059044849"/>
    <s v="Ninsen  yane"/>
    <s v="Cali"/>
    <s v="Tratamiento"/>
    <x v="4"/>
    <s v="Hogares Saludables YUMBO"/>
  </r>
  <r>
    <n v="207"/>
    <n v="1059044885"/>
    <s v="LUZ DARY"/>
    <s v="Cali"/>
    <s v="Tratamiento"/>
    <x v="1"/>
    <s v="Hogares Saludables YUMBO"/>
  </r>
  <r>
    <n v="208"/>
    <n v="1059986053"/>
    <s v="Jania Paola"/>
    <s v="Cali"/>
    <s v="Tratamiento"/>
    <x v="1"/>
    <s v="Hogares Saludables YUMBO"/>
  </r>
  <r>
    <n v="209"/>
    <n v="1060102242"/>
    <s v="Luz estrella "/>
    <s v="Cali"/>
    <s v="Tratamiento"/>
    <x v="1"/>
    <s v="HOGARES SALUDABLES CALI"/>
  </r>
  <r>
    <n v="210"/>
    <n v="1061433798"/>
    <s v="Hely jhoana"/>
    <s v="Cali"/>
    <s v="Tratamiento"/>
    <x v="1"/>
    <s v="Hogares Saludables YUMBO"/>
  </r>
  <r>
    <n v="211"/>
    <n v="1062297779"/>
    <s v="Claudia Milena "/>
    <s v="Cali"/>
    <s v="Tratamiento"/>
    <x v="4"/>
    <s v="Hogares Saludables YUMBO"/>
  </r>
  <r>
    <n v="212"/>
    <n v="1067461300"/>
    <s v="Diana lucero"/>
    <s v="Cali"/>
    <s v="Tratamiento"/>
    <x v="3"/>
    <s v="Hogares Saludables YUMBO"/>
  </r>
  <r>
    <n v="213"/>
    <n v="10741712"/>
    <s v="Milton Javier"/>
    <s v="Cali"/>
    <s v="Tratamiento"/>
    <x v="1"/>
    <s v="Hogares Saludables YUMBO"/>
  </r>
  <r>
    <n v="215"/>
    <n v="1080835928"/>
    <s v="María magnolia"/>
    <s v="Cali"/>
    <s v="Tratamiento"/>
    <x v="4"/>
    <s v="Hogares Saludables YUMBO"/>
  </r>
  <r>
    <n v="216"/>
    <n v="1107036712"/>
    <s v="Anderson "/>
    <s v="Cali"/>
    <s v="Tratamiento"/>
    <x v="1"/>
    <s v="Hogares Saludables YUMBO"/>
  </r>
  <r>
    <n v="217"/>
    <n v="1107038099"/>
    <s v="Andrés felipe"/>
    <s v="Cali"/>
    <s v="Tratamiento"/>
    <x v="1"/>
    <s v="Hogares Saludables YUMBO"/>
  </r>
  <r>
    <n v="218"/>
    <n v="1107062248"/>
    <s v="Zoraida"/>
    <s v="Cali"/>
    <s v="Tratamiento"/>
    <x v="3"/>
    <s v="Hogares Saludables YUMBO"/>
  </r>
  <r>
    <n v="219"/>
    <n v="1107082402"/>
    <s v="MAYRA ALEJANDRA"/>
    <s v="Cali"/>
    <s v="Tratamiento"/>
    <x v="3"/>
    <s v="HOGARES SALUDABLES CALI"/>
  </r>
  <r>
    <n v="220"/>
    <n v="1107101692"/>
    <s v="Lorena "/>
    <s v="Cali"/>
    <s v="Tratamiento"/>
    <x v="1"/>
    <s v="Hogares Saludables YUMBO"/>
  </r>
  <r>
    <n v="221"/>
    <n v="1107528203"/>
    <s v="Jon jarol "/>
    <s v="Cali"/>
    <s v="Tratamiento"/>
    <x v="3"/>
    <s v="Hogares Saludables YUMBO"/>
  </r>
  <r>
    <n v="222"/>
    <n v="1112459228"/>
    <s v="Paola"/>
    <s v="Cali"/>
    <s v="Tratamiento"/>
    <x v="5"/>
    <s v="Hogares Saludables YUMBO"/>
  </r>
  <r>
    <n v="223"/>
    <n v="1112460885"/>
    <s v="Argenis"/>
    <s v="Cali"/>
    <s v="Tratamiento"/>
    <x v="4"/>
    <s v="Hogares Saludables YUMBO"/>
  </r>
  <r>
    <n v="224"/>
    <n v="1112464691"/>
    <s v="Carlos Alberto"/>
    <s v="Cali"/>
    <s v="Tratamiento"/>
    <x v="1"/>
    <s v="Hogares Saludables YUMBO"/>
  </r>
  <r>
    <n v="225"/>
    <n v="1114729169"/>
    <s v="Diana Marcela"/>
    <s v="Cali"/>
    <s v="Tratamiento"/>
    <x v="5"/>
    <s v="HOGARES SALUDABLES CALI"/>
  </r>
  <r>
    <n v="226"/>
    <n v="1118256990"/>
    <s v="Yorleny "/>
    <s v="Cali"/>
    <s v="Tratamiento"/>
    <x v="1"/>
    <s v="Hogares Saludables YUMBO"/>
  </r>
  <r>
    <n v="227"/>
    <n v="1130590826"/>
    <s v="Luis Angel"/>
    <s v="Cali"/>
    <s v="Tratamiento"/>
    <x v="3"/>
    <s v="HOGARES SALUDABLES CALI"/>
  </r>
  <r>
    <n v="228"/>
    <n v="1130591575"/>
    <s v="Marlen"/>
    <s v="Cali"/>
    <s v="Tratamiento"/>
    <x v="1"/>
    <s v="Hogares Saludables YUMBO"/>
  </r>
  <r>
    <n v="229"/>
    <n v="1130609656"/>
    <s v="Sonia Janeth"/>
    <s v="Cali"/>
    <s v="Tratamiento"/>
    <x v="1"/>
    <s v="Hogares Saludables YUMBO"/>
  </r>
  <r>
    <n v="230"/>
    <n v="1130611960"/>
    <s v="Fran marden"/>
    <s v="Cali"/>
    <s v="Tratamiento"/>
    <x v="0"/>
    <s v="Hogares Saludables YUMBO"/>
  </r>
  <r>
    <n v="231"/>
    <n v="1130621848"/>
    <s v="FRANCELINE "/>
    <s v="Cali"/>
    <s v="Tratamiento"/>
    <x v="1"/>
    <s v="HOGARES SALUDABLES CALI"/>
  </r>
  <r>
    <n v="232"/>
    <n v="1130668655"/>
    <s v="Eliana"/>
    <s v="Cali"/>
    <s v="Tratamiento"/>
    <x v="1"/>
    <s v="HOGARES SALUDABLES CALI"/>
  </r>
  <r>
    <n v="233"/>
    <n v="1136060053"/>
    <s v="Paola "/>
    <s v="Cali"/>
    <s v="Tratamiento"/>
    <x v="1"/>
    <s v="Hogares Saludables YUMBO"/>
  </r>
  <r>
    <n v="234"/>
    <n v="1143830506"/>
    <s v="Licet"/>
    <s v="Cali"/>
    <s v="Tratamiento"/>
    <x v="3"/>
    <s v="HOGARES SALUDABLES CALI"/>
  </r>
  <r>
    <n v="235"/>
    <n v="1143831016"/>
    <s v="July Lorena "/>
    <s v="Cali"/>
    <s v="Tratamiento"/>
    <x v="1"/>
    <s v="Hogares Saludables YUMBO"/>
  </r>
  <r>
    <n v="236"/>
    <n v="1143841537"/>
    <s v="Luis Antonio "/>
    <s v="Cali"/>
    <s v="Tratamiento"/>
    <x v="2"/>
    <s v="Hogares Saludables YUMBO"/>
  </r>
  <r>
    <n v="237"/>
    <n v="1143845493"/>
    <s v="Jessica andrea"/>
    <s v="Cali"/>
    <s v="Tratamiento"/>
    <x v="4"/>
    <s v="HOGARES SALUDABLES CALI"/>
  </r>
  <r>
    <n v="238"/>
    <n v="1144024517"/>
    <s v="Fabio nelson"/>
    <s v="Cali"/>
    <s v="Tratamiento"/>
    <x v="3"/>
    <s v="Hogares Saludables YUMBO"/>
  </r>
  <r>
    <n v="239"/>
    <n v="1144030139"/>
    <s v="Isabel Cristina"/>
    <s v="Cali"/>
    <s v="Tratamiento"/>
    <x v="1"/>
    <s v="Hogares Saludables YUMBO"/>
  </r>
  <r>
    <n v="240"/>
    <n v="1144031654"/>
    <s v="WILLIAM ESTEBAN "/>
    <s v="Cali"/>
    <s v="Tratamiento"/>
    <x v="1"/>
    <s v="HOGARES SALUDABLES CALI"/>
  </r>
  <r>
    <n v="241"/>
    <n v="1144034037"/>
    <s v="Yesica "/>
    <s v="Cali"/>
    <s v="Tratamiento"/>
    <x v="1"/>
    <s v="Hogares Saludables YUMBO"/>
  </r>
  <r>
    <n v="242"/>
    <n v="1144035169"/>
    <s v="NANCY"/>
    <s v="Cali"/>
    <s v="Tratamiento"/>
    <x v="1"/>
    <s v="Hogares Saludables YUMBO"/>
  </r>
  <r>
    <n v="243"/>
    <n v="1144037995"/>
    <s v="LUIS MIGUEL"/>
    <s v="Cali"/>
    <s v="Tratamiento"/>
    <x v="3"/>
    <s v="HOGARES SALUDABLES CALI"/>
  </r>
  <r>
    <n v="244"/>
    <n v="1144038638"/>
    <s v="WALTER "/>
    <s v="Cali"/>
    <s v="Tratamiento"/>
    <x v="1"/>
    <s v="HOGARES SALUDABLES CALI"/>
  </r>
  <r>
    <n v="245"/>
    <n v="1144038733"/>
    <s v="DAVID FRANCISCO"/>
    <s v="Cali"/>
    <s v="Tratamiento"/>
    <x v="2"/>
    <s v="HOGARES SALUDABLES CALI"/>
  </r>
  <r>
    <n v="246"/>
    <n v="1144043798"/>
    <s v="LUZ DEI "/>
    <s v="Cali"/>
    <s v="Tratamiento"/>
    <x v="1"/>
    <s v="Hogares Saludables YUMBO"/>
  </r>
  <r>
    <n v="247"/>
    <n v="1144045256"/>
    <s v="Leidy viviana"/>
    <s v="Cali"/>
    <s v="Tratamiento"/>
    <x v="1"/>
    <s v="Hogares Saludables YUMBO"/>
  </r>
  <r>
    <n v="248"/>
    <n v="1144046314"/>
    <s v="Angie Lorena"/>
    <s v="Cali"/>
    <s v="Tratamiento"/>
    <x v="1"/>
    <s v="Hogares Saludables YUMBO"/>
  </r>
  <r>
    <n v="249"/>
    <n v="1144046952"/>
    <s v="Helda Libe"/>
    <s v="Cali"/>
    <s v="Tratamiento"/>
    <x v="1"/>
    <s v="Hogares Saludables YUMBO"/>
  </r>
  <r>
    <n v="250"/>
    <n v="1144051270"/>
    <s v="Yesica Andrea "/>
    <s v="Cali"/>
    <s v="Tratamiento"/>
    <x v="5"/>
    <s v="Hogares Saludables YUMBO"/>
  </r>
  <r>
    <n v="251"/>
    <n v="1144059852"/>
    <s v="Yohana Andrea"/>
    <s v="Cali"/>
    <s v="Tratamiento"/>
    <x v="6"/>
    <s v="HOGARES SALUDABLES CALI"/>
  </r>
  <r>
    <n v="252"/>
    <n v="1144065963"/>
    <s v="José arbey"/>
    <s v="Cali"/>
    <s v="Tratamiento"/>
    <x v="3"/>
    <s v="Hogares Saludables YUMBO"/>
  </r>
  <r>
    <n v="253"/>
    <n v="1144071056"/>
    <s v="Leydi Tatiana"/>
    <s v="Cali"/>
    <s v="Tratamiento"/>
    <x v="1"/>
    <s v="HOGARES SALUDABLES CALI"/>
  </r>
  <r>
    <n v="254"/>
    <n v="1144082561"/>
    <s v="Diana Marcela"/>
    <s v="Cali"/>
    <s v="Tratamiento"/>
    <x v="1"/>
    <s v="Hogares Saludables YUMBO"/>
  </r>
  <r>
    <n v="255"/>
    <n v="1144094813"/>
    <s v="KEYLIN ELIANA "/>
    <s v="Cali"/>
    <s v="Tratamiento"/>
    <x v="3"/>
    <s v="Hogares Saludables YUMBO"/>
  </r>
  <r>
    <n v="256"/>
    <n v="1144101026"/>
    <s v="Estefania "/>
    <s v="Cali"/>
    <s v="Tratamiento"/>
    <x v="1"/>
    <s v="Hogares Saludables YUMBO"/>
  </r>
  <r>
    <n v="257"/>
    <n v="1144160399"/>
    <s v="Cindy Katherine "/>
    <s v="Cali"/>
    <s v="Tratamiento"/>
    <x v="0"/>
    <s v="Hogares Saludables YUMBO"/>
  </r>
  <r>
    <n v="258"/>
    <n v="12207323"/>
    <s v="JORGE ISMAEL"/>
    <s v="Cali"/>
    <s v="Tratamiento"/>
    <x v="1"/>
    <s v="HOGARES SALUDABLES CALI"/>
  </r>
  <r>
    <n v="259"/>
    <n v="12798984"/>
    <s v="Norma"/>
    <s v="Cali"/>
    <s v="Tratamiento"/>
    <x v="1"/>
    <s v="Hogares Saludables YUMBO"/>
  </r>
  <r>
    <n v="260"/>
    <n v="1381356"/>
    <s v="Mario de jesus"/>
    <s v="Cali"/>
    <s v="Tratamiento"/>
    <x v="2"/>
    <s v="Hogares Saludables YUMBO"/>
  </r>
  <r>
    <n v="261"/>
    <n v="14446046"/>
    <s v="Guillermo "/>
    <s v="Cali"/>
    <s v="Tratamiento"/>
    <x v="3"/>
    <s v="Hogares Saludables YUMBO"/>
  </r>
  <r>
    <n v="262"/>
    <n v="14468000"/>
    <s v="MIGUEL ÁNGEL "/>
    <s v="Cali"/>
    <s v="Tratamiento"/>
    <x v="4"/>
    <s v="Hogares Saludables YUMBO"/>
  </r>
  <r>
    <n v="263"/>
    <n v="14469075"/>
    <s v="OMAR ANDRES"/>
    <s v="Cali"/>
    <s v="Tratamiento"/>
    <x v="4"/>
    <s v="Hogares Saludables YUMBO"/>
  </r>
  <r>
    <n v="264"/>
    <n v="15609707"/>
    <s v="Yuleydy suhey "/>
    <s v="Cali"/>
    <s v="Tratamiento"/>
    <x v="1"/>
    <s v="Hogares Saludables YUMBO"/>
  </r>
  <r>
    <n v="265"/>
    <n v="1586059"/>
    <s v="Omar"/>
    <s v="Cali"/>
    <s v="Tratamiento"/>
    <x v="3"/>
    <s v="Hogares Saludables YUMBO"/>
  </r>
  <r>
    <n v="266"/>
    <n v="15901804"/>
    <s v="Gilberto antonio"/>
    <s v="Cali"/>
    <s v="Tratamiento"/>
    <x v="4"/>
    <s v="Hogares Saludables YUMBO"/>
  </r>
  <r>
    <n v="267"/>
    <n v="15906342"/>
    <s v="Heli "/>
    <s v="Cali"/>
    <s v="Tratamiento"/>
    <x v="1"/>
    <s v="Hogares Saludables YUMBO"/>
  </r>
  <r>
    <n v="268"/>
    <n v="16591848"/>
    <s v="HÉCTOR FABIO"/>
    <s v="Cali"/>
    <s v="Tratamiento"/>
    <x v="1"/>
    <s v="Hogares Saludables YUMBO"/>
  </r>
  <r>
    <n v="269"/>
    <n v="16778426"/>
    <s v="MARCOS JAVIER P"/>
    <s v="Cali"/>
    <s v="Tratamiento"/>
    <x v="1"/>
    <s v="Hogares Saludables YUMBO"/>
  </r>
  <r>
    <n v="270"/>
    <n v="16781675"/>
    <s v="JOSÉ WILSON"/>
    <s v="Cali"/>
    <s v="Tratamiento"/>
    <x v="1"/>
    <s v="Hogares Saludables YUMBO"/>
  </r>
  <r>
    <n v="271"/>
    <n v="16824095"/>
    <s v="Eber"/>
    <s v="Cali"/>
    <s v="Tratamiento"/>
    <x v="2"/>
    <s v="Hogares Saludables YUMBO"/>
  </r>
  <r>
    <n v="272"/>
    <n v="16827577"/>
    <s v="Jorge Enrique "/>
    <s v="Cali"/>
    <s v="Tratamiento"/>
    <x v="2"/>
    <s v="Hogares Saludables YUMBO"/>
  </r>
  <r>
    <n v="273"/>
    <n v="16881076"/>
    <s v="JOSE MAURO"/>
    <s v="Cali"/>
    <s v="Tratamiento"/>
    <x v="4"/>
    <s v="Hogares Saludables YUMBO"/>
  </r>
  <r>
    <n v="274"/>
    <n v="16936771"/>
    <s v="Jhon jaiver"/>
    <s v="Cali"/>
    <s v="Tratamiento"/>
    <x v="1"/>
    <s v="Hogares Saludables YUMBO"/>
  </r>
  <r>
    <n v="275"/>
    <n v="17632722"/>
    <s v="EDUCARDO"/>
    <s v="Cali"/>
    <s v="Tratamiento"/>
    <x v="0"/>
    <s v="Hogares Saludables YUMBO"/>
  </r>
  <r>
    <n v="276"/>
    <n v="24529522"/>
    <s v="María Elena"/>
    <s v="Cali"/>
    <s v="Tratamiento"/>
    <x v="2"/>
    <s v="Hogares Saludables YUMBO"/>
  </r>
  <r>
    <n v="277"/>
    <n v="25036381"/>
    <s v="Lucia "/>
    <s v="Cali"/>
    <s v="Tratamiento"/>
    <x v="3"/>
    <s v="HOGARES SALUDABLES CALI"/>
  </r>
  <r>
    <n v="278"/>
    <n v="25097620"/>
    <s v="Nency"/>
    <s v="Cali"/>
    <s v="Tratamiento"/>
    <x v="1"/>
    <s v="Hogares Saludables YUMBO"/>
  </r>
  <r>
    <n v="279"/>
    <n v="25340411"/>
    <s v="Teresa "/>
    <s v="Cali"/>
    <s v="Tratamiento"/>
    <x v="1"/>
    <s v="Hogares Saludables YUMBO"/>
  </r>
  <r>
    <n v="280"/>
    <n v="25340770"/>
    <s v="Ismenia"/>
    <s v="Cali"/>
    <s v="Tratamiento"/>
    <x v="1"/>
    <s v="HOGARES SALUDABLES CALI"/>
  </r>
  <r>
    <n v="281"/>
    <n v="25351368"/>
    <s v="ROSA MARÍA "/>
    <s v="Cali"/>
    <s v="Tratamiento"/>
    <x v="0"/>
    <s v="Hogares Saludables YUMBO"/>
  </r>
  <r>
    <n v="282"/>
    <n v="25492271"/>
    <s v="MARÍA GRACIELA "/>
    <s v="Cali"/>
    <s v="Tratamiento"/>
    <x v="1"/>
    <s v="HOGARES SALUDABLES CALI"/>
  </r>
  <r>
    <n v="283"/>
    <n v="25619493"/>
    <s v="Carmen rosa"/>
    <s v="Cali"/>
    <s v="Tratamiento"/>
    <x v="1"/>
    <s v="Hogares Saludables YUMBO"/>
  </r>
  <r>
    <n v="284"/>
    <n v="25683891"/>
    <s v="Ana Cecilia "/>
    <s v="Cali"/>
    <s v="Tratamiento"/>
    <x v="1"/>
    <s v="HOGARES SALUDABLES CALI"/>
  </r>
  <r>
    <n v="285"/>
    <n v="25741695"/>
    <s v="MARINA "/>
    <s v="Cali"/>
    <s v="Tratamiento"/>
    <x v="6"/>
    <s v="HOGARES SALUDABLES CALI"/>
  </r>
  <r>
    <n v="286"/>
    <n v="26256330"/>
    <s v="MARLENY "/>
    <s v="Cali"/>
    <s v="Tratamiento"/>
    <x v="4"/>
    <s v="HOGARES SALUDABLES CALI"/>
  </r>
  <r>
    <n v="287"/>
    <n v="2699661"/>
    <s v="GILBERTO "/>
    <s v="Cali"/>
    <s v="Tratamiento"/>
    <x v="0"/>
    <s v="Hogares Saludables YUMBO"/>
  </r>
  <r>
    <n v="288"/>
    <n v="28588708"/>
    <s v="Sandra Milena "/>
    <s v="Cali"/>
    <s v="Tratamiento"/>
    <x v="1"/>
    <s v="Hogares Saludables YUMBO"/>
  </r>
  <r>
    <n v="289"/>
    <n v="29119222"/>
    <s v="Bella nery"/>
    <s v="Cali"/>
    <s v="Tratamiento"/>
    <x v="1"/>
    <s v="Hogares Saludables YUMBO"/>
  </r>
  <r>
    <n v="290"/>
    <n v="29179765"/>
    <s v="Harlen"/>
    <s v="Cali"/>
    <s v="Tratamiento"/>
    <x v="3"/>
    <s v="Hogares Saludables YUMBO"/>
  </r>
  <r>
    <n v="291"/>
    <n v="29346502"/>
    <s v="Rossmira"/>
    <s v="Cali"/>
    <s v="Tratamiento"/>
    <x v="6"/>
    <s v="Hogares Saludables YUMBO"/>
  </r>
  <r>
    <n v="292"/>
    <n v="29563232"/>
    <s v="Aura María "/>
    <s v="Cali"/>
    <s v="Tratamiento"/>
    <x v="1"/>
    <s v="Hogares Saludables YUMBO"/>
  </r>
  <r>
    <n v="293"/>
    <n v="29563360"/>
    <s v="Ana. Sofia"/>
    <s v="Cali"/>
    <s v="Tratamiento"/>
    <x v="3"/>
    <s v="Hogares Saludables YUMBO"/>
  </r>
  <r>
    <n v="294"/>
    <n v="29686407"/>
    <s v="ANA SENEIDA"/>
    <s v="Cali"/>
    <s v="Tratamiento"/>
    <x v="6"/>
    <s v="HOGARES SALUDABLES CALI"/>
  </r>
  <r>
    <n v="295"/>
    <n v="31214997"/>
    <s v="Gregoria"/>
    <s v="Cali"/>
    <s v="Tratamiento"/>
    <x v="3"/>
    <s v="Hogares Saludables YUMBO"/>
  </r>
  <r>
    <n v="296"/>
    <n v="31282345"/>
    <s v="MARÍA ELENA "/>
    <s v="Cali"/>
    <s v="Tratamiento"/>
    <x v="3"/>
    <s v="HOGARES SALUDABLES CALI"/>
  </r>
  <r>
    <n v="297"/>
    <n v="31288307"/>
    <s v="MARÍA ELEUTERIA "/>
    <s v="Cali"/>
    <s v="Tratamiento"/>
    <x v="1"/>
    <s v="HOGARES SALUDABLES CALI"/>
  </r>
  <r>
    <n v="298"/>
    <n v="31289498"/>
    <s v="Laureano "/>
    <s v="Cali"/>
    <s v="Tratamiento"/>
    <x v="4"/>
    <s v="Hogares Saludables YUMBO"/>
  </r>
  <r>
    <n v="299"/>
    <n v="31298525"/>
    <s v="María Nubia"/>
    <s v="Cali"/>
    <s v="Tratamiento"/>
    <x v="3"/>
    <s v="Hogares Saludables YUMBO"/>
  </r>
  <r>
    <n v="300"/>
    <n v="31304801"/>
    <s v="Aixa maria"/>
    <s v="Cali"/>
    <s v="Tratamiento"/>
    <x v="1"/>
    <s v="Hogares Saludables YUMBO"/>
  </r>
  <r>
    <n v="301"/>
    <n v="31445562"/>
    <s v="Mariela"/>
    <s v="Cali"/>
    <s v="Tratamiento"/>
    <x v="1"/>
    <s v="Hogares Saludables YUMBO"/>
  </r>
  <r>
    <n v="302"/>
    <n v="31445743"/>
    <s v="Sandra Milena"/>
    <s v="Cali"/>
    <s v="Tratamiento"/>
    <x v="4"/>
    <s v="HOGARES SALUDABLES CALI"/>
  </r>
  <r>
    <n v="303"/>
    <n v="31446617"/>
    <s v="Paulo cesar "/>
    <s v="Cali"/>
    <s v="Tratamiento"/>
    <x v="2"/>
    <s v="Hogares Saludables YUMBO"/>
  </r>
  <r>
    <n v="304"/>
    <n v="31449382"/>
    <s v="Sandra milena"/>
    <s v="Cali"/>
    <s v="Tratamiento"/>
    <x v="4"/>
    <s v="Hogares Saludables YUMBO"/>
  </r>
  <r>
    <n v="305"/>
    <n v="31524379"/>
    <s v="GERARDINA "/>
    <s v="Cali"/>
    <s v="Tratamiento"/>
    <x v="4"/>
    <s v="Hogares Saludables YUMBO"/>
  </r>
  <r>
    <n v="306"/>
    <n v="31525011"/>
    <s v="María jesus"/>
    <s v="Cali"/>
    <s v="Tratamiento"/>
    <x v="1"/>
    <s v="Hogares Saludables YUMBO"/>
  </r>
  <r>
    <n v="307"/>
    <n v="31525413"/>
    <s v="José argiro"/>
    <s v="Cali"/>
    <s v="Tratamiento"/>
    <x v="1"/>
    <s v="HOGARES SALUDABLES CALI"/>
  </r>
  <r>
    <n v="308"/>
    <n v="31534174"/>
    <s v="Ana Milena "/>
    <s v="Cali"/>
    <s v="Tratamiento"/>
    <x v="1"/>
    <s v="Hogares Saludables YUMBO"/>
  </r>
  <r>
    <n v="309"/>
    <n v="31535355"/>
    <s v="MONICA"/>
    <s v="Cali"/>
    <s v="Tratamiento"/>
    <x v="1"/>
    <s v="HOGARES SALUDABLES CALI"/>
  </r>
  <r>
    <n v="310"/>
    <n v="31537995"/>
    <s v="LUZ ENEIDA "/>
    <s v="Cali"/>
    <s v="Tratamiento"/>
    <x v="3"/>
    <s v="Hogares Saludables YUMBO"/>
  </r>
  <r>
    <n v="311"/>
    <n v="31577413"/>
    <s v="STELLA "/>
    <s v="Cali"/>
    <s v="Tratamiento"/>
    <x v="7"/>
    <s v="HOGARES SALUDABLES CALI"/>
  </r>
  <r>
    <n v="312"/>
    <n v="31578203"/>
    <s v="Bersalina"/>
    <s v="Cali"/>
    <s v="Tratamiento"/>
    <x v="1"/>
    <s v="Hogares Saludables YUMBO"/>
  </r>
  <r>
    <n v="313"/>
    <n v="31830427"/>
    <s v="Marlene"/>
    <s v="Cali"/>
    <s v="Tratamiento"/>
    <x v="1"/>
    <s v="Hogares Saludables YUMBO"/>
  </r>
  <r>
    <n v="314"/>
    <n v="31844574"/>
    <s v="Luz marina "/>
    <s v="Cali"/>
    <s v="Tratamiento"/>
    <x v="0"/>
    <s v="Hogares Saludables YUMBO"/>
  </r>
  <r>
    <n v="315"/>
    <n v="31871549"/>
    <s v="Fanny"/>
    <s v="Cali"/>
    <s v="Tratamiento"/>
    <x v="1"/>
    <s v="Hogares Saludables YUMBO"/>
  </r>
  <r>
    <n v="316"/>
    <n v="31887694"/>
    <s v="María Miller"/>
    <s v="Cali"/>
    <s v="Tratamiento"/>
    <x v="1"/>
    <s v="Hogares Saludables YUMBO"/>
  </r>
  <r>
    <n v="317"/>
    <n v="31902498"/>
    <s v="Lilia Marlene "/>
    <s v="Cali"/>
    <s v="Tratamiento"/>
    <x v="1"/>
    <s v="HOGARES SALUDABLES CALI"/>
  </r>
  <r>
    <n v="318"/>
    <n v="31909149"/>
    <s v="Ana elisa"/>
    <s v="Cali"/>
    <s v="Tratamiento"/>
    <x v="1"/>
    <s v="HOGARES SALUDABLES CALI"/>
  </r>
  <r>
    <n v="319"/>
    <n v="31923598"/>
    <s v="Gladis stela"/>
    <s v="Cali"/>
    <s v="Tratamiento"/>
    <x v="0"/>
    <s v="Hogares Saludables YUMBO"/>
  </r>
  <r>
    <n v="320"/>
    <n v="31929380"/>
    <s v="GLORIA AMPARO"/>
    <s v="Cali"/>
    <s v="Tratamiento"/>
    <x v="0"/>
    <s v="HOGARES SALUDABLES CALI"/>
  </r>
  <r>
    <n v="321"/>
    <n v="31959597"/>
    <s v="Benilda "/>
    <s v="Cali"/>
    <s v="Tratamiento"/>
    <x v="1"/>
    <s v="Hogares Saludables YUMBO"/>
  </r>
  <r>
    <n v="322"/>
    <n v="31972147"/>
    <s v="Maricela"/>
    <s v="Cali"/>
    <s v="Tratamiento"/>
    <x v="1"/>
    <s v="Hogares Saludables YUMBO"/>
  </r>
  <r>
    <n v="323"/>
    <n v="31981946"/>
    <s v="Luz Marina "/>
    <s v="Cali"/>
    <s v="Tratamiento"/>
    <x v="2"/>
    <s v="Hogares Saludables YUMBO"/>
  </r>
  <r>
    <n v="324"/>
    <n v="31983781"/>
    <s v="LEONOR "/>
    <s v="Cali"/>
    <s v="Tratamiento"/>
    <x v="3"/>
    <s v="Hogares Saludables YUMBO"/>
  </r>
  <r>
    <n v="325"/>
    <n v="31992224"/>
    <s v="BLANCA INÉS "/>
    <s v="Cali"/>
    <s v="Tratamiento"/>
    <x v="4"/>
    <s v="Hogares Saludables YUMBO"/>
  </r>
  <r>
    <n v="326"/>
    <n v="31992747"/>
    <s v="María  Lucinda "/>
    <s v="Cali"/>
    <s v="Tratamiento"/>
    <x v="2"/>
    <s v="HOGARES SALUDABLES CALI"/>
  </r>
  <r>
    <n v="327"/>
    <n v="32285101"/>
    <s v="Elida Rosa"/>
    <s v="Cali"/>
    <s v="Tratamiento"/>
    <x v="1"/>
    <s v="Hogares Saludables YUMBO"/>
  </r>
  <r>
    <n v="328"/>
    <n v="32285912"/>
    <s v="María Isabelina"/>
    <s v="Cali"/>
    <s v="Tratamiento"/>
    <x v="5"/>
    <s v="HOGARES SALUDABLES CALI"/>
  </r>
  <r>
    <n v="329"/>
    <n v="34400184"/>
    <s v="Ilda maria"/>
    <s v="Cali"/>
    <s v="Tratamiento"/>
    <x v="4"/>
    <s v="Hogares Saludables YUMBO"/>
  </r>
  <r>
    <n v="330"/>
    <n v="34503573"/>
    <s v="Fabiola"/>
    <s v="Cali"/>
    <s v="Tratamiento"/>
    <x v="1"/>
    <s v="Hogares Saludables YUMBO"/>
  </r>
  <r>
    <n v="331"/>
    <n v="34515416"/>
    <s v="Olga"/>
    <s v="Cali"/>
    <s v="Tratamiento"/>
    <x v="1"/>
    <s v="Hogares Saludables YUMBO"/>
  </r>
  <r>
    <n v="332"/>
    <n v="34572562"/>
    <s v="Asuncion"/>
    <s v="Cali"/>
    <s v="Tratamiento"/>
    <x v="2"/>
    <s v="Hogares Saludables YUMBO"/>
  </r>
  <r>
    <n v="333"/>
    <n v="34573715"/>
    <s v="María Jesus"/>
    <s v="Cali"/>
    <s v="Tratamiento"/>
    <x v="3"/>
    <s v="Hogares Saludables YUMBO"/>
  </r>
  <r>
    <n v="334"/>
    <n v="34690139"/>
    <s v="Aleida"/>
    <s v="Cali"/>
    <s v="Tratamiento"/>
    <x v="1"/>
    <s v="Hogares Saludables YUMBO"/>
  </r>
  <r>
    <n v="335"/>
    <n v="35546366"/>
    <s v="Bacilia"/>
    <s v="Cali"/>
    <s v="Tratamiento"/>
    <x v="4"/>
    <s v="Hogares Saludables YUMBO"/>
  </r>
  <r>
    <n v="336"/>
    <n v="35990267"/>
    <s v="Maria Luz "/>
    <s v="Cali"/>
    <s v="Tratamiento"/>
    <x v="1"/>
    <s v="Hogares Saludables YUMBO"/>
  </r>
  <r>
    <n v="337"/>
    <n v="37075013"/>
    <s v="Ninfa maria"/>
    <s v="Cali"/>
    <s v="Tratamiento"/>
    <x v="1"/>
    <s v="Hogares Saludables YUMBO"/>
  </r>
  <r>
    <n v="338"/>
    <n v="37253427"/>
    <s v="OBDULIA "/>
    <s v="Cali"/>
    <s v="Tratamiento"/>
    <x v="5"/>
    <s v="Hogares Saludables YUMBO"/>
  </r>
  <r>
    <n v="339"/>
    <n v="38601290"/>
    <s v="Sandra liliana"/>
    <s v="Cali"/>
    <s v="Tratamiento"/>
    <x v="1"/>
    <s v="Hogares Saludables YUMBO"/>
  </r>
  <r>
    <n v="340"/>
    <n v="38642608"/>
    <s v="Ana nolfi"/>
    <s v="Cali"/>
    <s v="Tratamiento"/>
    <x v="4"/>
    <s v="Hogares Saludables YUMBO"/>
  </r>
  <r>
    <n v="341"/>
    <n v="38665695"/>
    <s v="RUSBITA "/>
    <s v="Cali"/>
    <s v="Tratamiento"/>
    <x v="6"/>
    <s v="Hogares Saludables YUMBO"/>
  </r>
  <r>
    <n v="342"/>
    <n v="38668909"/>
    <s v="Martha Isabel"/>
    <s v="Cali"/>
    <s v="Tratamiento"/>
    <x v="1"/>
    <s v="Hogares Saludables YUMBO"/>
  </r>
  <r>
    <n v="343"/>
    <n v="38671487"/>
    <s v="Sandra vicky"/>
    <s v="Cali"/>
    <s v="Tratamiento"/>
    <x v="1"/>
    <s v="Hogares Saludables YUMBO"/>
  </r>
  <r>
    <n v="344"/>
    <n v="38973256"/>
    <s v="ASCENETH "/>
    <s v="Cali"/>
    <s v="Tratamiento"/>
    <x v="3"/>
    <s v="Hogares Saludables YUMBO"/>
  </r>
  <r>
    <n v="345"/>
    <n v="38992016"/>
    <s v="PASTORA "/>
    <s v="Cali"/>
    <s v="Tratamiento"/>
    <x v="6"/>
    <s v="HOGARES SALUDABLES CALI"/>
  </r>
  <r>
    <n v="346"/>
    <n v="42061051"/>
    <s v="María"/>
    <s v="Cali"/>
    <s v="Tratamiento"/>
    <x v="1"/>
    <s v="HOGARES SALUDABLES CALI"/>
  </r>
  <r>
    <n v="347"/>
    <n v="4335238"/>
    <s v="Fabio de jesus"/>
    <s v="Cali"/>
    <s v="Tratamiento"/>
    <x v="2"/>
    <s v="HOGARES SALUDABLES CALI"/>
  </r>
  <r>
    <n v="348"/>
    <n v="4698774"/>
    <s v="Bolívar "/>
    <s v="Cali"/>
    <s v="Tratamiento"/>
    <x v="3"/>
    <s v="HOGARES SALUDABLES CALI"/>
  </r>
  <r>
    <n v="349"/>
    <n v="4721794"/>
    <s v="Basilio"/>
    <s v="Cali"/>
    <s v="Tratamiento"/>
    <x v="4"/>
    <s v="Hogares Saludables YUMBO"/>
  </r>
  <r>
    <n v="350"/>
    <n v="48612619"/>
    <s v="María oliva"/>
    <s v="Cali"/>
    <s v="Tratamiento"/>
    <x v="1"/>
    <s v="Hogares Saludables YUMBO"/>
  </r>
  <r>
    <n v="351"/>
    <n v="48614162"/>
    <s v="Amelia "/>
    <s v="Cali"/>
    <s v="Tratamiento"/>
    <x v="1"/>
    <s v="Hogares Saludables YUMBO"/>
  </r>
  <r>
    <n v="352"/>
    <n v="5217736"/>
    <s v="Bolivar"/>
    <s v="Cali"/>
    <s v="Tratamiento"/>
    <x v="1"/>
    <s v="HOGARES SALUDABLES CALI"/>
  </r>
  <r>
    <n v="353"/>
    <n v="6307220"/>
    <s v="Gerardo"/>
    <s v="Cali"/>
    <s v="Tratamiento"/>
    <x v="0"/>
    <s v="HOGARES SALUDABLES CALI"/>
  </r>
  <r>
    <n v="354"/>
    <n v="65815427"/>
    <s v="BERNARDITA "/>
    <s v="Cali"/>
    <s v="Tratamiento"/>
    <x v="1"/>
    <s v="Hogares Saludables YUMBO"/>
  </r>
  <r>
    <n v="355"/>
    <n v="66819007"/>
    <s v="PASTORA "/>
    <s v="Cali"/>
    <s v="Tratamiento"/>
    <x v="2"/>
    <s v="Hogares Saludables YUMBO"/>
  </r>
  <r>
    <n v="356"/>
    <n v="66826171"/>
    <s v="María rosario"/>
    <s v="Cali"/>
    <s v="Tratamiento"/>
    <x v="1"/>
    <s v="Hogares Saludables YUMBO"/>
  </r>
  <r>
    <n v="357"/>
    <n v="66850119"/>
    <s v="Cecilia yasmin"/>
    <s v="Cali"/>
    <s v="Tratamiento"/>
    <x v="1"/>
    <s v="Hogares Saludables YUMBO"/>
  </r>
  <r>
    <n v="358"/>
    <n v="66865510"/>
    <s v="Argenis "/>
    <s v="Cali"/>
    <s v="Tratamiento"/>
    <x v="3"/>
    <s v="Hogares Saludables YUMBO"/>
  </r>
  <r>
    <n v="359"/>
    <n v="66865714"/>
    <s v="Martha Ines"/>
    <s v="Cali"/>
    <s v="Tratamiento"/>
    <x v="4"/>
    <s v="Hogares Saludables YUMBO"/>
  </r>
  <r>
    <n v="360"/>
    <n v="66900125"/>
    <s v="Ferney"/>
    <s v="Cali"/>
    <s v="Tratamiento"/>
    <x v="1"/>
    <s v="Hogares Saludables YUMBO"/>
  </r>
  <r>
    <n v="361"/>
    <n v="66908388"/>
    <s v="Omar Alberto"/>
    <s v="Cali"/>
    <s v="Tratamiento"/>
    <x v="3"/>
    <s v="HOGARES SALUDABLES CALI"/>
  </r>
  <r>
    <n v="362"/>
    <n v="66908980"/>
    <s v="Mariela"/>
    <s v="Cali"/>
    <s v="Tratamiento"/>
    <x v="1"/>
    <s v="HOGARES SALUDABLES CALI"/>
  </r>
  <r>
    <n v="363"/>
    <n v="66914158"/>
    <s v="Dilía Franky "/>
    <s v="Cali"/>
    <s v="Tratamiento"/>
    <x v="6"/>
    <s v="Hogares Saludables YUMBO"/>
  </r>
  <r>
    <n v="364"/>
    <n v="66914781"/>
    <s v="GLORIA OLAYA DE JESUS"/>
    <s v="Cali"/>
    <s v="Tratamiento"/>
    <x v="4"/>
    <s v="Hogares Saludables YUMBO"/>
  </r>
  <r>
    <n v="365"/>
    <n v="66922979"/>
    <s v="Martha cecilia"/>
    <s v="Cali"/>
    <s v="Tratamiento"/>
    <x v="1"/>
    <s v="Hogares Saludables YUMBO"/>
  </r>
  <r>
    <n v="366"/>
    <n v="66983263"/>
    <s v="CARMEN ALICIA "/>
    <s v="Cali"/>
    <s v="Tratamiento"/>
    <x v="1"/>
    <s v="HOGARES SALUDABLES CALI"/>
  </r>
  <r>
    <n v="367"/>
    <n v="66993543"/>
    <s v="ERMILA"/>
    <s v="Cali"/>
    <s v="Tratamiento"/>
    <x v="1"/>
    <s v="Hogares Saludables YUMBO"/>
  </r>
  <r>
    <n v="368"/>
    <n v="66996132"/>
    <s v="AURA ELENA "/>
    <s v="Cali"/>
    <s v="Tratamiento"/>
    <x v="1"/>
    <s v="HOGARES SALUDABLES CALI"/>
  </r>
  <r>
    <n v="369"/>
    <n v="67014284"/>
    <s v="María mercedes"/>
    <s v="Cali"/>
    <s v="Tratamiento"/>
    <x v="4"/>
    <s v="Hogares Saludables YUMBO"/>
  </r>
  <r>
    <n v="370"/>
    <n v="67021030"/>
    <s v="María luz dalia"/>
    <s v="Cali"/>
    <s v="Tratamiento"/>
    <x v="5"/>
    <s v="Hogares Saludables YUMBO"/>
  </r>
  <r>
    <n v="371"/>
    <n v="67033667"/>
    <s v="Sandra Marlem"/>
    <s v="Cali"/>
    <s v="Tratamiento"/>
    <x v="1"/>
    <s v="HOGARES SALUDABLES CALI"/>
  </r>
  <r>
    <n v="372"/>
    <n v="76047511"/>
    <s v="Mauricio "/>
    <s v="Cali"/>
    <s v="Tratamiento"/>
    <x v="1"/>
    <s v="Hogares Saludables YUMBO"/>
  </r>
  <r>
    <n v="374"/>
    <n v="76324402"/>
    <s v="JESÚS FRANCO "/>
    <s v="Cali"/>
    <s v="Tratamiento"/>
    <x v="3"/>
    <s v="Hogares Saludables YUMBO"/>
  </r>
  <r>
    <n v="375"/>
    <n v="76336138"/>
    <s v="Laurido  Hernán "/>
    <s v="Cali"/>
    <s v="Tratamiento"/>
    <x v="1"/>
    <s v="Hogares Saludables YUMBO"/>
  </r>
  <r>
    <n v="376"/>
    <n v="87430106"/>
    <s v="Gerardo "/>
    <s v="Cali"/>
    <s v="Tratamiento"/>
    <x v="2"/>
    <s v="Hogares Saludables YUMBO"/>
  </r>
  <r>
    <n v="377"/>
    <n v="94225090"/>
    <s v="Medardo"/>
    <s v="Cali"/>
    <s v="Tratamiento"/>
    <x v="4"/>
    <s v="Hogares Saludables YUMBO"/>
  </r>
  <r>
    <n v="378"/>
    <n v="94459917"/>
    <s v="Leonardo"/>
    <s v="Cali"/>
    <s v="Tratamiento"/>
    <x v="0"/>
    <s v="Hogares Saludables YUMBO"/>
  </r>
  <r>
    <n v="379"/>
    <n v="94494784"/>
    <s v="Didier"/>
    <s v="Cali"/>
    <s v="Tratamiento"/>
    <x v="4"/>
    <s v="Hogares Saludables YUMBO"/>
  </r>
  <r>
    <n v="380"/>
    <n v="94513261"/>
    <s v="CESAR AUGUSTO "/>
    <s v="Cali"/>
    <s v="Tratamiento"/>
    <x v="1"/>
    <s v="HOGARES SALUDABLES CALI"/>
  </r>
  <r>
    <n v="381"/>
    <n v="94540935"/>
    <s v="Emilio José "/>
    <s v="Cali"/>
    <s v="Tratamiento"/>
    <x v="1"/>
    <s v="Hogares Saludables YUMBO"/>
  </r>
  <r>
    <n v="382"/>
    <n v="94550202"/>
    <s v="Geiver"/>
    <s v="Cali"/>
    <s v="Tratamiento"/>
    <x v="1"/>
    <s v="Hogares Saludables YUMBO"/>
  </r>
  <r>
    <n v="383"/>
    <n v="1000536137"/>
    <s v="Jenifer Andrea "/>
    <s v="Medellin"/>
    <s v="Tratamiento"/>
    <x v="1"/>
    <s v="HOGARES SALUDABLES MEDELLÍN"/>
  </r>
  <r>
    <n v="384"/>
    <n v="1000538215"/>
    <s v="Shirley Tatiana"/>
    <s v="Medellin"/>
    <s v="Tratamiento"/>
    <x v="1"/>
    <s v="HOGARES SALUDABLES MEDELLÍN"/>
  </r>
  <r>
    <n v="385"/>
    <n v="1000638664"/>
    <s v="Isabel Cristina "/>
    <s v="Medellin"/>
    <s v="Tratamiento"/>
    <x v="1"/>
    <s v="HOGARES SALUDABLES MEDELLÍN"/>
  </r>
  <r>
    <n v="386"/>
    <n v="1000643548"/>
    <s v="Tatiana Inés"/>
    <s v="Medellin"/>
    <s v="Tratamiento"/>
    <x v="1"/>
    <s v="HOGARES SALUDABLES MEDELLÍN"/>
  </r>
  <r>
    <n v="387"/>
    <n v="1000871711"/>
    <s v="Luz Eneida"/>
    <s v="Medellin"/>
    <s v="Tratamiento"/>
    <x v="4"/>
    <s v="HOGARES SALUDABLES MEDELLÍN"/>
  </r>
  <r>
    <n v="388"/>
    <n v="1001359510"/>
    <s v="Margarita Isabel"/>
    <s v="Medellin"/>
    <s v="Tratamiento"/>
    <x v="1"/>
    <s v="HOGARES SALUDABLES MEDELLÍN"/>
  </r>
  <r>
    <n v="389"/>
    <n v="1010032037"/>
    <s v="Doralba "/>
    <s v="Medellin"/>
    <s v="Tratamiento"/>
    <x v="1"/>
    <s v="HOGARES SALUDABLES MEDELLÍN"/>
  </r>
  <r>
    <n v="390"/>
    <n v="1015186975"/>
    <s v="Daniel Esmirt"/>
    <s v="Medellin"/>
    <s v="Tratamiento"/>
    <x v="1"/>
    <s v="HOGARES SALUDABLES MEDELLÍN"/>
  </r>
  <r>
    <n v="391"/>
    <n v="1017135726"/>
    <s v="Lady  Yulieth"/>
    <s v="Medellin"/>
    <s v="Tratamiento"/>
    <x v="1"/>
    <s v="HOGARES SALUDABLES MEDELLÍN"/>
  </r>
  <r>
    <n v="392"/>
    <n v="1017152403"/>
    <s v="Víctor Hugo"/>
    <s v="Medellin"/>
    <s v="Tratamiento"/>
    <x v="1"/>
    <s v="HOGARES SALUDABLES MEDELLÍN"/>
  </r>
  <r>
    <n v="393"/>
    <n v="1017179652"/>
    <s v="Luisa Fernanda Jaramillo Jaramillo"/>
    <s v="Medellin"/>
    <s v="Tratamiento"/>
    <x v="1"/>
    <s v="HOGARES SALUDABLES MEDELLÍN"/>
  </r>
  <r>
    <n v="394"/>
    <n v="1017179966"/>
    <s v="Jenifer Marcela "/>
    <s v="Medellin"/>
    <s v="Tratamiento"/>
    <x v="4"/>
    <s v="HOGARES SALUDABLES MEDELLÍN"/>
  </r>
  <r>
    <n v="395"/>
    <n v="1017190314"/>
    <s v="Keila Andrea"/>
    <s v="Medellin"/>
    <s v="Tratamiento"/>
    <x v="1"/>
    <s v="HOGARES SALUDABLES MEDELLÍN"/>
  </r>
  <r>
    <n v="396"/>
    <n v="1017192472"/>
    <s v="Carolina del carmen"/>
    <s v="Medellin"/>
    <s v="Tratamiento"/>
    <x v="1"/>
    <s v="HOGARES SALUDABLES MEDELLÍN"/>
  </r>
  <r>
    <n v="397"/>
    <n v="1017206637"/>
    <s v="Gloria Gisela"/>
    <s v="Medellin"/>
    <s v="Tratamiento"/>
    <x v="1"/>
    <s v="HOGARES SALUDABLES MEDELLÍN"/>
  </r>
  <r>
    <n v="398"/>
    <n v="1017212544"/>
    <s v="Jessica Stefania"/>
    <s v="Medellin"/>
    <s v="Tratamiento"/>
    <x v="1"/>
    <s v="HOGARES SALUDABLES MEDELLÍN"/>
  </r>
  <r>
    <n v="399"/>
    <n v="1017216558"/>
    <s v="Duvan Alexis "/>
    <s v="Medellin"/>
    <s v="Tratamiento"/>
    <x v="1"/>
    <s v="HOGARES SALUDABLES MEDELLÍN"/>
  </r>
  <r>
    <n v="400"/>
    <n v="1017233148"/>
    <s v="Blanca Aliria"/>
    <s v="Medellin"/>
    <s v="Tratamiento"/>
    <x v="3"/>
    <s v="HOGARES SALUDABLES MEDELLÍN"/>
  </r>
  <r>
    <n v="401"/>
    <n v="1017239115"/>
    <s v="Sergio Alberto"/>
    <s v="Medellin"/>
    <s v="Tratamiento"/>
    <x v="4"/>
    <s v="HOGARES SALUDABLES MEDELLÍN"/>
  </r>
  <r>
    <n v="402"/>
    <n v="1017247299"/>
    <s v="Claudia Patricia "/>
    <s v="Medellin"/>
    <s v="Tratamiento"/>
    <x v="6"/>
    <s v="HOGARES SALUDABLES MEDELLÍN"/>
  </r>
  <r>
    <n v="403"/>
    <n v="1017248051"/>
    <s v="Hernán de Jesús"/>
    <s v="Medellin"/>
    <s v="Tratamiento"/>
    <x v="1"/>
    <s v="HOGARES SALUDABLES MEDELLÍN"/>
  </r>
  <r>
    <n v="404"/>
    <n v="1017266133"/>
    <s v="Marco Tulio"/>
    <s v="Medellin"/>
    <s v="Tratamiento"/>
    <x v="3"/>
    <s v="HOGARES SALUDABLES MEDELLÍN"/>
  </r>
  <r>
    <n v="405"/>
    <n v="1017269447"/>
    <s v="Cristián David"/>
    <s v="Medellin"/>
    <s v="Tratamiento"/>
    <x v="1"/>
    <s v="HOGARES SALUDABLES MEDELLÍN"/>
  </r>
  <r>
    <n v="406"/>
    <n v="1017269998"/>
    <s v="José Alberto"/>
    <s v="Medellin"/>
    <s v="Tratamiento"/>
    <x v="1"/>
    <s v="HOGARES SALUDABLES MEDELLÍN"/>
  </r>
  <r>
    <n v="407"/>
    <n v="1020482801"/>
    <s v="Karen "/>
    <s v="Medellin"/>
    <s v="Tratamiento"/>
    <x v="1"/>
    <s v="HOGARES SALUDABLES MEDELLÍN"/>
  </r>
  <r>
    <n v="408"/>
    <n v="1022124557"/>
    <s v="Pablo Andrés"/>
    <s v="Medellin"/>
    <s v="Tratamiento"/>
    <x v="1"/>
    <s v="HOGARES SALUDABLES MEDELLÍN"/>
  </r>
  <r>
    <n v="409"/>
    <n v="1022125326"/>
    <s v="Jorge Alberto"/>
    <s v="Medellin"/>
    <s v="Tratamiento"/>
    <x v="1"/>
    <s v="HOGARES SALUDABLES MEDELLÍN"/>
  </r>
  <r>
    <n v="410"/>
    <n v="1025640590"/>
    <s v="Evelin Tatiana "/>
    <s v="Medellin"/>
    <s v="Tratamiento"/>
    <x v="3"/>
    <s v="HOGARES SALUDABLES MEDELLÍN"/>
  </r>
  <r>
    <n v="411"/>
    <n v="1025665487"/>
    <s v="Meilyn  paola"/>
    <s v="Medellin"/>
    <s v="Tratamiento"/>
    <x v="3"/>
    <s v="HOGARES SALUDABLES MEDELLÍN"/>
  </r>
  <r>
    <n v="412"/>
    <n v="1026145865"/>
    <s v="Natalia "/>
    <s v="Medellin"/>
    <s v="Tratamiento"/>
    <x v="4"/>
    <s v="HOGARES SALUDABLES MEDELLÍN"/>
  </r>
  <r>
    <n v="413"/>
    <n v="1036601648"/>
    <s v="Carlos Arturo"/>
    <s v="Medellin"/>
    <s v="Tratamiento"/>
    <x v="1"/>
    <s v="HOGARES SALUDABLES MEDELLÍN"/>
  </r>
  <r>
    <n v="414"/>
    <n v="1036934154"/>
    <s v="Jenifer julier calle parias"/>
    <s v="Medellin"/>
    <s v="Tratamiento"/>
    <x v="3"/>
    <s v="HOGARES SALUDABLES MEDELLÍN"/>
  </r>
  <r>
    <n v="415"/>
    <n v="1037263422"/>
    <s v="Flor Enid Sánchez molina"/>
    <s v="Medellin"/>
    <s v="Tratamiento"/>
    <x v="1"/>
    <s v="HOGARES SALUDABLES MEDELLÍN"/>
  </r>
  <r>
    <n v="416"/>
    <n v="1037570230"/>
    <s v="María Nubia "/>
    <s v="Medellin"/>
    <s v="Tratamiento"/>
    <x v="1"/>
    <s v="HOGARES SALUDABLES MEDELLÍN"/>
  </r>
  <r>
    <n v="417"/>
    <n v="1039285463"/>
    <s v="Mario Humberto "/>
    <s v="Medellin"/>
    <s v="Tratamiento"/>
    <x v="3"/>
    <s v="HOGARES SALUDABLES MEDELLÍN"/>
  </r>
  <r>
    <n v="418"/>
    <n v="1040749440"/>
    <s v="Yuly Tatiana"/>
    <s v="Medellin"/>
    <s v="Tratamiento"/>
    <x v="3"/>
    <s v="HOGARES SALUDABLES MEDELLÍN"/>
  </r>
  <r>
    <n v="419"/>
    <n v="1042064849"/>
    <s v="Yesica Alejandra"/>
    <s v="Medellin"/>
    <s v="Tratamiento"/>
    <x v="3"/>
    <s v="HOGARES SALUDABLES MEDELLÍN"/>
  </r>
  <r>
    <n v="420"/>
    <n v="1044150889"/>
    <s v="Leonardo Alonso"/>
    <s v="Medellin"/>
    <s v="Tratamiento"/>
    <x v="3"/>
    <s v="HOGARES SALUDABLES MEDELLÍN"/>
  </r>
  <r>
    <n v="421"/>
    <n v="1067094968"/>
    <s v="Luis Eduardo Cartagena Vargas "/>
    <s v="Medellin"/>
    <s v="Tratamiento"/>
    <x v="4"/>
    <s v="HOGARES SALUDABLES MEDELLÍN"/>
  </r>
  <r>
    <n v="422"/>
    <n v="1128271580"/>
    <s v="Edelmira "/>
    <s v="Medellin"/>
    <s v="Tratamiento"/>
    <x v="1"/>
    <s v="HOGARES SALUDABLES MEDELLÍN"/>
  </r>
  <r>
    <n v="423"/>
    <n v="1144201470"/>
    <s v="Paula Andrea"/>
    <s v="Medellin"/>
    <s v="Tratamiento"/>
    <x v="1"/>
    <s v="HOGARES SALUDABLES MEDELLÍN"/>
  </r>
  <r>
    <n v="424"/>
    <n v="1146434251"/>
    <s v="Luz Amparo "/>
    <s v="Medellin"/>
    <s v="Tratamiento"/>
    <x v="3"/>
    <s v="HOGARES SALUDABLES MEDELLÍN"/>
  </r>
  <r>
    <n v="425"/>
    <n v="1147950412"/>
    <s v="Yanfary "/>
    <s v="Medellin"/>
    <s v="Tratamiento"/>
    <x v="2"/>
    <s v="HOGARES SALUDABLES MEDELLÍN"/>
  </r>
  <r>
    <n v="426"/>
    <n v="1147957415"/>
    <s v="Sindy Yomara"/>
    <s v="Medellin"/>
    <s v="Tratamiento"/>
    <x v="0"/>
    <s v="HOGARES SALUDABLES MEDELLÍN"/>
  </r>
  <r>
    <n v="427"/>
    <n v="1152204057"/>
    <s v="Eber Arley "/>
    <s v="Medellin"/>
    <s v="Tratamiento"/>
    <x v="1"/>
    <s v="HOGARES SALUDABLES MEDELLÍN"/>
  </r>
  <r>
    <n v="428"/>
    <n v="1192898936"/>
    <s v="Rosalba"/>
    <s v="Medellin"/>
    <s v="Tratamiento"/>
    <x v="3"/>
    <s v="HOGARES SALUDABLES MEDELLÍN"/>
  </r>
  <r>
    <n v="429"/>
    <n v="1214733443"/>
    <s v="Aleidy Andrea"/>
    <s v="Medellin"/>
    <s v="Tratamiento"/>
    <x v="1"/>
    <s v="HOGARES SALUDABLES MEDELLÍN"/>
  </r>
  <r>
    <n v="430"/>
    <n v="21386259"/>
    <s v="Alba Lucía"/>
    <s v="Medellin"/>
    <s v="Tratamiento"/>
    <x v="1"/>
    <s v="HOGARES SALUDABLES MEDELLÍN"/>
  </r>
  <r>
    <n v="431"/>
    <n v="21399690"/>
    <s v="María Adalisve rincón "/>
    <s v="Medellin"/>
    <s v="Tratamiento"/>
    <x v="3"/>
    <s v="HOGARES SALUDABLES MEDELLÍN"/>
  </r>
  <r>
    <n v="432"/>
    <n v="21400273"/>
    <s v="Maria Viglenisa"/>
    <s v="Medellin"/>
    <s v="Tratamiento"/>
    <x v="1"/>
    <s v="HOGARES SALUDABLES MEDELLÍN"/>
  </r>
  <r>
    <n v="433"/>
    <n v="21451506"/>
    <s v="Gloria de Jesús"/>
    <s v="Medellin"/>
    <s v="Tratamiento"/>
    <x v="1"/>
    <s v="HOGARES SALUDABLES MEDELLÍN"/>
  </r>
  <r>
    <n v="434"/>
    <n v="21464825"/>
    <s v="Fabia Margarita"/>
    <s v="Medellin"/>
    <s v="Tratamiento"/>
    <x v="1"/>
    <s v="HOGARES SALUDABLES MEDELLÍN"/>
  </r>
  <r>
    <n v="435"/>
    <n v="21467983"/>
    <s v="Gloria Eunice "/>
    <s v="Medellin"/>
    <s v="Tratamiento"/>
    <x v="3"/>
    <s v="HOGARES SALUDABLES MEDELLÍN"/>
  </r>
  <r>
    <n v="436"/>
    <n v="21508452"/>
    <s v="María Mercedes "/>
    <s v="Medellin"/>
    <s v="Tratamiento"/>
    <x v="1"/>
    <s v="HOGARES SALUDABLES MEDELLÍN"/>
  </r>
  <r>
    <n v="437"/>
    <n v="21521912"/>
    <s v="Fany de jesus"/>
    <s v="Medellin"/>
    <s v="Tratamiento"/>
    <x v="1"/>
    <s v="HOGARES SALUDABLES MEDELLÍN"/>
  </r>
  <r>
    <n v="438"/>
    <n v="21559816"/>
    <s v="Luz omaira"/>
    <s v="Medellin"/>
    <s v="Tratamiento"/>
    <x v="1"/>
    <s v="HOGARES SALUDABLES MEDELLÍN"/>
  </r>
  <r>
    <n v="439"/>
    <n v="21573512"/>
    <s v="Marta Lilia "/>
    <s v="Medellin"/>
    <s v="Tratamiento"/>
    <x v="2"/>
    <s v="HOGARES SALUDABLES MEDELLÍN"/>
  </r>
  <r>
    <n v="440"/>
    <n v="21575791"/>
    <s v="Luz marina"/>
    <s v="Medellin"/>
    <s v="Tratamiento"/>
    <x v="1"/>
    <s v="HOGARES SALUDABLES MEDELLÍN"/>
  </r>
  <r>
    <n v="441"/>
    <n v="21584884"/>
    <s v="Maria franquelina"/>
    <s v="Medellin"/>
    <s v="Tratamiento"/>
    <x v="4"/>
    <s v="HOGARES SALUDABLES MEDELLÍN"/>
  </r>
  <r>
    <n v="442"/>
    <n v="21620314"/>
    <s v="Beatriz Elena"/>
    <s v="Medellin"/>
    <s v="Tratamiento"/>
    <x v="3"/>
    <s v="HOGARES SALUDABLES MEDELLÍN"/>
  </r>
  <r>
    <n v="443"/>
    <n v="21691463"/>
    <s v="Berta oliva "/>
    <s v="Medellin"/>
    <s v="Tratamiento"/>
    <x v="1"/>
    <s v="HOGARES SALUDABLES MEDELLÍN"/>
  </r>
  <r>
    <n v="444"/>
    <n v="21693354"/>
    <s v="Blanca emilia"/>
    <s v="Medellin"/>
    <s v="Tratamiento"/>
    <x v="1"/>
    <s v="HOGARES SALUDABLES MEDELLÍN"/>
  </r>
  <r>
    <n v="445"/>
    <n v="21697016"/>
    <s v="Martha ligia"/>
    <s v="Medellin"/>
    <s v="Tratamiento"/>
    <x v="1"/>
    <s v="HOGARES SALUDABLES MEDELLÍN"/>
  </r>
  <r>
    <n v="446"/>
    <n v="21697063"/>
    <s v="Nancy elena"/>
    <s v="Medellin"/>
    <s v="Tratamiento"/>
    <x v="1"/>
    <s v="HOGARES SALUDABLES MEDELLÍN"/>
  </r>
  <r>
    <n v="447"/>
    <n v="21697589"/>
    <s v="Maria Magnolia"/>
    <s v="Medellin"/>
    <s v="Tratamiento"/>
    <x v="3"/>
    <s v="HOGARES SALUDABLES MEDELLÍN"/>
  </r>
  <r>
    <n v="448"/>
    <n v="21709045"/>
    <s v="María Dolore"/>
    <s v="Medellin"/>
    <s v="Tratamiento"/>
    <x v="3"/>
    <s v="HOGARES SALUDABLES MEDELLÍN"/>
  </r>
  <r>
    <n v="449"/>
    <n v="21744070"/>
    <s v="María franquelina"/>
    <s v="Medellin"/>
    <s v="Tratamiento"/>
    <x v="1"/>
    <s v="HOGARES SALUDABLES MEDELLÍN"/>
  </r>
  <r>
    <n v="450"/>
    <n v="21785236"/>
    <s v="Maria Doriela"/>
    <s v="Medellin"/>
    <s v="Tratamiento"/>
    <x v="2"/>
    <s v="HOGARES SALUDABLES MEDELLÍN"/>
  </r>
  <r>
    <n v="451"/>
    <n v="21808751"/>
    <s v="Ana de Jesús "/>
    <s v="Medellin"/>
    <s v="Tratamiento"/>
    <x v="2"/>
    <s v="HOGARES SALUDABLES MEDELLÍN"/>
  </r>
  <r>
    <n v="452"/>
    <n v="21808821"/>
    <s v="Laura Rosa"/>
    <s v="Medellin"/>
    <s v="Tratamiento"/>
    <x v="1"/>
    <s v="HOGARES SALUDABLES MEDELLÍN"/>
  </r>
  <r>
    <n v="453"/>
    <n v="21809439"/>
    <s v="Martha Alicia"/>
    <s v="Medellin"/>
    <s v="Tratamiento"/>
    <x v="1"/>
    <s v="HOGARES SALUDABLES MEDELLÍN"/>
  </r>
  <r>
    <n v="454"/>
    <n v="21812687"/>
    <s v="Ruperto eliecer"/>
    <s v="Medellin"/>
    <s v="Tratamiento"/>
    <x v="1"/>
    <s v="HOGARES SALUDABLES MEDELLÍN"/>
  </r>
  <r>
    <n v="455"/>
    <n v="21816448"/>
    <s v="Gloria Elena "/>
    <s v="Medellin"/>
    <s v="Tratamiento"/>
    <x v="1"/>
    <s v="HOGARES SALUDABLES MEDELLÍN"/>
  </r>
  <r>
    <n v="456"/>
    <n v="21893072"/>
    <s v="María Inés"/>
    <s v="Medellin"/>
    <s v="Tratamiento"/>
    <x v="1"/>
    <s v="HOGARES SALUDABLES MEDELLÍN"/>
  </r>
  <r>
    <n v="457"/>
    <n v="21910729"/>
    <s v="Rosalba"/>
    <s v="Medellin"/>
    <s v="Tratamiento"/>
    <x v="3"/>
    <s v="HOGARES SALUDABLES MEDELLÍN"/>
  </r>
  <r>
    <n v="458"/>
    <n v="21910873"/>
    <s v="Maria isidora"/>
    <s v="Medellin"/>
    <s v="Tratamiento"/>
    <x v="1"/>
    <s v="HOGARES SALUDABLES MEDELLÍN"/>
  </r>
  <r>
    <n v="459"/>
    <n v="21910907"/>
    <s v="María Otilia "/>
    <s v="Medellin"/>
    <s v="Tratamiento"/>
    <x v="1"/>
    <s v="HOGARES SALUDABLES MEDELLÍN"/>
  </r>
  <r>
    <n v="460"/>
    <n v="21912116"/>
    <s v="Joaquín Guillermo"/>
    <s v="Medellin"/>
    <s v="Tratamiento"/>
    <x v="4"/>
    <s v="HOGARES SALUDABLES MEDELLÍN"/>
  </r>
  <r>
    <n v="461"/>
    <n v="21954148"/>
    <s v="María Justiniano "/>
    <s v="Medellin"/>
    <s v="Tratamiento"/>
    <x v="3"/>
    <s v="HOGARES SALUDABLES MEDELLÍN"/>
  </r>
  <r>
    <n v="462"/>
    <n v="21977327"/>
    <s v="Luz Marina"/>
    <s v="Medellin"/>
    <s v="Tratamiento"/>
    <x v="4"/>
    <s v="HOGARES SALUDABLES MEDELLÍN"/>
  </r>
  <r>
    <n v="463"/>
    <n v="22032152"/>
    <s v="Bertha Inés "/>
    <s v="Medellin"/>
    <s v="Tratamiento"/>
    <x v="1"/>
    <s v="HOGARES SALUDABLES MEDELLÍN"/>
  </r>
  <r>
    <n v="464"/>
    <n v="22103917"/>
    <s v="María cecilia"/>
    <s v="Medellin"/>
    <s v="Tratamiento"/>
    <x v="1"/>
    <s v="HOGARES SALUDABLES MEDELLÍN"/>
  </r>
  <r>
    <n v="465"/>
    <n v="22108850"/>
    <s v="María Aura"/>
    <s v="Medellin"/>
    <s v="Tratamiento"/>
    <x v="1"/>
    <s v="HOGARES SALUDABLES MEDELLÍN"/>
  </r>
  <r>
    <n v="466"/>
    <n v="22139441"/>
    <s v="María Oliva"/>
    <s v="Medellin"/>
    <s v="Tratamiento"/>
    <x v="1"/>
    <s v="HOGARES SALUDABLES MEDELLÍN"/>
  </r>
  <r>
    <n v="467"/>
    <n v="22210262"/>
    <s v="Maria Odila"/>
    <s v="Medellin"/>
    <s v="Tratamiento"/>
    <x v="1"/>
    <s v="HOGARES SALUDABLES MEDELLÍN"/>
  </r>
  <r>
    <n v="468"/>
    <n v="22222115"/>
    <s v="Maria Eulalia"/>
    <s v="Medellin"/>
    <s v="Tratamiento"/>
    <x v="4"/>
    <s v="HOGARES SALUDABLES MEDELLÍN"/>
  </r>
  <r>
    <n v="469"/>
    <n v="22230457"/>
    <s v="Libia del Socorro "/>
    <s v="Medellin"/>
    <s v="Tratamiento"/>
    <x v="1"/>
    <s v="HOGARES SALUDABLES MEDELLÍN"/>
  </r>
  <r>
    <n v="470"/>
    <n v="24552101"/>
    <s v="Liliana del Socorro"/>
    <s v="Medellin"/>
    <s v="Tratamiento"/>
    <x v="4"/>
    <s v="HOGARES SALUDABLES MEDELLÍN"/>
  </r>
  <r>
    <n v="471"/>
    <n v="24999258"/>
    <s v="Argemiro Muñoz roldan"/>
    <s v="Medellin"/>
    <s v="Tratamiento"/>
    <x v="6"/>
    <s v="HOGARES SALUDABLES MEDELLÍN"/>
  </r>
  <r>
    <n v="472"/>
    <n v="26393898"/>
    <s v="Martina Sara "/>
    <s v="Medellin"/>
    <s v="Tratamiento"/>
    <x v="4"/>
    <s v="HOGARES SALUDABLES MEDELLÍN"/>
  </r>
  <r>
    <n v="473"/>
    <n v="30402150"/>
    <s v="Luz Dary"/>
    <s v="Medellin"/>
    <s v="Tratamiento"/>
    <x v="3"/>
    <s v="HOGARES SALUDABLES MEDELLÍN"/>
  </r>
  <r>
    <n v="474"/>
    <n v="32102790"/>
    <s v="María Eugenia "/>
    <s v="Medellin"/>
    <s v="Tratamiento"/>
    <x v="1"/>
    <s v="HOGARES SALUDABLES MEDELLÍN"/>
  </r>
  <r>
    <n v="475"/>
    <n v="32118138"/>
    <s v="John Jairo"/>
    <s v="Medellin"/>
    <s v="Tratamiento"/>
    <x v="5"/>
    <s v="HOGARES SALUDABLES MEDELLÍN"/>
  </r>
  <r>
    <n v="476"/>
    <n v="32144313"/>
    <s v="Yadys Patricia"/>
    <s v="Medellin"/>
    <s v="Tratamiento"/>
    <x v="3"/>
    <s v="HOGARES SALUDABLES MEDELLÍN"/>
  </r>
  <r>
    <n v="477"/>
    <n v="32208850"/>
    <s v="Sulinda Patricia "/>
    <s v="Medellin"/>
    <s v="Tratamiento"/>
    <x v="1"/>
    <s v="HOGARES SALUDABLES MEDELLÍN"/>
  </r>
  <r>
    <n v="478"/>
    <n v="32255448"/>
    <s v="Gloria Amparo "/>
    <s v="Medellin"/>
    <s v="Tratamiento"/>
    <x v="1"/>
    <s v="HOGARES SALUDABLES MEDELLÍN"/>
  </r>
  <r>
    <n v="479"/>
    <n v="32258550"/>
    <s v="Omaira "/>
    <s v="Medellin"/>
    <s v="Tratamiento"/>
    <x v="1"/>
    <s v="HOGARES SALUDABLES MEDELLÍN"/>
  </r>
  <r>
    <n v="480"/>
    <n v="32358114"/>
    <s v="Yarledys tatiana correa"/>
    <s v="Medellin"/>
    <s v="Tratamiento"/>
    <x v="1"/>
    <s v="HOGARES SALUDABLES MEDELLÍN"/>
  </r>
  <r>
    <n v="481"/>
    <n v="32358159"/>
    <s v="Elena Rocio Torres Lozano"/>
    <s v="Medellin"/>
    <s v="Tratamiento"/>
    <x v="1"/>
    <s v="HOGARES SALUDABLES MEDELLÍN"/>
  </r>
  <r>
    <n v="482"/>
    <n v="32409494"/>
    <s v="Celina"/>
    <s v="Medellin"/>
    <s v="Tratamiento"/>
    <x v="1"/>
    <s v="HOGARES SALUDABLES MEDELLÍN"/>
  </r>
  <r>
    <n v="483"/>
    <n v="32422939"/>
    <s v="Ana delfa "/>
    <s v="Medellin"/>
    <s v="Tratamiento"/>
    <x v="1"/>
    <s v="HOGARES SALUDABLES MEDELLÍN"/>
  </r>
  <r>
    <n v="484"/>
    <n v="32487899"/>
    <s v="Maria Amparo "/>
    <s v="Medellin"/>
    <s v="Tratamiento"/>
    <x v="1"/>
    <s v="HOGARES SALUDABLES MEDELLÍN"/>
  </r>
  <r>
    <n v="485"/>
    <n v="32500696"/>
    <s v="Maria Teresa "/>
    <s v="Medellin"/>
    <s v="Tratamiento"/>
    <x v="3"/>
    <s v="HOGARES SALUDABLES MEDELLÍN"/>
  </r>
  <r>
    <n v="486"/>
    <n v="32519087"/>
    <s v="Aura Cely"/>
    <s v="Medellin"/>
    <s v="Tratamiento"/>
    <x v="1"/>
    <s v="HOGARES SALUDABLES MEDELLÍN"/>
  </r>
  <r>
    <n v="487"/>
    <n v="32529962"/>
    <s v="Ana Felinda"/>
    <s v="Medellin"/>
    <s v="Tratamiento"/>
    <x v="3"/>
    <s v="HOGARES SALUDABLES MEDELLÍN"/>
  </r>
  <r>
    <n v="488"/>
    <n v="32531832"/>
    <s v="Bertha Alicia"/>
    <s v="Medellin"/>
    <s v="Tratamiento"/>
    <x v="1"/>
    <s v="HOGARES SALUDABLES MEDELLÍN"/>
  </r>
  <r>
    <n v="489"/>
    <n v="32533675"/>
    <s v="Marleni del socorro"/>
    <s v="Medellin"/>
    <s v="Tratamiento"/>
    <x v="1"/>
    <s v="HOGARES SALUDABLES MEDELLÍN"/>
  </r>
  <r>
    <n v="490"/>
    <n v="32535369"/>
    <s v="Ana Lilia "/>
    <s v="Medellin"/>
    <s v="Tratamiento"/>
    <x v="1"/>
    <s v="HOGARES SALUDABLES MEDELLÍN"/>
  </r>
  <r>
    <n v="491"/>
    <n v="33255246"/>
    <s v="Jerly Cristina"/>
    <s v="Medellin"/>
    <s v="Tratamiento"/>
    <x v="3"/>
    <s v="HOGARES SALUDABLES MEDELLÍN"/>
  </r>
  <r>
    <n v="492"/>
    <n v="3569578"/>
    <s v="Marcelino"/>
    <s v="Medellin"/>
    <s v="Tratamiento"/>
    <x v="1"/>
    <s v="HOGARES SALUDABLES MEDELLÍN"/>
  </r>
  <r>
    <n v="493"/>
    <n v="3575338"/>
    <s v="Luis Arturo "/>
    <s v="Medellin"/>
    <s v="Tratamiento"/>
    <x v="1"/>
    <s v="HOGARES SALUDABLES MEDELLÍN"/>
  </r>
  <r>
    <n v="494"/>
    <n v="39268214"/>
    <s v="Dora helena Cardona hernandez"/>
    <s v="Medellin"/>
    <s v="Tratamiento"/>
    <x v="1"/>
    <s v="HOGARES SALUDABLES MEDELLÍN"/>
  </r>
  <r>
    <n v="495"/>
    <n v="39384513"/>
    <s v="Morelia de Jesus"/>
    <s v="Medellin"/>
    <s v="Tratamiento"/>
    <x v="1"/>
    <s v="HOGARES SALUDABLES MEDELLÍN"/>
  </r>
  <r>
    <n v="496"/>
    <n v="41632550"/>
    <s v="Luz Marina"/>
    <s v="Medellin"/>
    <s v="Tratamiento"/>
    <x v="6"/>
    <s v="HOGARES SALUDABLES MEDELLÍN"/>
  </r>
  <r>
    <n v="497"/>
    <n v="42128788"/>
    <s v="Luz Jhaneth"/>
    <s v="Medellin"/>
    <s v="Tratamiento"/>
    <x v="4"/>
    <s v="HOGARES SALUDABLES MEDELLÍN"/>
  </r>
  <r>
    <n v="498"/>
    <n v="42701708"/>
    <s v="Cruz berarda Morales Morales"/>
    <s v="Medellin"/>
    <s v="Tratamiento"/>
    <x v="6"/>
    <s v="HOGARES SALUDABLES MEDELLÍN"/>
  </r>
  <r>
    <n v="499"/>
    <n v="42767896"/>
    <s v="María Consuelo parra ospina"/>
    <s v="Medellin"/>
    <s v="Tratamiento"/>
    <x v="1"/>
    <s v="HOGARES SALUDABLES MEDELLÍN"/>
  </r>
  <r>
    <n v="500"/>
    <n v="42772039"/>
    <s v="Argelis"/>
    <s v="Medellin"/>
    <s v="Tratamiento"/>
    <x v="1"/>
    <s v="HOGARES SALUDABLES MEDELLÍN"/>
  </r>
  <r>
    <n v="501"/>
    <n v="42884497"/>
    <s v="Amparo de Jesús higuita echavarria"/>
    <s v="Medellin"/>
    <s v="Tratamiento"/>
    <x v="6"/>
    <s v="HOGARES SALUDABLES MEDELLÍN"/>
  </r>
  <r>
    <n v="502"/>
    <n v="42973581"/>
    <s v="Luz Miriam "/>
    <s v="Medellin"/>
    <s v="Tratamiento"/>
    <x v="1"/>
    <s v="HOGARES SALUDABLES MEDELLÍN"/>
  </r>
  <r>
    <n v="503"/>
    <n v="42977679"/>
    <s v="Jhoana Marcela "/>
    <s v="Medellin"/>
    <s v="Tratamiento"/>
    <x v="1"/>
    <s v="HOGARES SALUDABLES MEDELLÍN"/>
  </r>
  <r>
    <n v="504"/>
    <n v="42991676"/>
    <s v="Ángela Gloria"/>
    <s v="Medellin"/>
    <s v="Tratamiento"/>
    <x v="3"/>
    <s v="HOGARES SALUDABLES MEDELLÍN"/>
  </r>
  <r>
    <n v="505"/>
    <n v="42995862"/>
    <s v="Edilma de Jesús "/>
    <s v="Medellin"/>
    <s v="Tratamiento"/>
    <x v="1"/>
    <s v="HOGARES SALUDABLES MEDELLÍN"/>
  </r>
  <r>
    <n v="506"/>
    <n v="43034542"/>
    <s v="Manuel José montaya muñoz"/>
    <s v="Medellin"/>
    <s v="Tratamiento"/>
    <x v="1"/>
    <s v="HOGARES SALUDABLES MEDELLÍN"/>
  </r>
  <r>
    <n v="507"/>
    <n v="43057779"/>
    <s v="Luz Marina del socorro "/>
    <s v="Medellin"/>
    <s v="Tratamiento"/>
    <x v="2"/>
    <s v="HOGARES SALUDABLES MEDELLÍN"/>
  </r>
  <r>
    <n v="508"/>
    <n v="43062092"/>
    <s v="María sobeiba Martínez marin"/>
    <s v="Medellin"/>
    <s v="Tratamiento"/>
    <x v="0"/>
    <s v="HOGARES SALUDABLES MEDELLÍN"/>
  </r>
  <r>
    <n v="509"/>
    <n v="43066859"/>
    <s v="María Araceli"/>
    <s v="Medellin"/>
    <s v="Tratamiento"/>
    <x v="1"/>
    <s v="HOGARES SALUDABLES MEDELLÍN"/>
  </r>
  <r>
    <n v="510"/>
    <n v="43069093"/>
    <s v="Maria Alba Luz "/>
    <s v="Medellin"/>
    <s v="Tratamiento"/>
    <x v="1"/>
    <s v="HOGARES SALUDABLES MEDELLÍN"/>
  </r>
  <r>
    <n v="511"/>
    <n v="43070884"/>
    <s v="María Dolores"/>
    <s v="Medellin"/>
    <s v="Tratamiento"/>
    <x v="1"/>
    <s v="HOGARES SALUDABLES MEDELLÍN"/>
  </r>
  <r>
    <n v="512"/>
    <n v="43075851"/>
    <s v="Ofelia"/>
    <s v="Medellin"/>
    <s v="Tratamiento"/>
    <x v="1"/>
    <s v="HOGARES SALUDABLES MEDELLÍN"/>
  </r>
  <r>
    <n v="513"/>
    <n v="43085637"/>
    <s v="María Ninfa Higuita"/>
    <s v="Medellin"/>
    <s v="Tratamiento"/>
    <x v="1"/>
    <s v="HOGARES SALUDABLES MEDELLÍN"/>
  </r>
  <r>
    <n v="514"/>
    <n v="43100739"/>
    <s v="Dasney Maria"/>
    <s v="Medellin"/>
    <s v="Tratamiento"/>
    <x v="1"/>
    <s v="HOGARES SALUDABLES MEDELLÍN"/>
  </r>
  <r>
    <n v="515"/>
    <n v="43101586"/>
    <s v="Elizabeth del Socorro"/>
    <s v="Medellin"/>
    <s v="Tratamiento"/>
    <x v="1"/>
    <s v="HOGARES SALUDABLES MEDELLÍN"/>
  </r>
  <r>
    <n v="516"/>
    <n v="43141643"/>
    <s v="Argel María "/>
    <s v="Medellin"/>
    <s v="Tratamiento"/>
    <x v="1"/>
    <s v="HOGARES SALUDABLES MEDELLÍN"/>
  </r>
  <r>
    <n v="517"/>
    <n v="43150064"/>
    <s v="Luz margod Montoya mesa"/>
    <s v="Medellin"/>
    <s v="Tratamiento"/>
    <x v="6"/>
    <s v="HOGARES SALUDABLES MEDELLÍN"/>
  </r>
  <r>
    <n v="518"/>
    <n v="43152836"/>
    <s v="Maria Dilbia"/>
    <s v="Medellin"/>
    <s v="Tratamiento"/>
    <x v="1"/>
    <s v="HOGARES SALUDABLES MEDELLÍN"/>
  </r>
  <r>
    <n v="519"/>
    <n v="43203228"/>
    <s v="Victoria Eugenia"/>
    <s v="Medellin"/>
    <s v="Tratamiento"/>
    <x v="6"/>
    <s v="HOGARES SALUDABLES MEDELLÍN"/>
  </r>
  <r>
    <n v="520"/>
    <n v="43251278"/>
    <s v="Rosa Delfa"/>
    <s v="Medellin"/>
    <s v="Tratamiento"/>
    <x v="1"/>
    <s v="HOGARES SALUDABLES MEDELLÍN"/>
  </r>
  <r>
    <n v="521"/>
    <n v="43259030"/>
    <s v="María Noelia"/>
    <s v="Medellin"/>
    <s v="Tratamiento"/>
    <x v="4"/>
    <s v="HOGARES SALUDABLES MEDELLÍN"/>
  </r>
  <r>
    <n v="522"/>
    <n v="43268570"/>
    <s v="Viviana Edith"/>
    <s v="Medellin"/>
    <s v="Tratamiento"/>
    <x v="1"/>
    <s v="HOGARES SALUDABLES MEDELLÍN"/>
  </r>
  <r>
    <n v="523"/>
    <n v="43269156"/>
    <s v="Isabel"/>
    <s v="Medellin"/>
    <s v="Tratamiento"/>
    <x v="1"/>
    <s v="HOGARES SALUDABLES MEDELLÍN"/>
  </r>
  <r>
    <n v="524"/>
    <n v="43275340"/>
    <s v="María Nelly"/>
    <s v="Medellin"/>
    <s v="Tratamiento"/>
    <x v="7"/>
    <s v="HOGARES SALUDABLES MEDELLÍN"/>
  </r>
  <r>
    <n v="525"/>
    <n v="43279706"/>
    <s v="Astrid elena vallejo"/>
    <s v="Medellin"/>
    <s v="Tratamiento"/>
    <x v="1"/>
    <s v="HOGARES SALUDABLES MEDELLÍN"/>
  </r>
  <r>
    <n v="526"/>
    <n v="43286202"/>
    <s v="Luzeida del Socorro "/>
    <s v="Medellin"/>
    <s v="Tratamiento"/>
    <x v="1"/>
    <s v="HOGARES SALUDABLES MEDELLÍN"/>
  </r>
  <r>
    <n v="527"/>
    <n v="43380042"/>
    <s v="Graciela "/>
    <s v="Medellin"/>
    <s v="Tratamiento"/>
    <x v="1"/>
    <s v="HOGARES SALUDABLES MEDELLÍN"/>
  </r>
  <r>
    <n v="528"/>
    <n v="43380718"/>
    <s v="Maria Rosalba"/>
    <s v="Medellin"/>
    <s v="Tratamiento"/>
    <x v="6"/>
    <s v="HOGARES SALUDABLES MEDELLÍN"/>
  </r>
  <r>
    <n v="529"/>
    <n v="43381458"/>
    <s v="Miriam"/>
    <s v="Medellin"/>
    <s v="Tratamiento"/>
    <x v="1"/>
    <s v="HOGARES SALUDABLES MEDELLÍN"/>
  </r>
  <r>
    <n v="530"/>
    <n v="43381830"/>
    <s v="Luz dari"/>
    <s v="Medellin"/>
    <s v="Tratamiento"/>
    <x v="1"/>
    <s v="HOGARES SALUDABLES MEDELLÍN"/>
  </r>
  <r>
    <n v="531"/>
    <n v="43382433"/>
    <s v="Rocio Orozco Munoz"/>
    <s v="Medellin"/>
    <s v="Tratamiento"/>
    <x v="1"/>
    <s v="HOGARES SALUDABLES MEDELLÍN"/>
  </r>
  <r>
    <n v="532"/>
    <n v="43441449"/>
    <s v="Luz Mirian Del Socorro Mesa Tamayo"/>
    <s v="Medellin"/>
    <s v="Tratamiento"/>
    <x v="6"/>
    <s v="HOGARES SALUDABLES MEDELLÍN"/>
  </r>
  <r>
    <n v="533"/>
    <n v="43485410"/>
    <s v="Ester Marina"/>
    <s v="Medellin"/>
    <s v="Tratamiento"/>
    <x v="1"/>
    <s v="HOGARES SALUDABLES MEDELLÍN"/>
  </r>
  <r>
    <n v="534"/>
    <n v="43489779"/>
    <s v="Isabel"/>
    <s v="Medellin"/>
    <s v="Tratamiento"/>
    <x v="3"/>
    <s v="HOGARES SALUDABLES MEDELLÍN"/>
  </r>
  <r>
    <n v="535"/>
    <n v="43533488"/>
    <s v="María nubia"/>
    <s v="Medellin"/>
    <s v="Tratamiento"/>
    <x v="6"/>
    <s v="HOGARES SALUDABLES MEDELLÍN"/>
  </r>
  <r>
    <n v="536"/>
    <n v="43535348"/>
    <s v="Monica María"/>
    <s v="Medellin"/>
    <s v="Tratamiento"/>
    <x v="3"/>
    <s v="HOGARES SALUDABLES MEDELLÍN"/>
  </r>
  <r>
    <n v="537"/>
    <n v="43542284"/>
    <s v="Alba Inés"/>
    <s v="Medellin"/>
    <s v="Tratamiento"/>
    <x v="1"/>
    <s v="HOGARES SALUDABLES MEDELLÍN"/>
  </r>
  <r>
    <n v="538"/>
    <n v="43566435"/>
    <s v="Gildardo Antonio "/>
    <s v="Medellin"/>
    <s v="Tratamiento"/>
    <x v="3"/>
    <s v="HOGARES SALUDABLES MEDELLÍN"/>
  </r>
  <r>
    <n v="539"/>
    <n v="43567075"/>
    <s v="Etergiria del Socorro"/>
    <s v="Medellin"/>
    <s v="Tratamiento"/>
    <x v="1"/>
    <s v="HOGARES SALUDABLES MEDELLÍN"/>
  </r>
  <r>
    <n v="540"/>
    <n v="43570005"/>
    <s v="María del rosario"/>
    <s v="Medellin"/>
    <s v="Tratamiento"/>
    <x v="3"/>
    <s v="HOGARES SALUDABLES MEDELLÍN"/>
  </r>
  <r>
    <n v="541"/>
    <n v="43582831"/>
    <s v="Luz ella"/>
    <s v="Medellin"/>
    <s v="Tratamiento"/>
    <x v="1"/>
    <s v="HOGARES SALUDABLES MEDELLÍN"/>
  </r>
  <r>
    <n v="542"/>
    <n v="43594778"/>
    <s v="Luz Marina buitrago"/>
    <s v="Medellin"/>
    <s v="Tratamiento"/>
    <x v="4"/>
    <s v="HOGARES SALUDABLES MEDELLÍN"/>
  </r>
  <r>
    <n v="543"/>
    <n v="43597042"/>
    <s v="Claudia  Solena"/>
    <s v="Medellin"/>
    <s v="Tratamiento"/>
    <x v="4"/>
    <s v="HOGARES SALUDABLES MEDELLÍN"/>
  </r>
  <r>
    <n v="544"/>
    <n v="43600211"/>
    <s v="Margo Borja Echavarria"/>
    <s v="Medellin"/>
    <s v="Tratamiento"/>
    <x v="1"/>
    <s v="HOGARES SALUDABLES MEDELLÍN"/>
  </r>
  <r>
    <n v="545"/>
    <n v="43600567"/>
    <s v="María Emilce "/>
    <s v="Medellin"/>
    <s v="Tratamiento"/>
    <x v="1"/>
    <s v="HOGARES SALUDABLES MEDELLÍN"/>
  </r>
  <r>
    <n v="546"/>
    <n v="43604079"/>
    <s v="Gustavo de jesus"/>
    <s v="Medellin"/>
    <s v="Tratamiento"/>
    <x v="7"/>
    <s v="HOGARES SALUDABLES MEDELLÍN"/>
  </r>
  <r>
    <n v="547"/>
    <n v="43605902"/>
    <s v="Ana del Carmen "/>
    <s v="Medellin"/>
    <s v="Tratamiento"/>
    <x v="0"/>
    <s v="HOGARES SALUDABLES MEDELLÍN"/>
  </r>
  <r>
    <n v="548"/>
    <n v="43607068"/>
    <s v="Susana "/>
    <s v="Medellin"/>
    <s v="Tratamiento"/>
    <x v="1"/>
    <s v="HOGARES SALUDABLES MEDELLÍN"/>
  </r>
  <r>
    <n v="549"/>
    <n v="43611767"/>
    <s v="Blanca nubia Muñoz Garcia"/>
    <s v="Medellin"/>
    <s v="Tratamiento"/>
    <x v="1"/>
    <s v="HOGARES SALUDABLES MEDELLÍN"/>
  </r>
  <r>
    <n v="550"/>
    <n v="43613777"/>
    <s v="Diana María "/>
    <s v="Medellin"/>
    <s v="Tratamiento"/>
    <x v="4"/>
    <s v="HOGARES SALUDABLES MEDELLÍN"/>
  </r>
  <r>
    <n v="551"/>
    <n v="43615569"/>
    <s v="Jorge enrrique corre zerna"/>
    <s v="Medellin"/>
    <s v="Tratamiento"/>
    <x v="4"/>
    <s v="HOGARES SALUDABLES MEDELLÍN"/>
  </r>
  <r>
    <n v="552"/>
    <n v="43634284"/>
    <s v="Astrid Yuveine "/>
    <s v="Medellin"/>
    <s v="Tratamiento"/>
    <x v="0"/>
    <s v="HOGARES SALUDABLES MEDELLÍN"/>
  </r>
  <r>
    <n v="553"/>
    <n v="43639779"/>
    <s v="Jhon Mario"/>
    <s v="Medellin"/>
    <s v="Tratamiento"/>
    <x v="1"/>
    <s v="HOGARES SALUDABLES MEDELLÍN"/>
  </r>
  <r>
    <n v="554"/>
    <n v="43640603"/>
    <s v="Lidis del carmen"/>
    <s v="Medellin"/>
    <s v="Tratamiento"/>
    <x v="1"/>
    <s v="HOGARES SALUDABLES MEDELLÍN"/>
  </r>
  <r>
    <n v="555"/>
    <n v="43681503"/>
    <s v="Maria Estrella del Socorro"/>
    <s v="Medellin"/>
    <s v="Tratamiento"/>
    <x v="4"/>
    <s v="HOGARES SALUDABLES MEDELLÍN"/>
  </r>
  <r>
    <n v="556"/>
    <n v="43750015"/>
    <s v="Marleny de Jesús"/>
    <s v="Medellin"/>
    <s v="Tratamiento"/>
    <x v="1"/>
    <s v="HOGARES SALUDABLES MEDELLÍN"/>
  </r>
  <r>
    <n v="557"/>
    <n v="43752818"/>
    <s v="María Yolanda"/>
    <s v="Medellin"/>
    <s v="Tratamiento"/>
    <x v="1"/>
    <s v="HOGARES SALUDABLES MEDELLÍN"/>
  </r>
  <r>
    <n v="558"/>
    <n v="43755833"/>
    <s v="Lidia María"/>
    <s v="Medellin"/>
    <s v="Tratamiento"/>
    <x v="1"/>
    <s v="HOGARES SALUDABLES MEDELLÍN"/>
  </r>
  <r>
    <n v="559"/>
    <n v="43905793"/>
    <s v="Diana María "/>
    <s v="Medellin"/>
    <s v="Tratamiento"/>
    <x v="1"/>
    <s v="HOGARES SALUDABLES MEDELLÍN"/>
  </r>
  <r>
    <n v="560"/>
    <n v="43973029"/>
    <s v="Viviana maria"/>
    <s v="Medellin"/>
    <s v="Tratamiento"/>
    <x v="3"/>
    <s v="HOGARES SALUDABLES MEDELLÍN"/>
  </r>
  <r>
    <n v="561"/>
    <n v="44003061"/>
    <s v="Viviana del Carmen"/>
    <s v="Medellin"/>
    <s v="Tratamiento"/>
    <x v="1"/>
    <s v="HOGARES SALUDABLES MEDELLÍN"/>
  </r>
  <r>
    <n v="562"/>
    <n v="49670234"/>
    <s v="Ruth Bibiana "/>
    <s v="Medellin"/>
    <s v="Tratamiento"/>
    <x v="1"/>
    <s v="HOGARES SALUDABLES MEDELLÍN"/>
  </r>
  <r>
    <n v="563"/>
    <n v="49691954"/>
    <s v="Judy Mercedes "/>
    <s v="Medellin"/>
    <s v="Tratamiento"/>
    <x v="1"/>
    <s v="HOGARES SALUDABLES MEDELLÍN"/>
  </r>
  <r>
    <n v="564"/>
    <n v="50947411"/>
    <s v="Armando Antonio"/>
    <s v="Medellin"/>
    <s v="Tratamiento"/>
    <x v="6"/>
    <s v="HOGARES SALUDABLES MEDELLÍN"/>
  </r>
  <r>
    <n v="565"/>
    <n v="670254"/>
    <s v="Francisco Eliseo "/>
    <s v="Medellin"/>
    <s v="Tratamiento"/>
    <x v="3"/>
    <s v="HOGARES SALUDABLES MEDELLÍN"/>
  </r>
  <r>
    <n v="566"/>
    <n v="70432281"/>
    <s v="Walter Antonio "/>
    <s v="Medellin"/>
    <s v="Tratamiento"/>
    <x v="1"/>
    <s v="HOGARES SALUDABLES MEDELLÍN"/>
  </r>
  <r>
    <n v="567"/>
    <n v="70540124"/>
    <s v="Lucas "/>
    <s v="Medellin"/>
    <s v="Tratamiento"/>
    <x v="3"/>
    <s v="HOGARES SALUDABLES MEDELLÍN"/>
  </r>
  <r>
    <n v="568"/>
    <n v="70663173"/>
    <s v="Rodrigo Andrés "/>
    <s v="Medellin"/>
    <s v="Tratamiento"/>
    <x v="4"/>
    <s v="HOGARES SALUDABLES MEDELLÍN"/>
  </r>
  <r>
    <n v="569"/>
    <n v="70721342"/>
    <s v="Juan de Jesus"/>
    <s v="Medellin"/>
    <s v="Tratamiento"/>
    <x v="3"/>
    <s v="HOGARES SALUDABLES MEDELLÍN"/>
  </r>
  <r>
    <n v="570"/>
    <n v="71276975"/>
    <s v="Andrés Mauricio Vasquez"/>
    <s v="Medellin"/>
    <s v="Tratamiento"/>
    <x v="4"/>
    <s v="HOGARES SALUDABLES MEDELLÍN"/>
  </r>
  <r>
    <n v="571"/>
    <n v="71314870"/>
    <s v="Carlos Fernando "/>
    <s v="Medellin"/>
    <s v="Tratamiento"/>
    <x v="3"/>
    <s v="HOGARES SALUDABLES MEDELLÍN"/>
  </r>
  <r>
    <n v="572"/>
    <n v="71376919"/>
    <s v="Eduard "/>
    <s v="Medellin"/>
    <s v="Tratamiento"/>
    <x v="1"/>
    <s v="HOGARES SALUDABLES MEDELLÍN"/>
  </r>
  <r>
    <n v="573"/>
    <n v="71645240"/>
    <s v="Jorge Nelson"/>
    <s v="Medellin"/>
    <s v="Tratamiento"/>
    <x v="1"/>
    <s v="HOGARES SALUDABLES MEDELLÍN"/>
  </r>
  <r>
    <n v="574"/>
    <n v="71681839"/>
    <s v="León Dario"/>
    <s v="Medellin"/>
    <s v="Tratamiento"/>
    <x v="1"/>
    <s v="HOGARES SALUDABLES MEDELLÍN"/>
  </r>
  <r>
    <n v="575"/>
    <n v="71728862"/>
    <s v="Javier Alonso Perez"/>
    <s v="Medellin"/>
    <s v="Tratamiento"/>
    <x v="6"/>
    <s v="HOGARES SALUDABLES MEDELLÍN"/>
  </r>
  <r>
    <n v="576"/>
    <n v="71763215"/>
    <s v="Rubén Dario"/>
    <s v="Medellin"/>
    <s v="Tratamiento"/>
    <x v="1"/>
    <s v="HOGARES SALUDABLES MEDELLÍN"/>
  </r>
  <r>
    <n v="577"/>
    <n v="761321"/>
    <s v="Jesús Antonio"/>
    <s v="Medellin"/>
    <s v="Tratamiento"/>
    <x v="1"/>
    <s v="HOGARES SALUDABLES MEDELLÍN"/>
  </r>
  <r>
    <n v="578"/>
    <n v="98638636"/>
    <s v="Pedro José Bustamante Ortiz"/>
    <s v="Medellin"/>
    <s v="Tratamiento"/>
    <x v="1"/>
    <s v="HOGARES SALUDABLES MEDELLÍN"/>
  </r>
  <r>
    <m/>
    <m/>
    <m/>
    <m/>
    <m/>
    <x v="8"/>
    <m/>
  </r>
  <r>
    <m/>
    <m/>
    <m/>
    <m/>
    <m/>
    <x v="8"/>
    <m/>
  </r>
  <r>
    <m/>
    <m/>
    <m/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3F9E-5DE8-48FA-9504-030A49D8BB1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7">
    <pivotField showAll="0"/>
    <pivotField showAll="0"/>
    <pivotField showAll="0"/>
    <pivotField showAll="0"/>
    <pivotField showAll="0"/>
    <pivotField axis="axisRow" dataField="1" showAll="0">
      <items count="10">
        <item x="4"/>
        <item x="1"/>
        <item x="2"/>
        <item x="3"/>
        <item x="6"/>
        <item x="5"/>
        <item x="0"/>
        <item x="7"/>
        <item x="8"/>
        <item t="default"/>
      </items>
    </pivotField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INTERVENCIONES" fld="5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79DA-5779-4F3B-B1BB-81194D3FC6C1}">
  <dimension ref="A3:I13"/>
  <sheetViews>
    <sheetView tabSelected="1" workbookViewId="0">
      <selection activeCell="N14" sqref="N14"/>
    </sheetView>
  </sheetViews>
  <sheetFormatPr baseColWidth="10" defaultRowHeight="14.4" x14ac:dyDescent="0.3"/>
  <cols>
    <col min="1" max="1" width="19" bestFit="1" customWidth="1"/>
    <col min="2" max="2" width="25.109375" bestFit="1" customWidth="1"/>
  </cols>
  <sheetData>
    <row r="3" spans="1:9" x14ac:dyDescent="0.3">
      <c r="A3" s="13" t="s">
        <v>580</v>
      </c>
      <c r="B3" t="s">
        <v>584</v>
      </c>
    </row>
    <row r="4" spans="1:9" x14ac:dyDescent="0.3">
      <c r="A4" s="14" t="s">
        <v>576</v>
      </c>
      <c r="B4" s="16">
        <v>48</v>
      </c>
      <c r="C4" s="15">
        <f>GETPIVOTDATA("INTERVENCIONES",$A$3,"INTERVENCIONES","BAÑOS")/GETPIVOTDATA("INTERVENCIONES",$A$3)</f>
        <v>8.3333333333333329E-2</v>
      </c>
    </row>
    <row r="5" spans="1:9" x14ac:dyDescent="0.3">
      <c r="A5" s="14" t="s">
        <v>571</v>
      </c>
      <c r="B5" s="16">
        <v>261</v>
      </c>
      <c r="C5" s="15">
        <f>GETPIVOTDATA("INTERVENCIONES",$A$3,"INTERVENCIONES","BAÑOS COCINA")/GETPIVOTDATA("INTERVENCIONES",$A$3)</f>
        <v>0.453125</v>
      </c>
      <c r="H5">
        <f>600-578</f>
        <v>22</v>
      </c>
    </row>
    <row r="6" spans="1:9" x14ac:dyDescent="0.3">
      <c r="A6" s="14" t="s">
        <v>572</v>
      </c>
      <c r="B6" s="16">
        <v>37</v>
      </c>
      <c r="C6" s="15">
        <f>GETPIVOTDATA("INTERVENCIONES",$A$3,"INTERVENCIONES","BAÑOS PISOS")/GETPIVOTDATA("INTERVENCIONES",$A$3)</f>
        <v>6.4236111111111105E-2</v>
      </c>
    </row>
    <row r="7" spans="1:9" x14ac:dyDescent="0.3">
      <c r="A7" s="14" t="s">
        <v>574</v>
      </c>
      <c r="B7" s="16">
        <v>90</v>
      </c>
      <c r="C7" s="15">
        <f>GETPIVOTDATA("INTERVENCIONES",$A$3,"INTERVENCIONES","BAÑOS PISOS COCINA")/GETPIVOTDATA("INTERVENCIONES",$A$3)</f>
        <v>0.15625</v>
      </c>
    </row>
    <row r="8" spans="1:9" x14ac:dyDescent="0.3">
      <c r="A8" s="14" t="s">
        <v>577</v>
      </c>
      <c r="B8" s="16">
        <v>26</v>
      </c>
      <c r="C8" s="15">
        <f>GETPIVOTDATA("INTERVENCIONES",$A$3,"INTERVENCIONES","COCINA")/GETPIVOTDATA("INTERVENCIONES",$A$3)</f>
        <v>4.5138888888888888E-2</v>
      </c>
    </row>
    <row r="9" spans="1:9" x14ac:dyDescent="0.3">
      <c r="A9" s="14" t="s">
        <v>575</v>
      </c>
      <c r="B9" s="16">
        <v>33</v>
      </c>
      <c r="C9" s="15">
        <f>GETPIVOTDATA("INTERVENCIONES",$A$3,"INTERVENCIONES","PISOS")/GETPIVOTDATA("INTERVENCIONES",$A$3)</f>
        <v>5.7291666666666664E-2</v>
      </c>
    </row>
    <row r="10" spans="1:9" x14ac:dyDescent="0.3">
      <c r="A10" s="14" t="s">
        <v>573</v>
      </c>
      <c r="B10" s="16">
        <v>78</v>
      </c>
      <c r="C10" s="15">
        <f>GETPIVOTDATA("INTERVENCIONES",$A$3,"INTERVENCIONES","PISOS COCINA")/GETPIVOTDATA("INTERVENCIONES",$A$3)</f>
        <v>0.13541666666666666</v>
      </c>
    </row>
    <row r="11" spans="1:9" x14ac:dyDescent="0.3">
      <c r="A11" s="14" t="s">
        <v>581</v>
      </c>
      <c r="B11" s="16">
        <v>3</v>
      </c>
      <c r="C11" s="15">
        <f>GETPIVOTDATA("INTERVENCIONES",$A$3,"INTERVENCIONES",#N/A)/GETPIVOTDATA("INTERVENCIONES",$A$3)</f>
        <v>5.208333333333333E-3</v>
      </c>
    </row>
    <row r="12" spans="1:9" x14ac:dyDescent="0.3">
      <c r="A12" s="14" t="s">
        <v>582</v>
      </c>
      <c r="B12" s="16"/>
    </row>
    <row r="13" spans="1:9" x14ac:dyDescent="0.3">
      <c r="A13" s="14" t="s">
        <v>583</v>
      </c>
      <c r="B13" s="16">
        <v>576</v>
      </c>
      <c r="I13">
        <f>578+600</f>
        <v>1178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1079-3D9B-4260-B8F0-847600213DE3}">
  <dimension ref="A1:G577"/>
  <sheetViews>
    <sheetView zoomScale="70" workbookViewId="0">
      <selection activeCell="F587" sqref="F587"/>
    </sheetView>
  </sheetViews>
  <sheetFormatPr baseColWidth="10" defaultColWidth="11.5546875" defaultRowHeight="14.4" x14ac:dyDescent="0.3"/>
  <cols>
    <col min="1" max="1" width="11.5546875" style="4"/>
    <col min="2" max="2" width="18" style="4" bestFit="1" customWidth="1"/>
    <col min="3" max="3" width="11.5546875" style="4" customWidth="1"/>
    <col min="4" max="5" width="11.5546875" style="4"/>
    <col min="6" max="6" width="34.33203125" style="4" customWidth="1"/>
    <col min="7" max="7" width="41.44140625" customWidth="1"/>
    <col min="8" max="16384" width="11.5546875" style="4"/>
  </cols>
  <sheetData>
    <row r="1" spans="1:7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562</v>
      </c>
      <c r="F1" s="3" t="s">
        <v>570</v>
      </c>
      <c r="G1" s="10" t="s">
        <v>564</v>
      </c>
    </row>
    <row r="2" spans="1:7" x14ac:dyDescent="0.3">
      <c r="A2" s="4">
        <v>1</v>
      </c>
      <c r="B2" s="5">
        <v>1001851457</v>
      </c>
      <c r="C2" s="4" t="s">
        <v>4</v>
      </c>
      <c r="D2" s="4" t="s">
        <v>5</v>
      </c>
      <c r="E2" s="4" t="s">
        <v>563</v>
      </c>
      <c r="F2" s="5" t="s">
        <v>573</v>
      </c>
      <c r="G2" t="s">
        <v>568</v>
      </c>
    </row>
    <row r="3" spans="1:7" x14ac:dyDescent="0.3">
      <c r="A3" s="4">
        <v>2</v>
      </c>
      <c r="B3" s="5">
        <v>1002130477</v>
      </c>
      <c r="C3" s="4" t="s">
        <v>6</v>
      </c>
      <c r="D3" s="4" t="s">
        <v>5</v>
      </c>
      <c r="E3" s="4" t="s">
        <v>563</v>
      </c>
      <c r="F3" s="5" t="s">
        <v>573</v>
      </c>
      <c r="G3" t="s">
        <v>568</v>
      </c>
    </row>
    <row r="4" spans="1:7" x14ac:dyDescent="0.3">
      <c r="A4" s="4">
        <v>3</v>
      </c>
      <c r="B4" s="5">
        <v>1002155243</v>
      </c>
      <c r="C4" s="4" t="s">
        <v>7</v>
      </c>
      <c r="D4" s="4" t="s">
        <v>5</v>
      </c>
      <c r="E4" s="4" t="s">
        <v>563</v>
      </c>
      <c r="F4" s="5" t="s">
        <v>571</v>
      </c>
      <c r="G4" t="s">
        <v>568</v>
      </c>
    </row>
    <row r="5" spans="1:7" x14ac:dyDescent="0.3">
      <c r="A5" s="4">
        <v>4</v>
      </c>
      <c r="B5" s="5">
        <v>1007132436</v>
      </c>
      <c r="C5" s="4" t="s">
        <v>8</v>
      </c>
      <c r="D5" s="4" t="s">
        <v>5</v>
      </c>
      <c r="E5" s="4" t="s">
        <v>563</v>
      </c>
      <c r="F5" s="5" t="s">
        <v>573</v>
      </c>
      <c r="G5" t="s">
        <v>568</v>
      </c>
    </row>
    <row r="6" spans="1:7" x14ac:dyDescent="0.3">
      <c r="A6" s="4">
        <v>5</v>
      </c>
      <c r="B6" s="5">
        <v>1007175950</v>
      </c>
      <c r="C6" s="4" t="s">
        <v>9</v>
      </c>
      <c r="D6" s="4" t="s">
        <v>5</v>
      </c>
      <c r="E6" s="4" t="s">
        <v>563</v>
      </c>
      <c r="F6" s="5" t="s">
        <v>572</v>
      </c>
      <c r="G6" t="s">
        <v>568</v>
      </c>
    </row>
    <row r="7" spans="1:7" x14ac:dyDescent="0.3">
      <c r="A7" s="4">
        <v>6</v>
      </c>
      <c r="B7" s="5">
        <v>1010119253</v>
      </c>
      <c r="C7" s="4" t="s">
        <v>10</v>
      </c>
      <c r="D7" s="4" t="s">
        <v>5</v>
      </c>
      <c r="E7" s="4" t="s">
        <v>563</v>
      </c>
      <c r="F7" s="5" t="s">
        <v>571</v>
      </c>
      <c r="G7" t="s">
        <v>568</v>
      </c>
    </row>
    <row r="8" spans="1:7" x14ac:dyDescent="0.3">
      <c r="A8" s="4">
        <v>7</v>
      </c>
      <c r="B8" s="5">
        <v>10122125</v>
      </c>
      <c r="C8" s="4" t="s">
        <v>11</v>
      </c>
      <c r="D8" s="4" t="s">
        <v>5</v>
      </c>
      <c r="E8" s="4" t="s">
        <v>563</v>
      </c>
      <c r="F8" s="5" t="s">
        <v>572</v>
      </c>
      <c r="G8" t="s">
        <v>568</v>
      </c>
    </row>
    <row r="9" spans="1:7" x14ac:dyDescent="0.3">
      <c r="A9" s="4">
        <v>8</v>
      </c>
      <c r="B9" s="5">
        <v>1043435114</v>
      </c>
      <c r="C9" s="4" t="s">
        <v>12</v>
      </c>
      <c r="D9" s="4" t="s">
        <v>5</v>
      </c>
      <c r="E9" s="4" t="s">
        <v>563</v>
      </c>
      <c r="F9" s="5" t="s">
        <v>571</v>
      </c>
      <c r="G9" t="s">
        <v>568</v>
      </c>
    </row>
    <row r="10" spans="1:7" x14ac:dyDescent="0.3">
      <c r="A10" s="4">
        <v>9</v>
      </c>
      <c r="B10" s="5">
        <v>1043665208</v>
      </c>
      <c r="C10" s="4" t="s">
        <v>13</v>
      </c>
      <c r="D10" s="4" t="s">
        <v>5</v>
      </c>
      <c r="E10" s="4" t="s">
        <v>563</v>
      </c>
      <c r="F10" s="5" t="s">
        <v>573</v>
      </c>
      <c r="G10" t="s">
        <v>568</v>
      </c>
    </row>
    <row r="11" spans="1:7" x14ac:dyDescent="0.3">
      <c r="A11" s="4">
        <v>10</v>
      </c>
      <c r="B11" s="5">
        <v>1045677797</v>
      </c>
      <c r="C11" s="4" t="s">
        <v>14</v>
      </c>
      <c r="D11" s="4" t="s">
        <v>5</v>
      </c>
      <c r="E11" s="4" t="s">
        <v>563</v>
      </c>
      <c r="F11" s="5" t="s">
        <v>573</v>
      </c>
      <c r="G11" t="s">
        <v>568</v>
      </c>
    </row>
    <row r="12" spans="1:7" x14ac:dyDescent="0.3">
      <c r="A12" s="4">
        <v>11</v>
      </c>
      <c r="B12" s="5">
        <v>1045678951</v>
      </c>
      <c r="C12" s="4" t="s">
        <v>15</v>
      </c>
      <c r="D12" s="4" t="s">
        <v>5</v>
      </c>
      <c r="E12" s="4" t="s">
        <v>563</v>
      </c>
      <c r="F12" s="5" t="s">
        <v>574</v>
      </c>
      <c r="G12" t="s">
        <v>568</v>
      </c>
    </row>
    <row r="13" spans="1:7" x14ac:dyDescent="0.3">
      <c r="A13" s="4">
        <v>12</v>
      </c>
      <c r="B13" s="5">
        <v>1045679578</v>
      </c>
      <c r="C13" s="4" t="s">
        <v>16</v>
      </c>
      <c r="D13" s="4" t="s">
        <v>5</v>
      </c>
      <c r="E13" s="4" t="s">
        <v>563</v>
      </c>
      <c r="F13" s="5" t="s">
        <v>573</v>
      </c>
      <c r="G13" t="s">
        <v>568</v>
      </c>
    </row>
    <row r="14" spans="1:7" x14ac:dyDescent="0.3">
      <c r="A14" s="4">
        <v>13</v>
      </c>
      <c r="B14" s="5">
        <v>1045683391</v>
      </c>
      <c r="C14" s="4" t="s">
        <v>17</v>
      </c>
      <c r="D14" s="4" t="s">
        <v>5</v>
      </c>
      <c r="E14" s="4" t="s">
        <v>563</v>
      </c>
      <c r="F14" s="5" t="s">
        <v>574</v>
      </c>
      <c r="G14" t="s">
        <v>568</v>
      </c>
    </row>
    <row r="15" spans="1:7" x14ac:dyDescent="0.3">
      <c r="A15" s="4">
        <v>14</v>
      </c>
      <c r="B15" s="5">
        <v>1045684410</v>
      </c>
      <c r="C15" s="4" t="s">
        <v>18</v>
      </c>
      <c r="D15" s="4" t="s">
        <v>5</v>
      </c>
      <c r="E15" s="4" t="s">
        <v>563</v>
      </c>
      <c r="F15" s="5" t="s">
        <v>573</v>
      </c>
      <c r="G15" t="s">
        <v>568</v>
      </c>
    </row>
    <row r="16" spans="1:7" x14ac:dyDescent="0.3">
      <c r="A16" s="4">
        <v>15</v>
      </c>
      <c r="B16" s="5">
        <v>1045685911</v>
      </c>
      <c r="C16" s="4" t="s">
        <v>19</v>
      </c>
      <c r="D16" s="4" t="s">
        <v>5</v>
      </c>
      <c r="E16" s="4" t="s">
        <v>563</v>
      </c>
      <c r="F16" s="5" t="s">
        <v>571</v>
      </c>
      <c r="G16" t="s">
        <v>568</v>
      </c>
    </row>
    <row r="17" spans="1:7" x14ac:dyDescent="0.3">
      <c r="A17" s="4">
        <v>16</v>
      </c>
      <c r="B17" s="5">
        <v>1045691917</v>
      </c>
      <c r="C17" s="4" t="s">
        <v>20</v>
      </c>
      <c r="D17" s="4" t="s">
        <v>5</v>
      </c>
      <c r="E17" s="4" t="s">
        <v>563</v>
      </c>
      <c r="F17" s="5" t="s">
        <v>576</v>
      </c>
      <c r="G17" t="s">
        <v>568</v>
      </c>
    </row>
    <row r="18" spans="1:7" x14ac:dyDescent="0.3">
      <c r="A18" s="4">
        <v>17</v>
      </c>
      <c r="B18" s="5">
        <v>1045724437</v>
      </c>
      <c r="C18" s="4" t="s">
        <v>21</v>
      </c>
      <c r="D18" s="4" t="s">
        <v>5</v>
      </c>
      <c r="E18" s="4" t="s">
        <v>563</v>
      </c>
      <c r="F18" s="5" t="s">
        <v>574</v>
      </c>
      <c r="G18" t="s">
        <v>568</v>
      </c>
    </row>
    <row r="19" spans="1:7" x14ac:dyDescent="0.3">
      <c r="A19" s="4">
        <v>18</v>
      </c>
      <c r="B19" s="5">
        <v>1045731398</v>
      </c>
      <c r="C19" s="4" t="s">
        <v>22</v>
      </c>
      <c r="D19" s="4" t="s">
        <v>5</v>
      </c>
      <c r="E19" s="4" t="s">
        <v>563</v>
      </c>
      <c r="F19" s="5" t="s">
        <v>571</v>
      </c>
      <c r="G19" t="s">
        <v>568</v>
      </c>
    </row>
    <row r="20" spans="1:7" x14ac:dyDescent="0.3">
      <c r="A20" s="4">
        <v>19</v>
      </c>
      <c r="B20" s="5">
        <v>1045741495</v>
      </c>
      <c r="C20" s="4" t="s">
        <v>23</v>
      </c>
      <c r="D20" s="4" t="s">
        <v>5</v>
      </c>
      <c r="E20" s="4" t="s">
        <v>563</v>
      </c>
      <c r="F20" s="5" t="s">
        <v>573</v>
      </c>
      <c r="G20" t="s">
        <v>568</v>
      </c>
    </row>
    <row r="21" spans="1:7" x14ac:dyDescent="0.3">
      <c r="A21" s="4">
        <v>20</v>
      </c>
      <c r="B21" s="5">
        <v>1045743889</v>
      </c>
      <c r="C21" s="4" t="s">
        <v>24</v>
      </c>
      <c r="D21" s="4" t="s">
        <v>5</v>
      </c>
      <c r="E21" s="4" t="s">
        <v>563</v>
      </c>
      <c r="F21" s="5" t="s">
        <v>576</v>
      </c>
      <c r="G21" t="s">
        <v>568</v>
      </c>
    </row>
    <row r="22" spans="1:7" x14ac:dyDescent="0.3">
      <c r="A22" s="4">
        <v>21</v>
      </c>
      <c r="B22" s="5">
        <v>1045746691</v>
      </c>
      <c r="C22" s="4" t="s">
        <v>25</v>
      </c>
      <c r="D22" s="4" t="s">
        <v>5</v>
      </c>
      <c r="E22" s="4" t="s">
        <v>563</v>
      </c>
      <c r="F22" s="5" t="s">
        <v>574</v>
      </c>
      <c r="G22" t="s">
        <v>568</v>
      </c>
    </row>
    <row r="23" spans="1:7" x14ac:dyDescent="0.3">
      <c r="A23" s="4">
        <v>22</v>
      </c>
      <c r="B23" s="5">
        <v>1045748346</v>
      </c>
      <c r="C23" s="4" t="s">
        <v>26</v>
      </c>
      <c r="D23" s="4" t="s">
        <v>5</v>
      </c>
      <c r="E23" s="4" t="s">
        <v>563</v>
      </c>
      <c r="F23" s="5" t="s">
        <v>571</v>
      </c>
      <c r="G23" t="s">
        <v>568</v>
      </c>
    </row>
    <row r="24" spans="1:7" x14ac:dyDescent="0.3">
      <c r="A24" s="4">
        <v>23</v>
      </c>
      <c r="B24" s="5">
        <v>1045759593</v>
      </c>
      <c r="C24" s="4" t="s">
        <v>27</v>
      </c>
      <c r="D24" s="4" t="s">
        <v>5</v>
      </c>
      <c r="E24" s="4" t="s">
        <v>563</v>
      </c>
      <c r="F24" s="5" t="s">
        <v>571</v>
      </c>
      <c r="G24" t="s">
        <v>568</v>
      </c>
    </row>
    <row r="25" spans="1:7" x14ac:dyDescent="0.3">
      <c r="A25" s="4">
        <v>24</v>
      </c>
      <c r="B25" s="5">
        <v>1047048484</v>
      </c>
      <c r="C25" s="4" t="s">
        <v>28</v>
      </c>
      <c r="D25" s="4" t="s">
        <v>5</v>
      </c>
      <c r="E25" s="4" t="s">
        <v>563</v>
      </c>
      <c r="F25" s="5" t="s">
        <v>573</v>
      </c>
      <c r="G25" t="s">
        <v>568</v>
      </c>
    </row>
    <row r="26" spans="1:7" x14ac:dyDescent="0.3">
      <c r="A26" s="4">
        <v>25</v>
      </c>
      <c r="B26" s="5">
        <v>1047221609</v>
      </c>
      <c r="C26" s="4" t="s">
        <v>29</v>
      </c>
      <c r="D26" s="4" t="s">
        <v>5</v>
      </c>
      <c r="E26" s="4" t="s">
        <v>563</v>
      </c>
      <c r="F26" s="5" t="s">
        <v>571</v>
      </c>
      <c r="G26" t="s">
        <v>568</v>
      </c>
    </row>
    <row r="27" spans="1:7" x14ac:dyDescent="0.3">
      <c r="A27" s="4">
        <v>26</v>
      </c>
      <c r="B27" s="5">
        <v>1047223166</v>
      </c>
      <c r="C27" s="4" t="s">
        <v>30</v>
      </c>
      <c r="D27" s="4" t="s">
        <v>5</v>
      </c>
      <c r="E27" s="4" t="s">
        <v>563</v>
      </c>
      <c r="F27" s="5" t="s">
        <v>573</v>
      </c>
      <c r="G27" t="s">
        <v>568</v>
      </c>
    </row>
    <row r="28" spans="1:7" x14ac:dyDescent="0.3">
      <c r="A28" s="4">
        <v>27</v>
      </c>
      <c r="B28" s="5">
        <v>1047226056</v>
      </c>
      <c r="C28" s="4" t="s">
        <v>31</v>
      </c>
      <c r="D28" s="4" t="s">
        <v>5</v>
      </c>
      <c r="E28" s="4" t="s">
        <v>563</v>
      </c>
      <c r="F28" s="5" t="s">
        <v>572</v>
      </c>
      <c r="G28" t="s">
        <v>568</v>
      </c>
    </row>
    <row r="29" spans="1:7" x14ac:dyDescent="0.3">
      <c r="A29" s="4">
        <v>28</v>
      </c>
      <c r="B29" s="5">
        <v>1047227573</v>
      </c>
      <c r="C29" s="4" t="s">
        <v>32</v>
      </c>
      <c r="D29" s="4" t="s">
        <v>5</v>
      </c>
      <c r="E29" s="4" t="s">
        <v>563</v>
      </c>
      <c r="F29" s="5" t="s">
        <v>573</v>
      </c>
      <c r="G29" t="s">
        <v>568</v>
      </c>
    </row>
    <row r="30" spans="1:7" x14ac:dyDescent="0.3">
      <c r="A30" s="4">
        <v>29</v>
      </c>
      <c r="B30" s="5">
        <v>1048220109</v>
      </c>
      <c r="C30" s="4" t="s">
        <v>33</v>
      </c>
      <c r="D30" s="4" t="s">
        <v>5</v>
      </c>
      <c r="E30" s="4" t="s">
        <v>563</v>
      </c>
      <c r="F30" s="5" t="s">
        <v>573</v>
      </c>
      <c r="G30" t="s">
        <v>568</v>
      </c>
    </row>
    <row r="31" spans="1:7" x14ac:dyDescent="0.3">
      <c r="A31" s="4">
        <v>30</v>
      </c>
      <c r="B31" s="5">
        <v>1129487310</v>
      </c>
      <c r="C31" s="4" t="s">
        <v>34</v>
      </c>
      <c r="D31" s="4" t="s">
        <v>5</v>
      </c>
      <c r="E31" s="4" t="s">
        <v>563</v>
      </c>
      <c r="F31" s="5" t="s">
        <v>574</v>
      </c>
      <c r="G31" t="s">
        <v>568</v>
      </c>
    </row>
    <row r="32" spans="1:7" x14ac:dyDescent="0.3">
      <c r="A32" s="4">
        <v>31</v>
      </c>
      <c r="B32" s="5">
        <v>1129497775</v>
      </c>
      <c r="C32" s="4" t="s">
        <v>35</v>
      </c>
      <c r="D32" s="4" t="s">
        <v>5</v>
      </c>
      <c r="E32" s="4" t="s">
        <v>563</v>
      </c>
      <c r="F32" s="5" t="s">
        <v>574</v>
      </c>
      <c r="G32" t="s">
        <v>568</v>
      </c>
    </row>
    <row r="33" spans="1:7" x14ac:dyDescent="0.3">
      <c r="A33" s="4">
        <v>32</v>
      </c>
      <c r="B33" s="5">
        <v>1129498810</v>
      </c>
      <c r="C33" s="4" t="s">
        <v>36</v>
      </c>
      <c r="D33" s="4" t="s">
        <v>5</v>
      </c>
      <c r="E33" s="4" t="s">
        <v>563</v>
      </c>
      <c r="F33" s="5" t="s">
        <v>571</v>
      </c>
      <c r="G33" t="s">
        <v>568</v>
      </c>
    </row>
    <row r="34" spans="1:7" x14ac:dyDescent="0.3">
      <c r="A34" s="4">
        <v>33</v>
      </c>
      <c r="B34" s="5">
        <v>1129520081</v>
      </c>
      <c r="C34" s="4" t="s">
        <v>37</v>
      </c>
      <c r="D34" s="4" t="s">
        <v>5</v>
      </c>
      <c r="E34" s="4" t="s">
        <v>563</v>
      </c>
      <c r="F34" s="5" t="s">
        <v>574</v>
      </c>
      <c r="G34" t="s">
        <v>568</v>
      </c>
    </row>
    <row r="35" spans="1:7" x14ac:dyDescent="0.3">
      <c r="A35" s="4">
        <v>34</v>
      </c>
      <c r="B35" s="5">
        <v>1129566300</v>
      </c>
      <c r="C35" s="4" t="s">
        <v>38</v>
      </c>
      <c r="D35" s="4" t="s">
        <v>5</v>
      </c>
      <c r="E35" s="4" t="s">
        <v>563</v>
      </c>
      <c r="F35" s="5" t="s">
        <v>571</v>
      </c>
      <c r="G35" t="s">
        <v>568</v>
      </c>
    </row>
    <row r="36" spans="1:7" x14ac:dyDescent="0.3">
      <c r="A36" s="4">
        <v>35</v>
      </c>
      <c r="B36" s="5">
        <v>1140822745</v>
      </c>
      <c r="C36" s="4" t="s">
        <v>39</v>
      </c>
      <c r="D36" s="4" t="s">
        <v>5</v>
      </c>
      <c r="E36" s="4" t="s">
        <v>563</v>
      </c>
      <c r="F36" s="5" t="s">
        <v>575</v>
      </c>
      <c r="G36" t="s">
        <v>568</v>
      </c>
    </row>
    <row r="37" spans="1:7" x14ac:dyDescent="0.3">
      <c r="A37" s="4">
        <v>36</v>
      </c>
      <c r="B37" s="5">
        <v>1140837632</v>
      </c>
      <c r="C37" s="4" t="s">
        <v>40</v>
      </c>
      <c r="D37" s="4" t="s">
        <v>5</v>
      </c>
      <c r="E37" s="4" t="s">
        <v>563</v>
      </c>
      <c r="F37" s="5" t="s">
        <v>575</v>
      </c>
      <c r="G37" t="s">
        <v>568</v>
      </c>
    </row>
    <row r="38" spans="1:7" x14ac:dyDescent="0.3">
      <c r="A38" s="4">
        <v>37</v>
      </c>
      <c r="B38" s="5">
        <v>1143224673</v>
      </c>
      <c r="C38" s="4" t="s">
        <v>41</v>
      </c>
      <c r="D38" s="4" t="s">
        <v>5</v>
      </c>
      <c r="E38" s="4" t="s">
        <v>563</v>
      </c>
      <c r="F38" s="5" t="s">
        <v>571</v>
      </c>
      <c r="G38" t="s">
        <v>568</v>
      </c>
    </row>
    <row r="39" spans="1:7" x14ac:dyDescent="0.3">
      <c r="A39" s="4">
        <v>38</v>
      </c>
      <c r="B39" s="5">
        <v>1143229612</v>
      </c>
      <c r="C39" s="4" t="s">
        <v>42</v>
      </c>
      <c r="D39" s="4" t="s">
        <v>5</v>
      </c>
      <c r="E39" s="4" t="s">
        <v>563</v>
      </c>
      <c r="F39" s="5" t="s">
        <v>574</v>
      </c>
      <c r="G39" t="s">
        <v>568</v>
      </c>
    </row>
    <row r="40" spans="1:7" x14ac:dyDescent="0.3">
      <c r="A40" s="4">
        <v>39</v>
      </c>
      <c r="B40" s="5">
        <v>1143243433</v>
      </c>
      <c r="C40" s="4" t="s">
        <v>43</v>
      </c>
      <c r="D40" s="4" t="s">
        <v>5</v>
      </c>
      <c r="E40" s="4" t="s">
        <v>563</v>
      </c>
      <c r="F40" s="5" t="s">
        <v>573</v>
      </c>
      <c r="G40" t="s">
        <v>568</v>
      </c>
    </row>
    <row r="41" spans="1:7" x14ac:dyDescent="0.3">
      <c r="A41" s="4">
        <v>40</v>
      </c>
      <c r="B41" s="5">
        <v>1143246211</v>
      </c>
      <c r="C41" s="4" t="s">
        <v>44</v>
      </c>
      <c r="D41" s="4" t="s">
        <v>5</v>
      </c>
      <c r="E41" s="4" t="s">
        <v>563</v>
      </c>
      <c r="F41" s="5" t="s">
        <v>574</v>
      </c>
      <c r="G41" t="s">
        <v>568</v>
      </c>
    </row>
    <row r="42" spans="1:7" x14ac:dyDescent="0.3">
      <c r="A42" s="4">
        <v>41</v>
      </c>
      <c r="B42" s="5">
        <v>1143247447</v>
      </c>
      <c r="C42" s="4" t="s">
        <v>45</v>
      </c>
      <c r="D42" s="4" t="s">
        <v>5</v>
      </c>
      <c r="E42" s="4" t="s">
        <v>563</v>
      </c>
      <c r="F42" s="5" t="s">
        <v>573</v>
      </c>
      <c r="G42" t="s">
        <v>568</v>
      </c>
    </row>
    <row r="43" spans="1:7" x14ac:dyDescent="0.3">
      <c r="A43" s="4">
        <v>42</v>
      </c>
      <c r="B43" s="5">
        <v>1143259102</v>
      </c>
      <c r="C43" s="4" t="s">
        <v>46</v>
      </c>
      <c r="D43" s="4" t="s">
        <v>5</v>
      </c>
      <c r="E43" s="4" t="s">
        <v>563</v>
      </c>
      <c r="F43" s="5" t="s">
        <v>573</v>
      </c>
      <c r="G43" t="s">
        <v>568</v>
      </c>
    </row>
    <row r="44" spans="1:7" x14ac:dyDescent="0.3">
      <c r="A44" s="4">
        <v>43</v>
      </c>
      <c r="B44" s="5">
        <v>1149440235</v>
      </c>
      <c r="C44" s="4" t="s">
        <v>47</v>
      </c>
      <c r="D44" s="4" t="s">
        <v>5</v>
      </c>
      <c r="E44" s="4" t="s">
        <v>563</v>
      </c>
      <c r="F44" s="5" t="s">
        <v>573</v>
      </c>
      <c r="G44" t="s">
        <v>568</v>
      </c>
    </row>
    <row r="45" spans="1:7" x14ac:dyDescent="0.3">
      <c r="A45" s="4">
        <v>44</v>
      </c>
      <c r="B45" s="5">
        <v>1193327320</v>
      </c>
      <c r="C45" s="4" t="s">
        <v>48</v>
      </c>
      <c r="D45" s="4" t="s">
        <v>5</v>
      </c>
      <c r="E45" s="4" t="s">
        <v>563</v>
      </c>
      <c r="F45" s="5" t="s">
        <v>574</v>
      </c>
      <c r="G45" t="s">
        <v>568</v>
      </c>
    </row>
    <row r="46" spans="1:7" x14ac:dyDescent="0.3">
      <c r="A46" s="4">
        <v>45</v>
      </c>
      <c r="B46" s="5">
        <v>1193371842</v>
      </c>
      <c r="C46" s="4" t="s">
        <v>49</v>
      </c>
      <c r="D46" s="4" t="s">
        <v>5</v>
      </c>
      <c r="E46" s="4" t="s">
        <v>563</v>
      </c>
      <c r="F46" s="5" t="s">
        <v>573</v>
      </c>
      <c r="G46" t="s">
        <v>568</v>
      </c>
    </row>
    <row r="47" spans="1:7" x14ac:dyDescent="0.3">
      <c r="A47" s="4">
        <v>46</v>
      </c>
      <c r="B47" s="5">
        <v>12534970</v>
      </c>
      <c r="C47" s="4" t="s">
        <v>50</v>
      </c>
      <c r="D47" s="4" t="s">
        <v>5</v>
      </c>
      <c r="E47" s="4" t="s">
        <v>563</v>
      </c>
      <c r="F47" s="5" t="s">
        <v>572</v>
      </c>
      <c r="G47" t="s">
        <v>568</v>
      </c>
    </row>
    <row r="48" spans="1:7" x14ac:dyDescent="0.3">
      <c r="A48" s="4">
        <v>47</v>
      </c>
      <c r="B48" s="5">
        <v>12549369</v>
      </c>
      <c r="C48" s="4" t="s">
        <v>51</v>
      </c>
      <c r="D48" s="4" t="s">
        <v>5</v>
      </c>
      <c r="E48" s="4" t="s">
        <v>563</v>
      </c>
      <c r="F48" s="5" t="s">
        <v>573</v>
      </c>
      <c r="G48" t="s">
        <v>568</v>
      </c>
    </row>
    <row r="49" spans="1:7" x14ac:dyDescent="0.3">
      <c r="A49" s="4">
        <v>48</v>
      </c>
      <c r="B49" s="5">
        <v>13665069</v>
      </c>
      <c r="C49" s="4" t="s">
        <v>52</v>
      </c>
      <c r="D49" s="4" t="s">
        <v>5</v>
      </c>
      <c r="E49" s="4" t="s">
        <v>563</v>
      </c>
      <c r="F49" s="5" t="s">
        <v>573</v>
      </c>
      <c r="G49" t="s">
        <v>568</v>
      </c>
    </row>
    <row r="50" spans="1:7" x14ac:dyDescent="0.3">
      <c r="A50" s="4">
        <v>49</v>
      </c>
      <c r="B50" s="5">
        <v>17152604</v>
      </c>
      <c r="C50" s="4" t="s">
        <v>53</v>
      </c>
      <c r="D50" s="4" t="s">
        <v>5</v>
      </c>
      <c r="E50" s="4" t="s">
        <v>563</v>
      </c>
      <c r="F50" s="5" t="s">
        <v>575</v>
      </c>
      <c r="G50" t="s">
        <v>568</v>
      </c>
    </row>
    <row r="51" spans="1:7" x14ac:dyDescent="0.3">
      <c r="A51" s="4">
        <v>50</v>
      </c>
      <c r="B51" s="5">
        <v>17808718</v>
      </c>
      <c r="C51" s="4" t="s">
        <v>54</v>
      </c>
      <c r="D51" s="4" t="s">
        <v>5</v>
      </c>
      <c r="E51" s="4" t="s">
        <v>563</v>
      </c>
      <c r="F51" s="5" t="s">
        <v>571</v>
      </c>
      <c r="G51" t="s">
        <v>568</v>
      </c>
    </row>
    <row r="52" spans="1:7" x14ac:dyDescent="0.3">
      <c r="A52" s="4">
        <v>51</v>
      </c>
      <c r="B52" s="5">
        <v>17849804</v>
      </c>
      <c r="C52" s="4" t="s">
        <v>55</v>
      </c>
      <c r="D52" s="4" t="s">
        <v>5</v>
      </c>
      <c r="E52" s="4" t="s">
        <v>563</v>
      </c>
      <c r="F52" s="5" t="s">
        <v>573</v>
      </c>
      <c r="G52" t="s">
        <v>568</v>
      </c>
    </row>
    <row r="53" spans="1:7" x14ac:dyDescent="0.3">
      <c r="A53" s="4">
        <v>52</v>
      </c>
      <c r="B53" s="5">
        <v>18932393</v>
      </c>
      <c r="C53" s="4" t="s">
        <v>56</v>
      </c>
      <c r="D53" s="4" t="s">
        <v>5</v>
      </c>
      <c r="E53" s="4" t="s">
        <v>563</v>
      </c>
      <c r="F53" s="5" t="s">
        <v>571</v>
      </c>
      <c r="G53" t="s">
        <v>568</v>
      </c>
    </row>
    <row r="54" spans="1:7" x14ac:dyDescent="0.3">
      <c r="A54" s="4">
        <v>53</v>
      </c>
      <c r="B54" s="5">
        <v>19582075</v>
      </c>
      <c r="C54" s="4" t="s">
        <v>57</v>
      </c>
      <c r="D54" s="4" t="s">
        <v>5</v>
      </c>
      <c r="E54" s="4" t="s">
        <v>563</v>
      </c>
      <c r="F54" s="5" t="s">
        <v>573</v>
      </c>
      <c r="G54" t="s">
        <v>568</v>
      </c>
    </row>
    <row r="55" spans="1:7" x14ac:dyDescent="0.3">
      <c r="A55" s="4">
        <v>54</v>
      </c>
      <c r="B55" s="5">
        <v>22295551</v>
      </c>
      <c r="C55" s="4" t="s">
        <v>58</v>
      </c>
      <c r="D55" s="4" t="s">
        <v>5</v>
      </c>
      <c r="E55" s="4" t="s">
        <v>563</v>
      </c>
      <c r="F55" s="5" t="s">
        <v>571</v>
      </c>
      <c r="G55" t="s">
        <v>568</v>
      </c>
    </row>
    <row r="56" spans="1:7" x14ac:dyDescent="0.3">
      <c r="A56" s="4">
        <v>55</v>
      </c>
      <c r="B56" s="5">
        <v>22304817</v>
      </c>
      <c r="C56" s="4" t="s">
        <v>59</v>
      </c>
      <c r="D56" s="4" t="s">
        <v>5</v>
      </c>
      <c r="E56" s="4" t="s">
        <v>563</v>
      </c>
      <c r="F56" s="5" t="s">
        <v>574</v>
      </c>
      <c r="G56" t="s">
        <v>568</v>
      </c>
    </row>
    <row r="57" spans="1:7" x14ac:dyDescent="0.3">
      <c r="A57" s="4">
        <v>56</v>
      </c>
      <c r="B57" s="5">
        <v>22333001</v>
      </c>
      <c r="C57" s="4" t="s">
        <v>60</v>
      </c>
      <c r="D57" s="4" t="s">
        <v>5</v>
      </c>
      <c r="E57" s="4" t="s">
        <v>563</v>
      </c>
      <c r="F57" s="5" t="s">
        <v>575</v>
      </c>
      <c r="G57" t="s">
        <v>568</v>
      </c>
    </row>
    <row r="58" spans="1:7" x14ac:dyDescent="0.3">
      <c r="A58" s="4">
        <v>57</v>
      </c>
      <c r="B58" s="5">
        <v>22365884</v>
      </c>
      <c r="C58" s="4" t="s">
        <v>61</v>
      </c>
      <c r="D58" s="4" t="s">
        <v>5</v>
      </c>
      <c r="E58" s="4" t="s">
        <v>563</v>
      </c>
      <c r="F58" s="5" t="s">
        <v>574</v>
      </c>
      <c r="G58" t="s">
        <v>568</v>
      </c>
    </row>
    <row r="59" spans="1:7" x14ac:dyDescent="0.3">
      <c r="A59" s="4">
        <v>58</v>
      </c>
      <c r="B59" s="5">
        <v>22374314</v>
      </c>
      <c r="C59" s="4" t="s">
        <v>62</v>
      </c>
      <c r="D59" s="4" t="s">
        <v>5</v>
      </c>
      <c r="E59" s="4" t="s">
        <v>563</v>
      </c>
      <c r="F59" s="5" t="s">
        <v>573</v>
      </c>
      <c r="G59" t="s">
        <v>568</v>
      </c>
    </row>
    <row r="60" spans="1:7" x14ac:dyDescent="0.3">
      <c r="A60" s="4">
        <v>59</v>
      </c>
      <c r="B60" s="5">
        <v>22377867</v>
      </c>
      <c r="C60" s="4" t="s">
        <v>63</v>
      </c>
      <c r="D60" s="4" t="s">
        <v>5</v>
      </c>
      <c r="E60" s="4" t="s">
        <v>563</v>
      </c>
      <c r="F60" s="5" t="s">
        <v>571</v>
      </c>
      <c r="G60" t="s">
        <v>568</v>
      </c>
    </row>
    <row r="61" spans="1:7" x14ac:dyDescent="0.3">
      <c r="A61" s="4">
        <v>60</v>
      </c>
      <c r="B61" s="5">
        <v>22378889</v>
      </c>
      <c r="C61" s="4" t="s">
        <v>64</v>
      </c>
      <c r="D61" s="4" t="s">
        <v>5</v>
      </c>
      <c r="E61" s="4" t="s">
        <v>563</v>
      </c>
      <c r="F61" s="5" t="s">
        <v>573</v>
      </c>
      <c r="G61" t="s">
        <v>568</v>
      </c>
    </row>
    <row r="62" spans="1:7" x14ac:dyDescent="0.3">
      <c r="A62" s="4">
        <v>61</v>
      </c>
      <c r="B62" s="5">
        <v>22383297</v>
      </c>
      <c r="C62" s="4" t="s">
        <v>65</v>
      </c>
      <c r="D62" s="4" t="s">
        <v>5</v>
      </c>
      <c r="E62" s="4" t="s">
        <v>563</v>
      </c>
      <c r="F62" s="5" t="s">
        <v>575</v>
      </c>
      <c r="G62" t="s">
        <v>569</v>
      </c>
    </row>
    <row r="63" spans="1:7" x14ac:dyDescent="0.3">
      <c r="A63" s="4">
        <v>62</v>
      </c>
      <c r="B63" s="5">
        <v>22385229</v>
      </c>
      <c r="C63" s="4" t="s">
        <v>66</v>
      </c>
      <c r="D63" s="4" t="s">
        <v>5</v>
      </c>
      <c r="E63" s="4" t="s">
        <v>563</v>
      </c>
      <c r="F63" s="5" t="s">
        <v>571</v>
      </c>
      <c r="G63" t="s">
        <v>568</v>
      </c>
    </row>
    <row r="64" spans="1:7" x14ac:dyDescent="0.3">
      <c r="A64" s="4">
        <v>63</v>
      </c>
      <c r="B64" s="5">
        <v>22393271</v>
      </c>
      <c r="C64" s="4" t="s">
        <v>67</v>
      </c>
      <c r="D64" s="4" t="s">
        <v>5</v>
      </c>
      <c r="E64" s="4" t="s">
        <v>563</v>
      </c>
      <c r="F64" s="5" t="s">
        <v>575</v>
      </c>
      <c r="G64" t="s">
        <v>568</v>
      </c>
    </row>
    <row r="65" spans="1:7" x14ac:dyDescent="0.3">
      <c r="A65" s="4">
        <v>64</v>
      </c>
      <c r="B65" s="5">
        <v>22414805</v>
      </c>
      <c r="C65" s="4" t="s">
        <v>68</v>
      </c>
      <c r="D65" s="4" t="s">
        <v>5</v>
      </c>
      <c r="E65" s="4" t="s">
        <v>563</v>
      </c>
      <c r="F65" s="5" t="s">
        <v>571</v>
      </c>
      <c r="G65" t="s">
        <v>568</v>
      </c>
    </row>
    <row r="66" spans="1:7" x14ac:dyDescent="0.3">
      <c r="A66" s="4">
        <v>65</v>
      </c>
      <c r="B66" s="5">
        <v>22420818</v>
      </c>
      <c r="C66" s="4" t="s">
        <v>59</v>
      </c>
      <c r="D66" s="4" t="s">
        <v>5</v>
      </c>
      <c r="E66" s="4" t="s">
        <v>563</v>
      </c>
      <c r="F66" s="5" t="s">
        <v>571</v>
      </c>
      <c r="G66" t="s">
        <v>568</v>
      </c>
    </row>
    <row r="67" spans="1:7" x14ac:dyDescent="0.3">
      <c r="A67" s="4">
        <v>66</v>
      </c>
      <c r="B67" s="5">
        <v>22421041</v>
      </c>
      <c r="C67" s="4" t="s">
        <v>69</v>
      </c>
      <c r="D67" s="4" t="s">
        <v>5</v>
      </c>
      <c r="E67" s="4" t="s">
        <v>563</v>
      </c>
      <c r="F67" s="5" t="s">
        <v>572</v>
      </c>
      <c r="G67" t="s">
        <v>568</v>
      </c>
    </row>
    <row r="68" spans="1:7" x14ac:dyDescent="0.3">
      <c r="A68" s="4">
        <v>67</v>
      </c>
      <c r="B68" s="5">
        <v>22440120</v>
      </c>
      <c r="C68" s="4" t="s">
        <v>70</v>
      </c>
      <c r="D68" s="4" t="s">
        <v>5</v>
      </c>
      <c r="E68" s="4" t="s">
        <v>563</v>
      </c>
      <c r="F68" s="5" t="s">
        <v>574</v>
      </c>
      <c r="G68" t="s">
        <v>568</v>
      </c>
    </row>
    <row r="69" spans="1:7" x14ac:dyDescent="0.3">
      <c r="A69" s="4">
        <v>68</v>
      </c>
      <c r="B69" s="5">
        <v>22446557</v>
      </c>
      <c r="C69" s="4" t="s">
        <v>71</v>
      </c>
      <c r="D69" s="4" t="s">
        <v>5</v>
      </c>
      <c r="E69" s="4" t="s">
        <v>563</v>
      </c>
      <c r="F69" s="5" t="s">
        <v>573</v>
      </c>
      <c r="G69" t="s">
        <v>568</v>
      </c>
    </row>
    <row r="70" spans="1:7" x14ac:dyDescent="0.3">
      <c r="A70" s="4">
        <v>69</v>
      </c>
      <c r="B70" s="5">
        <v>22446587</v>
      </c>
      <c r="C70" s="4" t="s">
        <v>72</v>
      </c>
      <c r="D70" s="4" t="s">
        <v>5</v>
      </c>
      <c r="E70" s="4" t="s">
        <v>563</v>
      </c>
      <c r="F70" s="5" t="s">
        <v>571</v>
      </c>
      <c r="G70" t="s">
        <v>568</v>
      </c>
    </row>
    <row r="71" spans="1:7" x14ac:dyDescent="0.3">
      <c r="A71" s="4">
        <v>70</v>
      </c>
      <c r="B71" s="5">
        <v>22467946</v>
      </c>
      <c r="C71" s="4" t="s">
        <v>73</v>
      </c>
      <c r="D71" s="4" t="s">
        <v>5</v>
      </c>
      <c r="E71" s="4" t="s">
        <v>563</v>
      </c>
      <c r="F71" s="5" t="s">
        <v>571</v>
      </c>
      <c r="G71" t="s">
        <v>568</v>
      </c>
    </row>
    <row r="72" spans="1:7" x14ac:dyDescent="0.3">
      <c r="A72" s="4">
        <v>71</v>
      </c>
      <c r="B72" s="5">
        <v>22502121</v>
      </c>
      <c r="C72" s="4" t="s">
        <v>74</v>
      </c>
      <c r="D72" s="4" t="s">
        <v>5</v>
      </c>
      <c r="E72" s="4" t="s">
        <v>563</v>
      </c>
      <c r="F72" s="5" t="s">
        <v>571</v>
      </c>
      <c r="G72" t="s">
        <v>568</v>
      </c>
    </row>
    <row r="73" spans="1:7" x14ac:dyDescent="0.3">
      <c r="A73" s="4">
        <v>72</v>
      </c>
      <c r="B73" s="5">
        <v>22502647</v>
      </c>
      <c r="C73" s="4" t="s">
        <v>75</v>
      </c>
      <c r="D73" s="4" t="s">
        <v>5</v>
      </c>
      <c r="E73" s="4" t="s">
        <v>563</v>
      </c>
      <c r="F73" s="5" t="s">
        <v>577</v>
      </c>
      <c r="G73" t="s">
        <v>568</v>
      </c>
    </row>
    <row r="74" spans="1:7" x14ac:dyDescent="0.3">
      <c r="A74" s="4">
        <v>73</v>
      </c>
      <c r="B74" s="5">
        <v>22503243</v>
      </c>
      <c r="C74" s="4" t="s">
        <v>76</v>
      </c>
      <c r="D74" s="4" t="s">
        <v>5</v>
      </c>
      <c r="E74" s="4" t="s">
        <v>563</v>
      </c>
      <c r="F74" s="5" t="s">
        <v>573</v>
      </c>
      <c r="G74" t="s">
        <v>568</v>
      </c>
    </row>
    <row r="75" spans="1:7" x14ac:dyDescent="0.3">
      <c r="A75" s="4">
        <v>74</v>
      </c>
      <c r="B75" s="5">
        <v>22505364</v>
      </c>
      <c r="C75" s="4" t="s">
        <v>77</v>
      </c>
      <c r="D75" s="4" t="s">
        <v>5</v>
      </c>
      <c r="E75" s="4" t="s">
        <v>563</v>
      </c>
      <c r="F75" s="5" t="s">
        <v>572</v>
      </c>
      <c r="G75" t="s">
        <v>568</v>
      </c>
    </row>
    <row r="76" spans="1:7" x14ac:dyDescent="0.3">
      <c r="A76" s="4">
        <v>75</v>
      </c>
      <c r="B76" s="5">
        <v>22518128</v>
      </c>
      <c r="C76" s="4" t="s">
        <v>78</v>
      </c>
      <c r="D76" s="4" t="s">
        <v>5</v>
      </c>
      <c r="E76" s="4" t="s">
        <v>563</v>
      </c>
      <c r="F76" s="5" t="s">
        <v>574</v>
      </c>
      <c r="G76" t="s">
        <v>568</v>
      </c>
    </row>
    <row r="77" spans="1:7" x14ac:dyDescent="0.3">
      <c r="A77" s="4">
        <v>76</v>
      </c>
      <c r="B77" s="5">
        <v>22532457</v>
      </c>
      <c r="C77" s="4" t="s">
        <v>79</v>
      </c>
      <c r="D77" s="4" t="s">
        <v>5</v>
      </c>
      <c r="E77" s="4" t="s">
        <v>563</v>
      </c>
      <c r="F77" s="5" t="s">
        <v>573</v>
      </c>
      <c r="G77" t="s">
        <v>568</v>
      </c>
    </row>
    <row r="78" spans="1:7" x14ac:dyDescent="0.3">
      <c r="A78" s="4">
        <v>77</v>
      </c>
      <c r="B78" s="5">
        <v>22548648</v>
      </c>
      <c r="C78" s="4" t="s">
        <v>80</v>
      </c>
      <c r="D78" s="4" t="s">
        <v>5</v>
      </c>
      <c r="E78" s="4" t="s">
        <v>563</v>
      </c>
      <c r="F78" s="5" t="s">
        <v>571</v>
      </c>
      <c r="G78" t="s">
        <v>568</v>
      </c>
    </row>
    <row r="79" spans="1:7" x14ac:dyDescent="0.3">
      <c r="A79" s="4">
        <v>78</v>
      </c>
      <c r="B79" s="5">
        <v>22567435</v>
      </c>
      <c r="C79" s="4" t="s">
        <v>81</v>
      </c>
      <c r="D79" s="4" t="s">
        <v>5</v>
      </c>
      <c r="E79" s="4" t="s">
        <v>563</v>
      </c>
      <c r="F79" s="5" t="s">
        <v>574</v>
      </c>
      <c r="G79" t="s">
        <v>568</v>
      </c>
    </row>
    <row r="80" spans="1:7" x14ac:dyDescent="0.3">
      <c r="A80" s="4">
        <v>79</v>
      </c>
      <c r="B80" s="5">
        <v>22590461</v>
      </c>
      <c r="C80" s="4" t="s">
        <v>82</v>
      </c>
      <c r="D80" s="4" t="s">
        <v>5</v>
      </c>
      <c r="E80" s="4" t="s">
        <v>563</v>
      </c>
      <c r="F80" s="5" t="s">
        <v>573</v>
      </c>
      <c r="G80" t="s">
        <v>568</v>
      </c>
    </row>
    <row r="81" spans="1:7" x14ac:dyDescent="0.3">
      <c r="A81" s="4">
        <v>80</v>
      </c>
      <c r="B81" s="5">
        <v>22645794</v>
      </c>
      <c r="C81" s="4" t="s">
        <v>83</v>
      </c>
      <c r="D81" s="4" t="s">
        <v>5</v>
      </c>
      <c r="E81" s="4" t="s">
        <v>563</v>
      </c>
      <c r="F81" s="5" t="s">
        <v>574</v>
      </c>
      <c r="G81" t="s">
        <v>568</v>
      </c>
    </row>
    <row r="82" spans="1:7" x14ac:dyDescent="0.3">
      <c r="A82" s="4">
        <v>81</v>
      </c>
      <c r="B82" s="5">
        <v>22646716</v>
      </c>
      <c r="C82" s="4" t="s">
        <v>84</v>
      </c>
      <c r="D82" s="4" t="s">
        <v>5</v>
      </c>
      <c r="E82" s="4" t="s">
        <v>563</v>
      </c>
      <c r="F82" s="5" t="s">
        <v>571</v>
      </c>
      <c r="G82" t="s">
        <v>568</v>
      </c>
    </row>
    <row r="83" spans="1:7" x14ac:dyDescent="0.3">
      <c r="A83" s="4">
        <v>82</v>
      </c>
      <c r="B83" s="5">
        <v>22648878</v>
      </c>
      <c r="C83" s="4" t="s">
        <v>85</v>
      </c>
      <c r="D83" s="4" t="s">
        <v>5</v>
      </c>
      <c r="E83" s="4" t="s">
        <v>563</v>
      </c>
      <c r="F83" s="5" t="s">
        <v>571</v>
      </c>
      <c r="G83" t="s">
        <v>568</v>
      </c>
    </row>
    <row r="84" spans="1:7" x14ac:dyDescent="0.3">
      <c r="A84" s="4">
        <v>83</v>
      </c>
      <c r="B84" s="5">
        <v>22655403</v>
      </c>
      <c r="C84" s="4" t="s">
        <v>86</v>
      </c>
      <c r="D84" s="4" t="s">
        <v>5</v>
      </c>
      <c r="E84" s="4" t="s">
        <v>563</v>
      </c>
      <c r="F84" s="5" t="s">
        <v>571</v>
      </c>
      <c r="G84" t="s">
        <v>568</v>
      </c>
    </row>
    <row r="85" spans="1:7" x14ac:dyDescent="0.3">
      <c r="A85" s="4">
        <v>84</v>
      </c>
      <c r="B85" s="5">
        <v>22703396</v>
      </c>
      <c r="C85" s="4" t="s">
        <v>87</v>
      </c>
      <c r="D85" s="4" t="s">
        <v>5</v>
      </c>
      <c r="E85" s="4" t="s">
        <v>563</v>
      </c>
      <c r="F85" s="5" t="s">
        <v>571</v>
      </c>
      <c r="G85" t="s">
        <v>568</v>
      </c>
    </row>
    <row r="86" spans="1:7" x14ac:dyDescent="0.3">
      <c r="A86" s="4">
        <v>85</v>
      </c>
      <c r="B86" s="5">
        <v>22732410</v>
      </c>
      <c r="C86" s="4" t="s">
        <v>88</v>
      </c>
      <c r="D86" s="4" t="s">
        <v>5</v>
      </c>
      <c r="E86" s="4" t="s">
        <v>563</v>
      </c>
      <c r="F86" s="5" t="s">
        <v>574</v>
      </c>
      <c r="G86" t="s">
        <v>568</v>
      </c>
    </row>
    <row r="87" spans="1:7" x14ac:dyDescent="0.3">
      <c r="A87" s="8">
        <v>86</v>
      </c>
      <c r="B87" s="11">
        <v>22736024</v>
      </c>
      <c r="C87" s="12" t="s">
        <v>578</v>
      </c>
      <c r="D87" s="8" t="s">
        <v>5</v>
      </c>
      <c r="E87" s="6" t="s">
        <v>563</v>
      </c>
      <c r="F87" s="7" t="s">
        <v>573</v>
      </c>
      <c r="G87" s="9" t="s">
        <v>568</v>
      </c>
    </row>
    <row r="88" spans="1:7" x14ac:dyDescent="0.3">
      <c r="A88" s="4">
        <v>87</v>
      </c>
      <c r="B88" s="5">
        <v>22744721</v>
      </c>
      <c r="C88" s="4" t="s">
        <v>59</v>
      </c>
      <c r="D88" s="4" t="s">
        <v>5</v>
      </c>
      <c r="E88" s="4" t="s">
        <v>563</v>
      </c>
      <c r="F88" s="5" t="s">
        <v>576</v>
      </c>
      <c r="G88" t="s">
        <v>568</v>
      </c>
    </row>
    <row r="89" spans="1:7" x14ac:dyDescent="0.3">
      <c r="A89" s="4">
        <v>88</v>
      </c>
      <c r="B89" s="5">
        <v>22845935</v>
      </c>
      <c r="C89" s="4" t="s">
        <v>89</v>
      </c>
      <c r="D89" s="4" t="s">
        <v>5</v>
      </c>
      <c r="E89" s="4" t="s">
        <v>563</v>
      </c>
      <c r="F89" s="5" t="s">
        <v>571</v>
      </c>
      <c r="G89" t="s">
        <v>568</v>
      </c>
    </row>
    <row r="90" spans="1:7" x14ac:dyDescent="0.3">
      <c r="A90" s="4">
        <v>89</v>
      </c>
      <c r="B90" s="5">
        <v>22954309</v>
      </c>
      <c r="C90" s="4" t="s">
        <v>90</v>
      </c>
      <c r="D90" s="4" t="s">
        <v>5</v>
      </c>
      <c r="E90" s="4" t="s">
        <v>563</v>
      </c>
      <c r="F90" s="5" t="s">
        <v>571</v>
      </c>
      <c r="G90" t="s">
        <v>568</v>
      </c>
    </row>
    <row r="91" spans="1:7" x14ac:dyDescent="0.3">
      <c r="A91" s="4">
        <v>90</v>
      </c>
      <c r="B91" s="5">
        <v>23070779</v>
      </c>
      <c r="C91" s="4" t="s">
        <v>91</v>
      </c>
      <c r="D91" s="4" t="s">
        <v>5</v>
      </c>
      <c r="E91" s="4" t="s">
        <v>563</v>
      </c>
      <c r="F91" s="5" t="s">
        <v>573</v>
      </c>
      <c r="G91" t="s">
        <v>568</v>
      </c>
    </row>
    <row r="92" spans="1:7" x14ac:dyDescent="0.3">
      <c r="A92" s="4">
        <v>91</v>
      </c>
      <c r="B92" s="5">
        <v>23242735</v>
      </c>
      <c r="C92" s="4" t="s">
        <v>92</v>
      </c>
      <c r="D92" s="4" t="s">
        <v>5</v>
      </c>
      <c r="E92" s="4" t="s">
        <v>563</v>
      </c>
      <c r="F92" s="5" t="s">
        <v>572</v>
      </c>
      <c r="G92" t="s">
        <v>568</v>
      </c>
    </row>
    <row r="93" spans="1:7" x14ac:dyDescent="0.3">
      <c r="A93" s="4">
        <v>92</v>
      </c>
      <c r="B93" s="5">
        <v>25954420</v>
      </c>
      <c r="C93" s="4" t="s">
        <v>93</v>
      </c>
      <c r="D93" s="4" t="s">
        <v>5</v>
      </c>
      <c r="E93" s="4" t="s">
        <v>563</v>
      </c>
      <c r="F93" s="5" t="s">
        <v>572</v>
      </c>
      <c r="G93" t="s">
        <v>568</v>
      </c>
    </row>
    <row r="94" spans="1:7" x14ac:dyDescent="0.3">
      <c r="A94" s="4">
        <v>93</v>
      </c>
      <c r="B94" s="5">
        <v>26718435</v>
      </c>
      <c r="C94" s="4" t="s">
        <v>94</v>
      </c>
      <c r="D94" s="4" t="s">
        <v>5</v>
      </c>
      <c r="E94" s="4" t="s">
        <v>563</v>
      </c>
      <c r="F94" s="5" t="s">
        <v>572</v>
      </c>
      <c r="G94" t="s">
        <v>568</v>
      </c>
    </row>
    <row r="95" spans="1:7" x14ac:dyDescent="0.3">
      <c r="A95" s="4">
        <v>94</v>
      </c>
      <c r="B95" s="5">
        <v>32580754</v>
      </c>
      <c r="C95" s="4" t="s">
        <v>95</v>
      </c>
      <c r="D95" s="4" t="s">
        <v>5</v>
      </c>
      <c r="E95" s="4" t="s">
        <v>563</v>
      </c>
      <c r="F95" s="5" t="s">
        <v>572</v>
      </c>
      <c r="G95" t="s">
        <v>568</v>
      </c>
    </row>
    <row r="96" spans="1:7" x14ac:dyDescent="0.3">
      <c r="A96" s="4">
        <v>95</v>
      </c>
      <c r="B96" s="5">
        <v>32612783</v>
      </c>
      <c r="C96" s="4" t="s">
        <v>96</v>
      </c>
      <c r="D96" s="4" t="s">
        <v>5</v>
      </c>
      <c r="E96" s="4" t="s">
        <v>563</v>
      </c>
      <c r="F96" s="5" t="s">
        <v>573</v>
      </c>
      <c r="G96" t="s">
        <v>568</v>
      </c>
    </row>
    <row r="97" spans="1:7" x14ac:dyDescent="0.3">
      <c r="A97" s="4">
        <v>96</v>
      </c>
      <c r="B97" s="5">
        <v>32613935</v>
      </c>
      <c r="C97" s="4" t="s">
        <v>97</v>
      </c>
      <c r="D97" s="4" t="s">
        <v>5</v>
      </c>
      <c r="E97" s="4" t="s">
        <v>563</v>
      </c>
      <c r="F97" s="5" t="s">
        <v>573</v>
      </c>
      <c r="G97" t="s">
        <v>568</v>
      </c>
    </row>
    <row r="98" spans="1:7" x14ac:dyDescent="0.3">
      <c r="A98" s="4">
        <v>97</v>
      </c>
      <c r="B98" s="5">
        <v>32623209</v>
      </c>
      <c r="C98" s="4" t="s">
        <v>98</v>
      </c>
      <c r="D98" s="4" t="s">
        <v>5</v>
      </c>
      <c r="E98" s="4" t="s">
        <v>563</v>
      </c>
      <c r="F98" s="5" t="s">
        <v>571</v>
      </c>
      <c r="G98" t="s">
        <v>568</v>
      </c>
    </row>
    <row r="99" spans="1:7" x14ac:dyDescent="0.3">
      <c r="A99" s="4">
        <v>98</v>
      </c>
      <c r="B99" s="5">
        <v>32629512</v>
      </c>
      <c r="C99" s="4" t="s">
        <v>99</v>
      </c>
      <c r="D99" s="4" t="s">
        <v>5</v>
      </c>
      <c r="E99" s="4" t="s">
        <v>563</v>
      </c>
      <c r="F99" s="5" t="s">
        <v>575</v>
      </c>
      <c r="G99" t="s">
        <v>568</v>
      </c>
    </row>
    <row r="100" spans="1:7" x14ac:dyDescent="0.3">
      <c r="A100" s="4">
        <v>99</v>
      </c>
      <c r="B100" s="5">
        <v>32634688</v>
      </c>
      <c r="C100" s="4" t="s">
        <v>89</v>
      </c>
      <c r="D100" s="4" t="s">
        <v>5</v>
      </c>
      <c r="E100" s="4" t="s">
        <v>563</v>
      </c>
      <c r="F100" s="5" t="s">
        <v>577</v>
      </c>
      <c r="G100" t="s">
        <v>568</v>
      </c>
    </row>
    <row r="101" spans="1:7" x14ac:dyDescent="0.3">
      <c r="A101" s="4">
        <v>100</v>
      </c>
      <c r="B101" s="5">
        <v>32636575</v>
      </c>
      <c r="C101" s="4" t="s">
        <v>100</v>
      </c>
      <c r="D101" s="4" t="s">
        <v>5</v>
      </c>
      <c r="E101" s="4" t="s">
        <v>563</v>
      </c>
      <c r="F101" s="5" t="s">
        <v>571</v>
      </c>
      <c r="G101" t="s">
        <v>568</v>
      </c>
    </row>
    <row r="102" spans="1:7" x14ac:dyDescent="0.3">
      <c r="A102" s="4">
        <v>101</v>
      </c>
      <c r="B102" s="5">
        <v>32639848</v>
      </c>
      <c r="C102" s="4" t="s">
        <v>59</v>
      </c>
      <c r="D102" s="4" t="s">
        <v>5</v>
      </c>
      <c r="E102" s="4" t="s">
        <v>563</v>
      </c>
      <c r="F102" s="5" t="s">
        <v>571</v>
      </c>
      <c r="G102" t="s">
        <v>568</v>
      </c>
    </row>
    <row r="103" spans="1:7" x14ac:dyDescent="0.3">
      <c r="A103" s="4">
        <v>102</v>
      </c>
      <c r="B103" s="5">
        <v>32648994</v>
      </c>
      <c r="C103" s="4" t="s">
        <v>101</v>
      </c>
      <c r="D103" s="4" t="s">
        <v>5</v>
      </c>
      <c r="E103" s="4" t="s">
        <v>563</v>
      </c>
      <c r="F103" s="5" t="s">
        <v>575</v>
      </c>
      <c r="G103" t="s">
        <v>568</v>
      </c>
    </row>
    <row r="104" spans="1:7" x14ac:dyDescent="0.3">
      <c r="A104" s="4">
        <v>103</v>
      </c>
      <c r="B104" s="5">
        <v>32650703</v>
      </c>
      <c r="C104" s="4" t="s">
        <v>102</v>
      </c>
      <c r="D104" s="4" t="s">
        <v>5</v>
      </c>
      <c r="E104" s="4" t="s">
        <v>563</v>
      </c>
      <c r="F104" s="5" t="s">
        <v>572</v>
      </c>
      <c r="G104" t="s">
        <v>568</v>
      </c>
    </row>
    <row r="105" spans="1:7" x14ac:dyDescent="0.3">
      <c r="A105" s="1">
        <v>104</v>
      </c>
      <c r="B105" s="2">
        <v>32665786</v>
      </c>
      <c r="C105" s="1" t="s">
        <v>103</v>
      </c>
      <c r="D105" s="1" t="s">
        <v>5</v>
      </c>
      <c r="E105" s="1" t="s">
        <v>563</v>
      </c>
      <c r="F105" s="5" t="s">
        <v>573</v>
      </c>
      <c r="G105" t="s">
        <v>568</v>
      </c>
    </row>
    <row r="106" spans="1:7" x14ac:dyDescent="0.3">
      <c r="A106" s="4">
        <v>105</v>
      </c>
      <c r="B106" s="5">
        <v>32673448</v>
      </c>
      <c r="C106" s="4" t="s">
        <v>104</v>
      </c>
      <c r="D106" s="4" t="s">
        <v>5</v>
      </c>
      <c r="E106" s="4" t="s">
        <v>563</v>
      </c>
      <c r="F106" s="5" t="s">
        <v>574</v>
      </c>
      <c r="G106" t="s">
        <v>568</v>
      </c>
    </row>
    <row r="107" spans="1:7" x14ac:dyDescent="0.3">
      <c r="A107" s="4">
        <v>106</v>
      </c>
      <c r="B107" s="5">
        <v>32674359</v>
      </c>
      <c r="C107" s="4" t="s">
        <v>105</v>
      </c>
      <c r="D107" s="4" t="s">
        <v>5</v>
      </c>
      <c r="E107" s="4" t="s">
        <v>563</v>
      </c>
      <c r="F107" s="5" t="s">
        <v>577</v>
      </c>
      <c r="G107" t="s">
        <v>568</v>
      </c>
    </row>
    <row r="108" spans="1:7" x14ac:dyDescent="0.3">
      <c r="A108" s="4">
        <v>107</v>
      </c>
      <c r="B108" s="5">
        <v>32674864</v>
      </c>
      <c r="C108" s="4" t="s">
        <v>106</v>
      </c>
      <c r="D108" s="4" t="s">
        <v>5</v>
      </c>
      <c r="E108" s="4" t="s">
        <v>563</v>
      </c>
      <c r="F108" s="5" t="s">
        <v>573</v>
      </c>
      <c r="G108" t="s">
        <v>568</v>
      </c>
    </row>
    <row r="109" spans="1:7" x14ac:dyDescent="0.3">
      <c r="A109" s="4">
        <v>108</v>
      </c>
      <c r="B109" s="5">
        <v>32682939</v>
      </c>
      <c r="C109" s="4" t="s">
        <v>107</v>
      </c>
      <c r="D109" s="4" t="s">
        <v>5</v>
      </c>
      <c r="E109" s="4" t="s">
        <v>563</v>
      </c>
      <c r="F109" s="5" t="s">
        <v>575</v>
      </c>
      <c r="G109" t="s">
        <v>568</v>
      </c>
    </row>
    <row r="110" spans="1:7" x14ac:dyDescent="0.3">
      <c r="A110" s="4">
        <v>109</v>
      </c>
      <c r="B110" s="5">
        <v>32688218</v>
      </c>
      <c r="C110" s="4" t="s">
        <v>108</v>
      </c>
      <c r="D110" s="4" t="s">
        <v>5</v>
      </c>
      <c r="E110" s="4" t="s">
        <v>563</v>
      </c>
      <c r="F110" s="5" t="s">
        <v>573</v>
      </c>
      <c r="G110" t="s">
        <v>568</v>
      </c>
    </row>
    <row r="111" spans="1:7" x14ac:dyDescent="0.3">
      <c r="A111" s="4">
        <v>110</v>
      </c>
      <c r="B111" s="5">
        <v>32688521</v>
      </c>
      <c r="C111" s="4" t="s">
        <v>109</v>
      </c>
      <c r="D111" s="4" t="s">
        <v>5</v>
      </c>
      <c r="E111" s="4" t="s">
        <v>563</v>
      </c>
      <c r="F111" s="5" t="s">
        <v>572</v>
      </c>
      <c r="G111" t="s">
        <v>568</v>
      </c>
    </row>
    <row r="112" spans="1:7" x14ac:dyDescent="0.3">
      <c r="A112" s="4">
        <v>111</v>
      </c>
      <c r="B112" s="5">
        <v>32690815</v>
      </c>
      <c r="C112" s="4" t="s">
        <v>110</v>
      </c>
      <c r="D112" s="4" t="s">
        <v>5</v>
      </c>
      <c r="E112" s="4" t="s">
        <v>563</v>
      </c>
      <c r="F112" s="5" t="s">
        <v>573</v>
      </c>
      <c r="G112" t="s">
        <v>568</v>
      </c>
    </row>
    <row r="113" spans="1:7" x14ac:dyDescent="0.3">
      <c r="A113" s="4">
        <v>112</v>
      </c>
      <c r="B113" s="5">
        <v>32694200</v>
      </c>
      <c r="C113" s="4" t="s">
        <v>111</v>
      </c>
      <c r="D113" s="4" t="s">
        <v>5</v>
      </c>
      <c r="E113" s="4" t="s">
        <v>563</v>
      </c>
      <c r="F113" s="5" t="s">
        <v>573</v>
      </c>
      <c r="G113" t="s">
        <v>568</v>
      </c>
    </row>
    <row r="114" spans="1:7" x14ac:dyDescent="0.3">
      <c r="A114" s="4">
        <v>113</v>
      </c>
      <c r="B114" s="5">
        <v>32707038</v>
      </c>
      <c r="C114" s="4" t="s">
        <v>112</v>
      </c>
      <c r="D114" s="4" t="s">
        <v>5</v>
      </c>
      <c r="E114" s="4" t="s">
        <v>563</v>
      </c>
      <c r="F114" s="5" t="s">
        <v>573</v>
      </c>
      <c r="G114" t="s">
        <v>568</v>
      </c>
    </row>
    <row r="115" spans="1:7" x14ac:dyDescent="0.3">
      <c r="A115" s="4">
        <v>114</v>
      </c>
      <c r="B115" s="5">
        <v>32708738</v>
      </c>
      <c r="C115" s="4" t="s">
        <v>113</v>
      </c>
      <c r="D115" s="4" t="s">
        <v>5</v>
      </c>
      <c r="E115" s="4" t="s">
        <v>563</v>
      </c>
      <c r="F115" s="5" t="s">
        <v>573</v>
      </c>
      <c r="G115" t="s">
        <v>568</v>
      </c>
    </row>
    <row r="116" spans="1:7" x14ac:dyDescent="0.3">
      <c r="A116" s="4">
        <v>115</v>
      </c>
      <c r="B116" s="5">
        <v>32709507</v>
      </c>
      <c r="C116" s="4" t="s">
        <v>114</v>
      </c>
      <c r="D116" s="4" t="s">
        <v>5</v>
      </c>
      <c r="E116" s="4" t="s">
        <v>563</v>
      </c>
      <c r="F116" s="5" t="s">
        <v>577</v>
      </c>
      <c r="G116" t="s">
        <v>568</v>
      </c>
    </row>
    <row r="117" spans="1:7" x14ac:dyDescent="0.3">
      <c r="A117" s="4">
        <v>116</v>
      </c>
      <c r="B117" s="5">
        <v>32710701</v>
      </c>
      <c r="C117" s="4" t="s">
        <v>115</v>
      </c>
      <c r="D117" s="4" t="s">
        <v>5</v>
      </c>
      <c r="E117" s="4" t="s">
        <v>563</v>
      </c>
      <c r="F117" s="5" t="s">
        <v>575</v>
      </c>
      <c r="G117" t="s">
        <v>568</v>
      </c>
    </row>
    <row r="118" spans="1:7" x14ac:dyDescent="0.3">
      <c r="A118" s="4">
        <v>117</v>
      </c>
      <c r="B118" s="5">
        <v>32712481</v>
      </c>
      <c r="C118" s="4" t="s">
        <v>116</v>
      </c>
      <c r="D118" s="4" t="s">
        <v>5</v>
      </c>
      <c r="E118" s="4" t="s">
        <v>563</v>
      </c>
      <c r="F118" s="5" t="s">
        <v>574</v>
      </c>
      <c r="G118" t="s">
        <v>568</v>
      </c>
    </row>
    <row r="119" spans="1:7" x14ac:dyDescent="0.3">
      <c r="A119" s="4">
        <v>118</v>
      </c>
      <c r="B119" s="5">
        <v>32716378</v>
      </c>
      <c r="C119" s="4" t="s">
        <v>117</v>
      </c>
      <c r="D119" s="4" t="s">
        <v>5</v>
      </c>
      <c r="E119" s="4" t="s">
        <v>563</v>
      </c>
      <c r="F119" s="5" t="s">
        <v>575</v>
      </c>
      <c r="G119" t="s">
        <v>568</v>
      </c>
    </row>
    <row r="120" spans="1:7" x14ac:dyDescent="0.3">
      <c r="A120" s="1">
        <v>119</v>
      </c>
      <c r="B120" s="2">
        <v>32717266</v>
      </c>
      <c r="C120" s="1" t="s">
        <v>118</v>
      </c>
      <c r="D120" s="1" t="s">
        <v>5</v>
      </c>
      <c r="E120" s="1" t="s">
        <v>563</v>
      </c>
      <c r="F120" s="5" t="s">
        <v>571</v>
      </c>
      <c r="G120" t="s">
        <v>568</v>
      </c>
    </row>
    <row r="121" spans="1:7" x14ac:dyDescent="0.3">
      <c r="A121" s="4">
        <v>120</v>
      </c>
      <c r="B121" s="5">
        <v>32727855</v>
      </c>
      <c r="C121" s="4" t="s">
        <v>119</v>
      </c>
      <c r="D121" s="4" t="s">
        <v>5</v>
      </c>
      <c r="E121" s="4" t="s">
        <v>563</v>
      </c>
      <c r="F121" s="5" t="s">
        <v>571</v>
      </c>
      <c r="G121" t="s">
        <v>568</v>
      </c>
    </row>
    <row r="122" spans="1:7" x14ac:dyDescent="0.3">
      <c r="A122" s="4">
        <v>121</v>
      </c>
      <c r="B122" s="5">
        <v>32733938</v>
      </c>
      <c r="C122" s="4" t="s">
        <v>120</v>
      </c>
      <c r="D122" s="4" t="s">
        <v>5</v>
      </c>
      <c r="E122" s="4" t="s">
        <v>563</v>
      </c>
      <c r="F122" s="5" t="s">
        <v>571</v>
      </c>
      <c r="G122" t="s">
        <v>568</v>
      </c>
    </row>
    <row r="123" spans="1:7" x14ac:dyDescent="0.3">
      <c r="A123" s="4">
        <v>122</v>
      </c>
      <c r="B123" s="5">
        <v>32734044</v>
      </c>
      <c r="C123" s="4" t="s">
        <v>121</v>
      </c>
      <c r="D123" s="4" t="s">
        <v>5</v>
      </c>
      <c r="E123" s="4" t="s">
        <v>563</v>
      </c>
      <c r="F123" s="5" t="s">
        <v>571</v>
      </c>
      <c r="G123" t="s">
        <v>568</v>
      </c>
    </row>
    <row r="124" spans="1:7" x14ac:dyDescent="0.3">
      <c r="A124" s="4">
        <v>123</v>
      </c>
      <c r="B124" s="5">
        <v>32736975</v>
      </c>
      <c r="C124" s="4" t="s">
        <v>122</v>
      </c>
      <c r="D124" s="4" t="s">
        <v>5</v>
      </c>
      <c r="E124" s="4" t="s">
        <v>563</v>
      </c>
      <c r="F124" s="5" t="s">
        <v>573</v>
      </c>
      <c r="G124" t="s">
        <v>568</v>
      </c>
    </row>
    <row r="125" spans="1:7" x14ac:dyDescent="0.3">
      <c r="A125" s="4">
        <v>124</v>
      </c>
      <c r="B125" s="5">
        <v>32740221</v>
      </c>
      <c r="C125" s="4" t="s">
        <v>123</v>
      </c>
      <c r="D125" s="4" t="s">
        <v>5</v>
      </c>
      <c r="E125" s="4" t="s">
        <v>563</v>
      </c>
      <c r="F125" s="5" t="s">
        <v>577</v>
      </c>
      <c r="G125" t="s">
        <v>568</v>
      </c>
    </row>
    <row r="126" spans="1:7" x14ac:dyDescent="0.3">
      <c r="A126" s="4">
        <v>125</v>
      </c>
      <c r="B126" s="5">
        <v>32740999</v>
      </c>
      <c r="C126" s="4" t="s">
        <v>124</v>
      </c>
      <c r="D126" s="4" t="s">
        <v>5</v>
      </c>
      <c r="E126" s="4" t="s">
        <v>563</v>
      </c>
      <c r="F126" s="5" t="s">
        <v>573</v>
      </c>
      <c r="G126" t="s">
        <v>568</v>
      </c>
    </row>
    <row r="127" spans="1:7" x14ac:dyDescent="0.3">
      <c r="A127" s="4">
        <v>126</v>
      </c>
      <c r="B127" s="5">
        <v>32741994</v>
      </c>
      <c r="C127" s="4" t="s">
        <v>125</v>
      </c>
      <c r="D127" s="4" t="s">
        <v>5</v>
      </c>
      <c r="E127" s="4" t="s">
        <v>563</v>
      </c>
      <c r="F127" s="5" t="s">
        <v>573</v>
      </c>
      <c r="G127" t="s">
        <v>568</v>
      </c>
    </row>
    <row r="128" spans="1:7" x14ac:dyDescent="0.3">
      <c r="A128" s="4">
        <v>127</v>
      </c>
      <c r="B128" s="5">
        <v>32744428</v>
      </c>
      <c r="C128" s="4" t="s">
        <v>126</v>
      </c>
      <c r="D128" s="4" t="s">
        <v>5</v>
      </c>
      <c r="E128" s="4" t="s">
        <v>563</v>
      </c>
      <c r="F128" s="5" t="s">
        <v>574</v>
      </c>
      <c r="G128" t="s">
        <v>568</v>
      </c>
    </row>
    <row r="129" spans="1:7" x14ac:dyDescent="0.3">
      <c r="A129" s="4">
        <v>128</v>
      </c>
      <c r="B129" s="5">
        <v>32752555</v>
      </c>
      <c r="C129" s="4" t="s">
        <v>127</v>
      </c>
      <c r="D129" s="4" t="s">
        <v>5</v>
      </c>
      <c r="E129" s="4" t="s">
        <v>563</v>
      </c>
      <c r="F129" s="5" t="s">
        <v>575</v>
      </c>
      <c r="G129" t="s">
        <v>568</v>
      </c>
    </row>
    <row r="130" spans="1:7" x14ac:dyDescent="0.3">
      <c r="A130" s="4">
        <v>129</v>
      </c>
      <c r="B130" s="5">
        <v>32764598</v>
      </c>
      <c r="C130" s="4" t="s">
        <v>128</v>
      </c>
      <c r="D130" s="4" t="s">
        <v>5</v>
      </c>
      <c r="E130" s="4" t="s">
        <v>563</v>
      </c>
      <c r="F130" s="5" t="s">
        <v>573</v>
      </c>
      <c r="G130" t="s">
        <v>568</v>
      </c>
    </row>
    <row r="131" spans="1:7" x14ac:dyDescent="0.3">
      <c r="A131" s="4">
        <v>130</v>
      </c>
      <c r="B131" s="5">
        <v>32772911</v>
      </c>
      <c r="C131" s="4" t="s">
        <v>129</v>
      </c>
      <c r="D131" s="4" t="s">
        <v>5</v>
      </c>
      <c r="E131" s="4" t="s">
        <v>563</v>
      </c>
      <c r="F131" s="5" t="s">
        <v>573</v>
      </c>
      <c r="G131" t="s">
        <v>568</v>
      </c>
    </row>
    <row r="132" spans="1:7" x14ac:dyDescent="0.3">
      <c r="A132" s="4">
        <v>131</v>
      </c>
      <c r="B132" s="5">
        <v>32778590</v>
      </c>
      <c r="C132" s="4" t="s">
        <v>130</v>
      </c>
      <c r="D132" s="4" t="s">
        <v>5</v>
      </c>
      <c r="E132" s="4" t="s">
        <v>563</v>
      </c>
      <c r="F132" s="5" t="s">
        <v>576</v>
      </c>
      <c r="G132" t="s">
        <v>568</v>
      </c>
    </row>
    <row r="133" spans="1:7" x14ac:dyDescent="0.3">
      <c r="A133" s="4">
        <v>132</v>
      </c>
      <c r="B133" s="5">
        <v>32779874</v>
      </c>
      <c r="C133" s="4" t="s">
        <v>131</v>
      </c>
      <c r="D133" s="4" t="s">
        <v>5</v>
      </c>
      <c r="E133" s="4" t="s">
        <v>563</v>
      </c>
      <c r="F133" s="5" t="s">
        <v>573</v>
      </c>
      <c r="G133" t="s">
        <v>568</v>
      </c>
    </row>
    <row r="134" spans="1:7" x14ac:dyDescent="0.3">
      <c r="A134" s="4">
        <v>133</v>
      </c>
      <c r="B134" s="5">
        <v>32783129</v>
      </c>
      <c r="C134" s="4" t="s">
        <v>132</v>
      </c>
      <c r="D134" s="4" t="s">
        <v>5</v>
      </c>
      <c r="E134" s="4" t="s">
        <v>563</v>
      </c>
      <c r="F134" s="5" t="s">
        <v>575</v>
      </c>
      <c r="G134" t="s">
        <v>568</v>
      </c>
    </row>
    <row r="135" spans="1:7" x14ac:dyDescent="0.3">
      <c r="A135" s="4">
        <v>134</v>
      </c>
      <c r="B135" s="5">
        <v>32783797</v>
      </c>
      <c r="C135" s="4" t="s">
        <v>133</v>
      </c>
      <c r="D135" s="4" t="s">
        <v>5</v>
      </c>
      <c r="E135" s="4" t="s">
        <v>563</v>
      </c>
      <c r="F135" s="5" t="s">
        <v>573</v>
      </c>
      <c r="G135" t="s">
        <v>568</v>
      </c>
    </row>
    <row r="136" spans="1:7" x14ac:dyDescent="0.3">
      <c r="A136" s="4">
        <v>135</v>
      </c>
      <c r="B136" s="5">
        <v>32785097</v>
      </c>
      <c r="C136" s="4" t="s">
        <v>134</v>
      </c>
      <c r="D136" s="4" t="s">
        <v>5</v>
      </c>
      <c r="E136" s="4" t="s">
        <v>563</v>
      </c>
      <c r="F136" s="5" t="s">
        <v>572</v>
      </c>
      <c r="G136" t="s">
        <v>568</v>
      </c>
    </row>
    <row r="137" spans="1:7" x14ac:dyDescent="0.3">
      <c r="A137" s="4">
        <v>136</v>
      </c>
      <c r="B137" s="5">
        <v>32790051</v>
      </c>
      <c r="C137" s="4" t="s">
        <v>135</v>
      </c>
      <c r="D137" s="4" t="s">
        <v>5</v>
      </c>
      <c r="E137" s="4" t="s">
        <v>563</v>
      </c>
      <c r="F137" s="5" t="s">
        <v>573</v>
      </c>
      <c r="G137" t="s">
        <v>568</v>
      </c>
    </row>
    <row r="138" spans="1:7" x14ac:dyDescent="0.3">
      <c r="A138" s="4">
        <v>137</v>
      </c>
      <c r="B138" s="5">
        <v>32796944</v>
      </c>
      <c r="C138" s="4" t="s">
        <v>136</v>
      </c>
      <c r="D138" s="4" t="s">
        <v>5</v>
      </c>
      <c r="E138" s="4" t="s">
        <v>563</v>
      </c>
      <c r="F138" s="5" t="s">
        <v>575</v>
      </c>
      <c r="G138" t="s">
        <v>568</v>
      </c>
    </row>
    <row r="139" spans="1:7" x14ac:dyDescent="0.3">
      <c r="A139" s="4">
        <v>138</v>
      </c>
      <c r="B139" s="5">
        <v>32797627</v>
      </c>
      <c r="C139" s="4" t="s">
        <v>137</v>
      </c>
      <c r="D139" s="4" t="s">
        <v>5</v>
      </c>
      <c r="E139" s="4" t="s">
        <v>563</v>
      </c>
      <c r="F139" s="5" t="s">
        <v>573</v>
      </c>
      <c r="G139" t="s">
        <v>568</v>
      </c>
    </row>
    <row r="140" spans="1:7" x14ac:dyDescent="0.3">
      <c r="A140" s="4">
        <v>139</v>
      </c>
      <c r="B140" s="5">
        <v>32800662</v>
      </c>
      <c r="C140" s="4" t="s">
        <v>138</v>
      </c>
      <c r="D140" s="4" t="s">
        <v>5</v>
      </c>
      <c r="E140" s="4" t="s">
        <v>563</v>
      </c>
      <c r="F140" s="5" t="s">
        <v>573</v>
      </c>
      <c r="G140" t="s">
        <v>568</v>
      </c>
    </row>
    <row r="141" spans="1:7" x14ac:dyDescent="0.3">
      <c r="A141" s="4">
        <v>140</v>
      </c>
      <c r="B141" s="5">
        <v>32802610</v>
      </c>
      <c r="C141" s="4" t="s">
        <v>139</v>
      </c>
      <c r="D141" s="4" t="s">
        <v>5</v>
      </c>
      <c r="E141" s="4" t="s">
        <v>563</v>
      </c>
      <c r="F141" s="5" t="s">
        <v>574</v>
      </c>
      <c r="G141" t="s">
        <v>568</v>
      </c>
    </row>
    <row r="142" spans="1:7" x14ac:dyDescent="0.3">
      <c r="A142" s="4">
        <v>141</v>
      </c>
      <c r="B142" s="5">
        <v>32803448</v>
      </c>
      <c r="C142" s="4" t="s">
        <v>140</v>
      </c>
      <c r="D142" s="4" t="s">
        <v>5</v>
      </c>
      <c r="E142" s="4" t="s">
        <v>563</v>
      </c>
      <c r="F142" s="5" t="s">
        <v>577</v>
      </c>
      <c r="G142" t="s">
        <v>568</v>
      </c>
    </row>
    <row r="143" spans="1:7" x14ac:dyDescent="0.3">
      <c r="A143" s="4">
        <v>142</v>
      </c>
      <c r="B143" s="5">
        <v>32803484</v>
      </c>
      <c r="C143" s="4" t="s">
        <v>141</v>
      </c>
      <c r="D143" s="4" t="s">
        <v>5</v>
      </c>
      <c r="E143" s="4" t="s">
        <v>563</v>
      </c>
      <c r="F143" s="5" t="s">
        <v>575</v>
      </c>
      <c r="G143" t="s">
        <v>568</v>
      </c>
    </row>
    <row r="144" spans="1:7" x14ac:dyDescent="0.3">
      <c r="A144" s="4">
        <v>143</v>
      </c>
      <c r="B144" s="5">
        <v>32810131</v>
      </c>
      <c r="C144" s="4" t="s">
        <v>142</v>
      </c>
      <c r="D144" s="4" t="s">
        <v>5</v>
      </c>
      <c r="E144" s="4" t="s">
        <v>563</v>
      </c>
      <c r="F144" s="5" t="s">
        <v>573</v>
      </c>
      <c r="G144" t="s">
        <v>568</v>
      </c>
    </row>
    <row r="145" spans="1:7" x14ac:dyDescent="0.3">
      <c r="A145" s="4">
        <v>144</v>
      </c>
      <c r="B145" s="5">
        <v>32812129</v>
      </c>
      <c r="C145" s="4" t="s">
        <v>143</v>
      </c>
      <c r="D145" s="4" t="s">
        <v>5</v>
      </c>
      <c r="E145" s="4" t="s">
        <v>563</v>
      </c>
      <c r="F145" s="5" t="s">
        <v>573</v>
      </c>
      <c r="G145" t="s">
        <v>568</v>
      </c>
    </row>
    <row r="146" spans="1:7" x14ac:dyDescent="0.3">
      <c r="A146" s="4">
        <v>145</v>
      </c>
      <c r="B146" s="5">
        <v>32812890</v>
      </c>
      <c r="C146" s="4" t="s">
        <v>144</v>
      </c>
      <c r="D146" s="4" t="s">
        <v>5</v>
      </c>
      <c r="E146" s="4" t="s">
        <v>563</v>
      </c>
      <c r="F146" s="5" t="s">
        <v>571</v>
      </c>
      <c r="G146" t="s">
        <v>568</v>
      </c>
    </row>
    <row r="147" spans="1:7" x14ac:dyDescent="0.3">
      <c r="A147" s="4">
        <v>146</v>
      </c>
      <c r="B147" s="5">
        <v>32840396</v>
      </c>
      <c r="C147" s="4" t="s">
        <v>145</v>
      </c>
      <c r="D147" s="4" t="s">
        <v>5</v>
      </c>
      <c r="E147" s="4" t="s">
        <v>563</v>
      </c>
      <c r="F147" s="5" t="s">
        <v>573</v>
      </c>
      <c r="G147" t="s">
        <v>568</v>
      </c>
    </row>
    <row r="148" spans="1:7" x14ac:dyDescent="0.3">
      <c r="A148" s="4">
        <v>147</v>
      </c>
      <c r="B148" s="5">
        <v>32843980</v>
      </c>
      <c r="C148" s="4" t="s">
        <v>146</v>
      </c>
      <c r="D148" s="4" t="s">
        <v>5</v>
      </c>
      <c r="E148" s="4" t="s">
        <v>563</v>
      </c>
      <c r="F148" s="5" t="s">
        <v>572</v>
      </c>
      <c r="G148" t="s">
        <v>568</v>
      </c>
    </row>
    <row r="149" spans="1:7" x14ac:dyDescent="0.3">
      <c r="A149" s="4">
        <v>148</v>
      </c>
      <c r="B149" s="5">
        <v>32850495</v>
      </c>
      <c r="C149" s="4" t="s">
        <v>147</v>
      </c>
      <c r="D149" s="4" t="s">
        <v>5</v>
      </c>
      <c r="E149" s="4" t="s">
        <v>563</v>
      </c>
      <c r="F149" s="5" t="s">
        <v>573</v>
      </c>
      <c r="G149" t="s">
        <v>568</v>
      </c>
    </row>
    <row r="150" spans="1:7" x14ac:dyDescent="0.3">
      <c r="A150" s="4">
        <v>149</v>
      </c>
      <c r="B150" s="5">
        <v>32884029</v>
      </c>
      <c r="C150" s="4" t="s">
        <v>148</v>
      </c>
      <c r="D150" s="4" t="s">
        <v>5</v>
      </c>
      <c r="E150" s="4" t="s">
        <v>563</v>
      </c>
      <c r="F150" s="5" t="s">
        <v>571</v>
      </c>
      <c r="G150" t="s">
        <v>568</v>
      </c>
    </row>
    <row r="151" spans="1:7" x14ac:dyDescent="0.3">
      <c r="A151" s="4">
        <v>150</v>
      </c>
      <c r="B151" s="5">
        <v>32884556</v>
      </c>
      <c r="C151" s="4" t="s">
        <v>149</v>
      </c>
      <c r="D151" s="4" t="s">
        <v>5</v>
      </c>
      <c r="E151" s="4" t="s">
        <v>563</v>
      </c>
      <c r="F151" s="5" t="s">
        <v>574</v>
      </c>
      <c r="G151" t="s">
        <v>568</v>
      </c>
    </row>
    <row r="152" spans="1:7" x14ac:dyDescent="0.3">
      <c r="A152" s="4">
        <v>151</v>
      </c>
      <c r="B152" s="5">
        <v>32884723</v>
      </c>
      <c r="C152" s="4" t="s">
        <v>150</v>
      </c>
      <c r="D152" s="4" t="s">
        <v>5</v>
      </c>
      <c r="E152" s="4" t="s">
        <v>563</v>
      </c>
      <c r="F152" s="5" t="s">
        <v>571</v>
      </c>
      <c r="G152" t="s">
        <v>568</v>
      </c>
    </row>
    <row r="153" spans="1:7" x14ac:dyDescent="0.3">
      <c r="A153" s="4">
        <v>152</v>
      </c>
      <c r="B153" s="5">
        <v>32893688</v>
      </c>
      <c r="C153" s="4" t="s">
        <v>151</v>
      </c>
      <c r="D153" s="4" t="s">
        <v>5</v>
      </c>
      <c r="E153" s="4" t="s">
        <v>563</v>
      </c>
      <c r="F153" s="5" t="s">
        <v>573</v>
      </c>
      <c r="G153" t="s">
        <v>568</v>
      </c>
    </row>
    <row r="154" spans="1:7" x14ac:dyDescent="0.3">
      <c r="A154" s="4">
        <v>153</v>
      </c>
      <c r="B154" s="5">
        <v>32894006</v>
      </c>
      <c r="C154" s="4" t="s">
        <v>152</v>
      </c>
      <c r="D154" s="4" t="s">
        <v>5</v>
      </c>
      <c r="E154" s="4" t="s">
        <v>563</v>
      </c>
      <c r="F154" s="5" t="s">
        <v>573</v>
      </c>
      <c r="G154" t="s">
        <v>568</v>
      </c>
    </row>
    <row r="155" spans="1:7" x14ac:dyDescent="0.3">
      <c r="A155" s="4">
        <v>154</v>
      </c>
      <c r="B155" s="5">
        <v>34977363</v>
      </c>
      <c r="C155" s="4" t="s">
        <v>89</v>
      </c>
      <c r="D155" s="4" t="s">
        <v>5</v>
      </c>
      <c r="E155" s="4" t="s">
        <v>563</v>
      </c>
      <c r="F155" s="5" t="s">
        <v>571</v>
      </c>
      <c r="G155" t="s">
        <v>568</v>
      </c>
    </row>
    <row r="156" spans="1:7" x14ac:dyDescent="0.3">
      <c r="A156" s="4">
        <v>155</v>
      </c>
      <c r="B156" s="5">
        <v>37926108</v>
      </c>
      <c r="C156" s="4" t="s">
        <v>153</v>
      </c>
      <c r="D156" s="4" t="s">
        <v>5</v>
      </c>
      <c r="E156" s="4" t="s">
        <v>563</v>
      </c>
      <c r="F156" s="5" t="s">
        <v>574</v>
      </c>
      <c r="G156" t="s">
        <v>568</v>
      </c>
    </row>
    <row r="157" spans="1:7" x14ac:dyDescent="0.3">
      <c r="A157" s="4">
        <v>156</v>
      </c>
      <c r="B157" s="5">
        <v>42271248</v>
      </c>
      <c r="C157" s="4" t="s">
        <v>154</v>
      </c>
      <c r="D157" s="4" t="s">
        <v>5</v>
      </c>
      <c r="E157" s="4" t="s">
        <v>563</v>
      </c>
      <c r="F157" s="5" t="s">
        <v>574</v>
      </c>
      <c r="G157" t="s">
        <v>568</v>
      </c>
    </row>
    <row r="158" spans="1:7" x14ac:dyDescent="0.3">
      <c r="A158" s="4">
        <v>157</v>
      </c>
      <c r="B158" s="5">
        <v>45578869</v>
      </c>
      <c r="C158" s="4" t="s">
        <v>155</v>
      </c>
      <c r="D158" s="4" t="s">
        <v>5</v>
      </c>
      <c r="E158" s="4" t="s">
        <v>563</v>
      </c>
      <c r="F158" s="5" t="s">
        <v>571</v>
      </c>
      <c r="G158" t="s">
        <v>568</v>
      </c>
    </row>
    <row r="159" spans="1:7" x14ac:dyDescent="0.3">
      <c r="A159" s="4">
        <v>158</v>
      </c>
      <c r="B159" s="5">
        <v>45584758</v>
      </c>
      <c r="C159" s="4" t="s">
        <v>156</v>
      </c>
      <c r="D159" s="4" t="s">
        <v>5</v>
      </c>
      <c r="E159" s="4" t="s">
        <v>563</v>
      </c>
      <c r="F159" s="5" t="s">
        <v>574</v>
      </c>
      <c r="G159" t="s">
        <v>568</v>
      </c>
    </row>
    <row r="160" spans="1:7" ht="14.25" customHeight="1" x14ac:dyDescent="0.3">
      <c r="A160" s="4">
        <v>159</v>
      </c>
      <c r="B160" s="5">
        <v>5122512</v>
      </c>
      <c r="C160" s="4" t="s">
        <v>157</v>
      </c>
      <c r="D160" s="4" t="s">
        <v>5</v>
      </c>
      <c r="E160" s="4" t="s">
        <v>563</v>
      </c>
      <c r="F160" s="5" t="s">
        <v>574</v>
      </c>
      <c r="G160" t="s">
        <v>568</v>
      </c>
    </row>
    <row r="161" spans="1:7" x14ac:dyDescent="0.3">
      <c r="A161" s="8">
        <v>160</v>
      </c>
      <c r="B161" s="11">
        <v>52136819</v>
      </c>
      <c r="C161" s="12" t="s">
        <v>579</v>
      </c>
      <c r="D161" s="8" t="s">
        <v>5</v>
      </c>
      <c r="E161" s="8" t="s">
        <v>563</v>
      </c>
      <c r="F161" s="7" t="s">
        <v>572</v>
      </c>
      <c r="G161" s="9" t="s">
        <v>568</v>
      </c>
    </row>
    <row r="162" spans="1:7" x14ac:dyDescent="0.3">
      <c r="A162" s="4">
        <v>161</v>
      </c>
      <c r="B162" s="5">
        <v>55231073</v>
      </c>
      <c r="C162" s="4" t="s">
        <v>158</v>
      </c>
      <c r="D162" s="4" t="s">
        <v>5</v>
      </c>
      <c r="E162" s="4" t="s">
        <v>563</v>
      </c>
      <c r="F162" s="5" t="s">
        <v>571</v>
      </c>
      <c r="G162" t="s">
        <v>568</v>
      </c>
    </row>
    <row r="163" spans="1:7" x14ac:dyDescent="0.3">
      <c r="A163" s="1">
        <v>162</v>
      </c>
      <c r="B163" s="2">
        <v>55232316</v>
      </c>
      <c r="C163" s="1" t="s">
        <v>159</v>
      </c>
      <c r="D163" s="1" t="s">
        <v>5</v>
      </c>
      <c r="E163" s="4" t="s">
        <v>563</v>
      </c>
      <c r="F163" s="5" t="s">
        <v>571</v>
      </c>
      <c r="G163" t="s">
        <v>568</v>
      </c>
    </row>
    <row r="164" spans="1:7" x14ac:dyDescent="0.3">
      <c r="A164" s="4">
        <v>163</v>
      </c>
      <c r="B164" s="5">
        <v>57304740</v>
      </c>
      <c r="C164" s="4" t="s">
        <v>160</v>
      </c>
      <c r="D164" s="4" t="s">
        <v>5</v>
      </c>
      <c r="E164" s="4" t="s">
        <v>563</v>
      </c>
      <c r="F164" s="5" t="s">
        <v>575</v>
      </c>
      <c r="G164" t="s">
        <v>568</v>
      </c>
    </row>
    <row r="165" spans="1:7" x14ac:dyDescent="0.3">
      <c r="A165" s="4">
        <v>164</v>
      </c>
      <c r="B165" s="5">
        <v>64558825</v>
      </c>
      <c r="C165" s="4" t="s">
        <v>144</v>
      </c>
      <c r="D165" s="4" t="s">
        <v>5</v>
      </c>
      <c r="E165" s="4" t="s">
        <v>563</v>
      </c>
      <c r="F165" s="5" t="s">
        <v>571</v>
      </c>
      <c r="G165" t="s">
        <v>568</v>
      </c>
    </row>
    <row r="166" spans="1:7" x14ac:dyDescent="0.3">
      <c r="A166" s="4">
        <v>165</v>
      </c>
      <c r="B166" s="5">
        <v>72042663</v>
      </c>
      <c r="C166" s="4" t="s">
        <v>161</v>
      </c>
      <c r="D166" s="4" t="s">
        <v>5</v>
      </c>
      <c r="E166" s="4" t="s">
        <v>563</v>
      </c>
      <c r="F166" s="5" t="s">
        <v>571</v>
      </c>
      <c r="G166" t="s">
        <v>568</v>
      </c>
    </row>
    <row r="167" spans="1:7" x14ac:dyDescent="0.3">
      <c r="A167" s="4">
        <v>166</v>
      </c>
      <c r="B167" s="5">
        <v>72129785</v>
      </c>
      <c r="C167" s="4" t="s">
        <v>162</v>
      </c>
      <c r="D167" s="4" t="s">
        <v>5</v>
      </c>
      <c r="E167" s="4" t="s">
        <v>563</v>
      </c>
      <c r="F167" s="5" t="s">
        <v>574</v>
      </c>
      <c r="G167" t="s">
        <v>568</v>
      </c>
    </row>
    <row r="168" spans="1:7" x14ac:dyDescent="0.3">
      <c r="A168" s="4">
        <v>167</v>
      </c>
      <c r="B168" s="5">
        <v>72132483</v>
      </c>
      <c r="C168" s="4" t="s">
        <v>51</v>
      </c>
      <c r="D168" s="4" t="s">
        <v>5</v>
      </c>
      <c r="E168" s="4" t="s">
        <v>563</v>
      </c>
      <c r="F168" s="5" t="s">
        <v>571</v>
      </c>
      <c r="G168" t="s">
        <v>568</v>
      </c>
    </row>
    <row r="169" spans="1:7" x14ac:dyDescent="0.3">
      <c r="A169" s="4">
        <v>168</v>
      </c>
      <c r="B169" s="5">
        <v>72144157</v>
      </c>
      <c r="C169" s="4" t="s">
        <v>163</v>
      </c>
      <c r="D169" s="4" t="s">
        <v>5</v>
      </c>
      <c r="E169" s="4" t="s">
        <v>563</v>
      </c>
      <c r="F169" s="5" t="s">
        <v>573</v>
      </c>
      <c r="G169" t="s">
        <v>568</v>
      </c>
    </row>
    <row r="170" spans="1:7" x14ac:dyDescent="0.3">
      <c r="A170" s="4">
        <v>169</v>
      </c>
      <c r="B170" s="5">
        <v>72145817</v>
      </c>
      <c r="C170" s="4" t="s">
        <v>164</v>
      </c>
      <c r="D170" s="4" t="s">
        <v>5</v>
      </c>
      <c r="E170" s="4" t="s">
        <v>563</v>
      </c>
      <c r="F170" s="5" t="s">
        <v>573</v>
      </c>
      <c r="G170" t="s">
        <v>568</v>
      </c>
    </row>
    <row r="171" spans="1:7" x14ac:dyDescent="0.3">
      <c r="A171" s="4">
        <v>170</v>
      </c>
      <c r="B171" s="5">
        <v>72146737</v>
      </c>
      <c r="C171" s="4" t="s">
        <v>165</v>
      </c>
      <c r="D171" s="4" t="s">
        <v>5</v>
      </c>
      <c r="E171" s="4" t="s">
        <v>563</v>
      </c>
      <c r="F171" s="5" t="s">
        <v>575</v>
      </c>
      <c r="G171" t="s">
        <v>568</v>
      </c>
    </row>
    <row r="172" spans="1:7" x14ac:dyDescent="0.3">
      <c r="A172" s="4">
        <v>171</v>
      </c>
      <c r="B172" s="5">
        <v>72178853</v>
      </c>
      <c r="C172" s="4" t="s">
        <v>166</v>
      </c>
      <c r="D172" s="4" t="s">
        <v>5</v>
      </c>
      <c r="E172" s="4" t="s">
        <v>563</v>
      </c>
      <c r="F172" s="5" t="s">
        <v>575</v>
      </c>
      <c r="G172" t="s">
        <v>568</v>
      </c>
    </row>
    <row r="173" spans="1:7" x14ac:dyDescent="0.3">
      <c r="A173" s="4">
        <v>172</v>
      </c>
      <c r="B173" s="5">
        <v>72180833</v>
      </c>
      <c r="C173" s="4" t="s">
        <v>167</v>
      </c>
      <c r="D173" s="4" t="s">
        <v>5</v>
      </c>
      <c r="E173" s="4" t="s">
        <v>563</v>
      </c>
      <c r="F173" s="5" t="s">
        <v>575</v>
      </c>
      <c r="G173" t="s">
        <v>568</v>
      </c>
    </row>
    <row r="174" spans="1:7" x14ac:dyDescent="0.3">
      <c r="A174" s="4">
        <v>173</v>
      </c>
      <c r="B174" s="5">
        <v>72182204</v>
      </c>
      <c r="C174" s="4" t="s">
        <v>168</v>
      </c>
      <c r="D174" s="4" t="s">
        <v>5</v>
      </c>
      <c r="E174" s="4" t="s">
        <v>563</v>
      </c>
      <c r="F174" s="5" t="s">
        <v>573</v>
      </c>
      <c r="G174" t="s">
        <v>568</v>
      </c>
    </row>
    <row r="175" spans="1:7" x14ac:dyDescent="0.3">
      <c r="A175" s="4">
        <v>174</v>
      </c>
      <c r="B175" s="5">
        <v>72200209</v>
      </c>
      <c r="C175" s="4" t="s">
        <v>169</v>
      </c>
      <c r="D175" s="4" t="s">
        <v>5</v>
      </c>
      <c r="E175" s="4" t="s">
        <v>563</v>
      </c>
      <c r="F175" s="5" t="s">
        <v>571</v>
      </c>
      <c r="G175" t="s">
        <v>568</v>
      </c>
    </row>
    <row r="176" spans="1:7" x14ac:dyDescent="0.3">
      <c r="A176" s="4">
        <v>175</v>
      </c>
      <c r="B176" s="5">
        <v>72210592</v>
      </c>
      <c r="C176" s="4" t="s">
        <v>170</v>
      </c>
      <c r="D176" s="4" t="s">
        <v>5</v>
      </c>
      <c r="E176" s="4" t="s">
        <v>563</v>
      </c>
      <c r="F176" s="5" t="s">
        <v>571</v>
      </c>
      <c r="G176" t="s">
        <v>568</v>
      </c>
    </row>
    <row r="177" spans="1:7" x14ac:dyDescent="0.3">
      <c r="A177" s="4">
        <v>176</v>
      </c>
      <c r="B177" s="5">
        <v>72212320</v>
      </c>
      <c r="C177" s="4" t="s">
        <v>171</v>
      </c>
      <c r="D177" s="4" t="s">
        <v>5</v>
      </c>
      <c r="E177" s="4" t="s">
        <v>563</v>
      </c>
      <c r="F177" s="5" t="s">
        <v>575</v>
      </c>
      <c r="G177" t="s">
        <v>568</v>
      </c>
    </row>
    <row r="178" spans="1:7" x14ac:dyDescent="0.3">
      <c r="A178" s="4">
        <v>177</v>
      </c>
      <c r="B178" s="5">
        <v>72214776</v>
      </c>
      <c r="C178" s="4" t="s">
        <v>172</v>
      </c>
      <c r="D178" s="4" t="s">
        <v>5</v>
      </c>
      <c r="E178" s="4" t="s">
        <v>563</v>
      </c>
      <c r="F178" s="5" t="s">
        <v>573</v>
      </c>
      <c r="G178" t="s">
        <v>568</v>
      </c>
    </row>
    <row r="179" spans="1:7" x14ac:dyDescent="0.3">
      <c r="A179" s="4">
        <v>178</v>
      </c>
      <c r="B179" s="5">
        <v>72227073</v>
      </c>
      <c r="C179" s="4" t="s">
        <v>173</v>
      </c>
      <c r="D179" s="4" t="s">
        <v>5</v>
      </c>
      <c r="E179" s="4" t="s">
        <v>563</v>
      </c>
      <c r="F179" s="5" t="s">
        <v>575</v>
      </c>
      <c r="G179" t="s">
        <v>568</v>
      </c>
    </row>
    <row r="180" spans="1:7" x14ac:dyDescent="0.3">
      <c r="A180" s="4">
        <v>179</v>
      </c>
      <c r="B180" s="5">
        <v>72227387</v>
      </c>
      <c r="C180" s="4" t="s">
        <v>174</v>
      </c>
      <c r="D180" s="4" t="s">
        <v>5</v>
      </c>
      <c r="E180" s="4" t="s">
        <v>563</v>
      </c>
      <c r="F180" s="5" t="s">
        <v>572</v>
      </c>
      <c r="G180" t="s">
        <v>568</v>
      </c>
    </row>
    <row r="181" spans="1:7" x14ac:dyDescent="0.3">
      <c r="A181" s="4">
        <v>180</v>
      </c>
      <c r="B181" s="5">
        <v>72239164</v>
      </c>
      <c r="C181" s="4" t="s">
        <v>175</v>
      </c>
      <c r="D181" s="4" t="s">
        <v>5</v>
      </c>
      <c r="E181" s="4" t="s">
        <v>563</v>
      </c>
      <c r="F181" s="5" t="s">
        <v>572</v>
      </c>
      <c r="G181" t="s">
        <v>568</v>
      </c>
    </row>
    <row r="182" spans="1:7" x14ac:dyDescent="0.3">
      <c r="A182" s="4">
        <v>181</v>
      </c>
      <c r="B182" s="5">
        <v>72298484</v>
      </c>
      <c r="C182" s="4" t="s">
        <v>176</v>
      </c>
      <c r="D182" s="4" t="s">
        <v>5</v>
      </c>
      <c r="E182" s="4" t="s">
        <v>563</v>
      </c>
      <c r="F182" s="5" t="s">
        <v>571</v>
      </c>
      <c r="G182" t="s">
        <v>568</v>
      </c>
    </row>
    <row r="183" spans="1:7" x14ac:dyDescent="0.3">
      <c r="A183" s="4">
        <v>182</v>
      </c>
      <c r="B183" s="5">
        <v>73226383</v>
      </c>
      <c r="C183" s="4" t="s">
        <v>177</v>
      </c>
      <c r="D183" s="4" t="s">
        <v>5</v>
      </c>
      <c r="E183" s="4" t="s">
        <v>563</v>
      </c>
      <c r="F183" s="5" t="s">
        <v>575</v>
      </c>
      <c r="G183" t="s">
        <v>568</v>
      </c>
    </row>
    <row r="184" spans="1:7" x14ac:dyDescent="0.3">
      <c r="A184" s="4">
        <v>183</v>
      </c>
      <c r="B184" s="5">
        <v>7444585</v>
      </c>
      <c r="C184" s="4" t="s">
        <v>178</v>
      </c>
      <c r="D184" s="4" t="s">
        <v>5</v>
      </c>
      <c r="E184" s="4" t="s">
        <v>563</v>
      </c>
      <c r="F184" s="5" t="s">
        <v>572</v>
      </c>
      <c r="G184" t="s">
        <v>568</v>
      </c>
    </row>
    <row r="185" spans="1:7" x14ac:dyDescent="0.3">
      <c r="A185" s="4">
        <v>184</v>
      </c>
      <c r="B185" s="5">
        <v>7454371</v>
      </c>
      <c r="C185" s="4" t="s">
        <v>179</v>
      </c>
      <c r="D185" s="4" t="s">
        <v>5</v>
      </c>
      <c r="E185" s="4" t="s">
        <v>563</v>
      </c>
      <c r="F185" s="5" t="s">
        <v>577</v>
      </c>
      <c r="G185" t="s">
        <v>568</v>
      </c>
    </row>
    <row r="186" spans="1:7" x14ac:dyDescent="0.3">
      <c r="A186" s="4">
        <v>185</v>
      </c>
      <c r="B186" s="5">
        <v>7474428</v>
      </c>
      <c r="C186" s="4" t="s">
        <v>180</v>
      </c>
      <c r="D186" s="4" t="s">
        <v>5</v>
      </c>
      <c r="E186" s="4" t="s">
        <v>563</v>
      </c>
      <c r="F186" s="5" t="s">
        <v>573</v>
      </c>
      <c r="G186" t="s">
        <v>568</v>
      </c>
    </row>
    <row r="187" spans="1:7" x14ac:dyDescent="0.3">
      <c r="A187" s="4">
        <v>186</v>
      </c>
      <c r="B187" s="5">
        <v>7476537</v>
      </c>
      <c r="C187" s="4" t="s">
        <v>181</v>
      </c>
      <c r="D187" s="4" t="s">
        <v>5</v>
      </c>
      <c r="E187" s="4" t="s">
        <v>563</v>
      </c>
      <c r="F187" s="5" t="s">
        <v>573</v>
      </c>
      <c r="G187" t="s">
        <v>568</v>
      </c>
    </row>
    <row r="188" spans="1:7" x14ac:dyDescent="0.3">
      <c r="A188" s="4">
        <v>187</v>
      </c>
      <c r="B188" s="5">
        <v>7476784</v>
      </c>
      <c r="C188" s="4" t="s">
        <v>182</v>
      </c>
      <c r="D188" s="4" t="s">
        <v>5</v>
      </c>
      <c r="E188" s="4" t="s">
        <v>563</v>
      </c>
      <c r="F188" s="5" t="s">
        <v>574</v>
      </c>
      <c r="G188" t="s">
        <v>568</v>
      </c>
    </row>
    <row r="189" spans="1:7" x14ac:dyDescent="0.3">
      <c r="A189" s="4">
        <v>188</v>
      </c>
      <c r="B189" s="5">
        <v>832608</v>
      </c>
      <c r="C189" s="4" t="s">
        <v>183</v>
      </c>
      <c r="D189" s="4" t="s">
        <v>5</v>
      </c>
      <c r="E189" s="4" t="s">
        <v>563</v>
      </c>
      <c r="F189" s="5" t="s">
        <v>573</v>
      </c>
      <c r="G189" t="s">
        <v>568</v>
      </c>
    </row>
    <row r="190" spans="1:7" x14ac:dyDescent="0.3">
      <c r="A190" s="4">
        <v>189</v>
      </c>
      <c r="B190" s="5">
        <v>8664032</v>
      </c>
      <c r="C190" s="4" t="s">
        <v>184</v>
      </c>
      <c r="D190" s="4" t="s">
        <v>5</v>
      </c>
      <c r="E190" s="4" t="s">
        <v>563</v>
      </c>
      <c r="F190" s="5" t="s">
        <v>574</v>
      </c>
      <c r="G190" t="s">
        <v>568</v>
      </c>
    </row>
    <row r="191" spans="1:7" x14ac:dyDescent="0.3">
      <c r="A191" s="4">
        <v>190</v>
      </c>
      <c r="B191" s="5">
        <v>8672765</v>
      </c>
      <c r="C191" s="4" t="s">
        <v>185</v>
      </c>
      <c r="D191" s="4" t="s">
        <v>5</v>
      </c>
      <c r="E191" s="4" t="s">
        <v>563</v>
      </c>
      <c r="F191" s="5" t="s">
        <v>575</v>
      </c>
      <c r="G191" t="s">
        <v>568</v>
      </c>
    </row>
    <row r="192" spans="1:7" x14ac:dyDescent="0.3">
      <c r="A192" s="4">
        <v>191</v>
      </c>
      <c r="B192" s="5">
        <v>8681506</v>
      </c>
      <c r="C192" s="4" t="s">
        <v>186</v>
      </c>
      <c r="D192" s="4" t="s">
        <v>5</v>
      </c>
      <c r="E192" s="4" t="s">
        <v>563</v>
      </c>
      <c r="F192" s="5" t="s">
        <v>571</v>
      </c>
      <c r="G192" t="s">
        <v>568</v>
      </c>
    </row>
    <row r="193" spans="1:7" x14ac:dyDescent="0.3">
      <c r="A193" s="4">
        <v>192</v>
      </c>
      <c r="B193" s="5">
        <v>8686374</v>
      </c>
      <c r="C193" s="4" t="s">
        <v>187</v>
      </c>
      <c r="D193" s="4" t="s">
        <v>5</v>
      </c>
      <c r="E193" s="4" t="s">
        <v>563</v>
      </c>
      <c r="F193" s="5" t="s">
        <v>575</v>
      </c>
      <c r="G193" t="s">
        <v>568</v>
      </c>
    </row>
    <row r="194" spans="1:7" x14ac:dyDescent="0.3">
      <c r="A194" s="4">
        <v>193</v>
      </c>
      <c r="B194" s="5">
        <v>8719594</v>
      </c>
      <c r="C194" s="4" t="s">
        <v>188</v>
      </c>
      <c r="D194" s="4" t="s">
        <v>5</v>
      </c>
      <c r="E194" s="4" t="s">
        <v>563</v>
      </c>
      <c r="F194" s="5" t="s">
        <v>572</v>
      </c>
      <c r="G194" t="s">
        <v>568</v>
      </c>
    </row>
    <row r="195" spans="1:7" x14ac:dyDescent="0.3">
      <c r="A195" s="4">
        <v>194</v>
      </c>
      <c r="B195" s="5">
        <v>8724214</v>
      </c>
      <c r="C195" s="4" t="s">
        <v>189</v>
      </c>
      <c r="D195" s="4" t="s">
        <v>5</v>
      </c>
      <c r="E195" s="4" t="s">
        <v>563</v>
      </c>
      <c r="F195" s="5" t="s">
        <v>575</v>
      </c>
      <c r="G195" t="s">
        <v>568</v>
      </c>
    </row>
    <row r="196" spans="1:7" x14ac:dyDescent="0.3">
      <c r="A196" s="4">
        <v>195</v>
      </c>
      <c r="B196" s="5">
        <v>8734568</v>
      </c>
      <c r="C196" s="4" t="s">
        <v>190</v>
      </c>
      <c r="D196" s="4" t="s">
        <v>5</v>
      </c>
      <c r="E196" s="4" t="s">
        <v>563</v>
      </c>
      <c r="F196" s="5" t="s">
        <v>573</v>
      </c>
      <c r="G196" t="s">
        <v>568</v>
      </c>
    </row>
    <row r="197" spans="1:7" x14ac:dyDescent="0.3">
      <c r="A197" s="4">
        <v>196</v>
      </c>
      <c r="B197" s="5">
        <v>8737489</v>
      </c>
      <c r="C197" s="4" t="s">
        <v>191</v>
      </c>
      <c r="D197" s="4" t="s">
        <v>5</v>
      </c>
      <c r="E197" s="4" t="s">
        <v>563</v>
      </c>
      <c r="F197" s="5" t="s">
        <v>575</v>
      </c>
      <c r="G197" t="s">
        <v>568</v>
      </c>
    </row>
    <row r="198" spans="1:7" x14ac:dyDescent="0.3">
      <c r="A198" s="4">
        <v>197</v>
      </c>
      <c r="B198" s="5">
        <v>8754897</v>
      </c>
      <c r="C198" s="4" t="s">
        <v>192</v>
      </c>
      <c r="D198" s="4" t="s">
        <v>5</v>
      </c>
      <c r="E198" s="4" t="s">
        <v>563</v>
      </c>
      <c r="F198" s="5" t="s">
        <v>574</v>
      </c>
      <c r="G198" t="s">
        <v>568</v>
      </c>
    </row>
    <row r="199" spans="1:7" x14ac:dyDescent="0.3">
      <c r="A199" s="4">
        <v>198</v>
      </c>
      <c r="B199" s="5">
        <v>8758157</v>
      </c>
      <c r="C199" s="4" t="s">
        <v>193</v>
      </c>
      <c r="D199" s="4" t="s">
        <v>5</v>
      </c>
      <c r="E199" s="4" t="s">
        <v>563</v>
      </c>
      <c r="F199" s="5" t="s">
        <v>574</v>
      </c>
      <c r="G199" t="s">
        <v>568</v>
      </c>
    </row>
    <row r="200" spans="1:7" x14ac:dyDescent="0.3">
      <c r="A200" s="4">
        <v>199</v>
      </c>
      <c r="B200" s="5">
        <v>8779085</v>
      </c>
      <c r="C200" s="4" t="s">
        <v>167</v>
      </c>
      <c r="D200" s="4" t="s">
        <v>5</v>
      </c>
      <c r="E200" s="4" t="s">
        <v>563</v>
      </c>
      <c r="F200" s="5" t="s">
        <v>571</v>
      </c>
      <c r="G200" t="s">
        <v>568</v>
      </c>
    </row>
    <row r="201" spans="1:7" x14ac:dyDescent="0.3">
      <c r="A201" s="4">
        <v>200</v>
      </c>
      <c r="B201" s="5">
        <v>8799243</v>
      </c>
      <c r="C201" s="4" t="s">
        <v>194</v>
      </c>
      <c r="D201" s="4" t="s">
        <v>5</v>
      </c>
      <c r="E201" s="4" t="s">
        <v>563</v>
      </c>
      <c r="F201" s="5" t="s">
        <v>571</v>
      </c>
      <c r="G201" t="s">
        <v>568</v>
      </c>
    </row>
    <row r="202" spans="1:7" x14ac:dyDescent="0.3">
      <c r="A202" s="4">
        <v>201</v>
      </c>
      <c r="B202" s="5">
        <v>1002793265</v>
      </c>
      <c r="C202" s="4" t="s">
        <v>195</v>
      </c>
      <c r="D202" s="4" t="s">
        <v>196</v>
      </c>
      <c r="E202" s="4" t="s">
        <v>563</v>
      </c>
      <c r="F202" s="5" t="s">
        <v>573</v>
      </c>
      <c r="G202" t="s">
        <v>566</v>
      </c>
    </row>
    <row r="203" spans="1:7" x14ac:dyDescent="0.3">
      <c r="A203" s="4">
        <v>202</v>
      </c>
      <c r="B203" s="5">
        <v>1005873832</v>
      </c>
      <c r="C203" s="4" t="s">
        <v>197</v>
      </c>
      <c r="D203" s="4" t="s">
        <v>196</v>
      </c>
      <c r="E203" s="4" t="s">
        <v>563</v>
      </c>
      <c r="F203" s="5" t="s">
        <v>573</v>
      </c>
      <c r="G203" t="s">
        <v>567</v>
      </c>
    </row>
    <row r="204" spans="1:7" x14ac:dyDescent="0.3">
      <c r="A204" s="4">
        <v>203</v>
      </c>
      <c r="B204" s="5">
        <v>1006233749</v>
      </c>
      <c r="C204" s="4" t="s">
        <v>198</v>
      </c>
      <c r="D204" s="4" t="s">
        <v>196</v>
      </c>
      <c r="E204" s="4" t="s">
        <v>563</v>
      </c>
      <c r="F204" s="5" t="s">
        <v>571</v>
      </c>
      <c r="G204" t="s">
        <v>567</v>
      </c>
    </row>
    <row r="205" spans="1:7" x14ac:dyDescent="0.3">
      <c r="A205" s="4">
        <v>204</v>
      </c>
      <c r="B205" s="5">
        <v>10375239</v>
      </c>
      <c r="C205" s="4" t="s">
        <v>199</v>
      </c>
      <c r="D205" s="4" t="s">
        <v>196</v>
      </c>
      <c r="E205" s="4" t="s">
        <v>563</v>
      </c>
      <c r="F205" s="5" t="s">
        <v>571</v>
      </c>
      <c r="G205" t="s">
        <v>566</v>
      </c>
    </row>
    <row r="206" spans="1:7" x14ac:dyDescent="0.3">
      <c r="A206" s="4">
        <v>205</v>
      </c>
      <c r="B206" s="5">
        <v>10472271</v>
      </c>
      <c r="C206" s="4" t="s">
        <v>200</v>
      </c>
      <c r="D206" s="4" t="s">
        <v>196</v>
      </c>
      <c r="E206" s="4" t="s">
        <v>563</v>
      </c>
      <c r="F206" s="5" t="s">
        <v>571</v>
      </c>
      <c r="G206" t="s">
        <v>566</v>
      </c>
    </row>
    <row r="207" spans="1:7" x14ac:dyDescent="0.3">
      <c r="A207" s="4">
        <v>206</v>
      </c>
      <c r="B207" s="5">
        <v>1059044849</v>
      </c>
      <c r="C207" s="4" t="s">
        <v>201</v>
      </c>
      <c r="D207" s="4" t="s">
        <v>196</v>
      </c>
      <c r="E207" s="4" t="s">
        <v>563</v>
      </c>
      <c r="F207" s="5" t="s">
        <v>576</v>
      </c>
      <c r="G207" t="s">
        <v>566</v>
      </c>
    </row>
    <row r="208" spans="1:7" x14ac:dyDescent="0.3">
      <c r="A208" s="4">
        <v>207</v>
      </c>
      <c r="B208" s="5">
        <v>1059044885</v>
      </c>
      <c r="C208" s="4" t="s">
        <v>202</v>
      </c>
      <c r="D208" s="4" t="s">
        <v>196</v>
      </c>
      <c r="E208" s="4" t="s">
        <v>563</v>
      </c>
      <c r="F208" s="5" t="s">
        <v>571</v>
      </c>
      <c r="G208" t="s">
        <v>566</v>
      </c>
    </row>
    <row r="209" spans="1:7" x14ac:dyDescent="0.3">
      <c r="A209" s="4">
        <v>208</v>
      </c>
      <c r="B209" s="5">
        <v>1059986053</v>
      </c>
      <c r="C209" s="4" t="s">
        <v>203</v>
      </c>
      <c r="D209" s="4" t="s">
        <v>196</v>
      </c>
      <c r="E209" s="4" t="s">
        <v>563</v>
      </c>
      <c r="F209" s="5" t="s">
        <v>571</v>
      </c>
      <c r="G209" t="s">
        <v>566</v>
      </c>
    </row>
    <row r="210" spans="1:7" x14ac:dyDescent="0.3">
      <c r="A210" s="4">
        <v>209</v>
      </c>
      <c r="B210" s="5">
        <v>1060102242</v>
      </c>
      <c r="C210" s="4" t="s">
        <v>204</v>
      </c>
      <c r="D210" s="4" t="s">
        <v>196</v>
      </c>
      <c r="E210" s="4" t="s">
        <v>563</v>
      </c>
      <c r="F210" s="5" t="s">
        <v>571</v>
      </c>
      <c r="G210" t="s">
        <v>567</v>
      </c>
    </row>
    <row r="211" spans="1:7" x14ac:dyDescent="0.3">
      <c r="A211" s="4">
        <v>210</v>
      </c>
      <c r="B211" s="5">
        <v>1061433798</v>
      </c>
      <c r="C211" s="4" t="s">
        <v>205</v>
      </c>
      <c r="D211" s="4" t="s">
        <v>196</v>
      </c>
      <c r="E211" s="4" t="s">
        <v>563</v>
      </c>
      <c r="F211" s="5" t="s">
        <v>571</v>
      </c>
      <c r="G211" t="s">
        <v>566</v>
      </c>
    </row>
    <row r="212" spans="1:7" x14ac:dyDescent="0.3">
      <c r="A212" s="4">
        <v>211</v>
      </c>
      <c r="B212" s="5">
        <v>1062297779</v>
      </c>
      <c r="C212" s="4" t="s">
        <v>206</v>
      </c>
      <c r="D212" s="4" t="s">
        <v>196</v>
      </c>
      <c r="E212" s="4" t="s">
        <v>563</v>
      </c>
      <c r="F212" s="5" t="s">
        <v>576</v>
      </c>
      <c r="G212" t="s">
        <v>566</v>
      </c>
    </row>
    <row r="213" spans="1:7" x14ac:dyDescent="0.3">
      <c r="A213" s="4">
        <v>212</v>
      </c>
      <c r="B213" s="5">
        <v>1067461300</v>
      </c>
      <c r="C213" s="4" t="s">
        <v>207</v>
      </c>
      <c r="D213" s="4" t="s">
        <v>196</v>
      </c>
      <c r="E213" s="4" t="s">
        <v>563</v>
      </c>
      <c r="F213" s="5" t="s">
        <v>574</v>
      </c>
      <c r="G213" t="s">
        <v>566</v>
      </c>
    </row>
    <row r="214" spans="1:7" x14ac:dyDescent="0.3">
      <c r="A214" s="4">
        <v>213</v>
      </c>
      <c r="B214" s="5">
        <v>10741712</v>
      </c>
      <c r="C214" s="4" t="s">
        <v>208</v>
      </c>
      <c r="D214" s="4" t="s">
        <v>196</v>
      </c>
      <c r="E214" s="4" t="s">
        <v>563</v>
      </c>
      <c r="F214" s="5" t="s">
        <v>571</v>
      </c>
      <c r="G214" t="s">
        <v>566</v>
      </c>
    </row>
    <row r="215" spans="1:7" x14ac:dyDescent="0.3">
      <c r="A215" s="4">
        <v>215</v>
      </c>
      <c r="B215" s="5">
        <v>1080835928</v>
      </c>
      <c r="C215" s="4" t="s">
        <v>209</v>
      </c>
      <c r="D215" s="4" t="s">
        <v>196</v>
      </c>
      <c r="E215" s="4" t="s">
        <v>563</v>
      </c>
      <c r="F215" s="5" t="s">
        <v>576</v>
      </c>
      <c r="G215" t="s">
        <v>566</v>
      </c>
    </row>
    <row r="216" spans="1:7" x14ac:dyDescent="0.3">
      <c r="A216" s="4">
        <v>216</v>
      </c>
      <c r="B216" s="5">
        <v>1107036712</v>
      </c>
      <c r="C216" s="4" t="s">
        <v>210</v>
      </c>
      <c r="D216" s="4" t="s">
        <v>196</v>
      </c>
      <c r="E216" s="4" t="s">
        <v>563</v>
      </c>
      <c r="F216" s="5" t="s">
        <v>571</v>
      </c>
      <c r="G216" t="s">
        <v>566</v>
      </c>
    </row>
    <row r="217" spans="1:7" x14ac:dyDescent="0.3">
      <c r="A217" s="4">
        <v>217</v>
      </c>
      <c r="B217" s="5">
        <v>1107038099</v>
      </c>
      <c r="C217" s="4" t="s">
        <v>211</v>
      </c>
      <c r="D217" s="4" t="s">
        <v>196</v>
      </c>
      <c r="E217" s="4" t="s">
        <v>563</v>
      </c>
      <c r="F217" s="5" t="s">
        <v>571</v>
      </c>
      <c r="G217" t="s">
        <v>566</v>
      </c>
    </row>
    <row r="218" spans="1:7" x14ac:dyDescent="0.3">
      <c r="A218" s="4">
        <v>218</v>
      </c>
      <c r="B218" s="5">
        <v>1107062248</v>
      </c>
      <c r="C218" s="4" t="s">
        <v>212</v>
      </c>
      <c r="D218" s="4" t="s">
        <v>196</v>
      </c>
      <c r="E218" s="4" t="s">
        <v>563</v>
      </c>
      <c r="F218" s="5" t="s">
        <v>574</v>
      </c>
      <c r="G218" t="s">
        <v>566</v>
      </c>
    </row>
    <row r="219" spans="1:7" x14ac:dyDescent="0.3">
      <c r="A219" s="4">
        <v>219</v>
      </c>
      <c r="B219" s="5">
        <v>1107082402</v>
      </c>
      <c r="C219" s="4" t="s">
        <v>213</v>
      </c>
      <c r="D219" s="4" t="s">
        <v>196</v>
      </c>
      <c r="E219" s="4" t="s">
        <v>563</v>
      </c>
      <c r="F219" s="5" t="s">
        <v>574</v>
      </c>
      <c r="G219" t="s">
        <v>567</v>
      </c>
    </row>
    <row r="220" spans="1:7" x14ac:dyDescent="0.3">
      <c r="A220" s="4">
        <v>220</v>
      </c>
      <c r="B220" s="5">
        <v>1107101692</v>
      </c>
      <c r="C220" s="4" t="s">
        <v>214</v>
      </c>
      <c r="D220" s="4" t="s">
        <v>196</v>
      </c>
      <c r="E220" s="4" t="s">
        <v>563</v>
      </c>
      <c r="F220" s="5" t="s">
        <v>571</v>
      </c>
      <c r="G220" t="s">
        <v>566</v>
      </c>
    </row>
    <row r="221" spans="1:7" x14ac:dyDescent="0.3">
      <c r="A221" s="1">
        <v>221</v>
      </c>
      <c r="B221" s="2">
        <v>1107528203</v>
      </c>
      <c r="C221" s="1" t="s">
        <v>215</v>
      </c>
      <c r="D221" s="1" t="s">
        <v>196</v>
      </c>
      <c r="E221" s="4" t="s">
        <v>563</v>
      </c>
      <c r="F221" s="5" t="s">
        <v>574</v>
      </c>
      <c r="G221" t="s">
        <v>566</v>
      </c>
    </row>
    <row r="222" spans="1:7" x14ac:dyDescent="0.3">
      <c r="A222" s="4">
        <v>222</v>
      </c>
      <c r="B222" s="5">
        <v>1112459228</v>
      </c>
      <c r="C222" s="4" t="s">
        <v>216</v>
      </c>
      <c r="D222" s="4" t="s">
        <v>196</v>
      </c>
      <c r="E222" s="4" t="s">
        <v>563</v>
      </c>
      <c r="F222" s="5" t="s">
        <v>575</v>
      </c>
      <c r="G222" t="s">
        <v>566</v>
      </c>
    </row>
    <row r="223" spans="1:7" x14ac:dyDescent="0.3">
      <c r="A223" s="4">
        <v>223</v>
      </c>
      <c r="B223" s="5">
        <v>1112460885</v>
      </c>
      <c r="C223" s="4" t="s">
        <v>217</v>
      </c>
      <c r="D223" s="4" t="s">
        <v>196</v>
      </c>
      <c r="E223" s="4" t="s">
        <v>563</v>
      </c>
      <c r="F223" s="5" t="s">
        <v>576</v>
      </c>
      <c r="G223" t="s">
        <v>566</v>
      </c>
    </row>
    <row r="224" spans="1:7" x14ac:dyDescent="0.3">
      <c r="A224" s="1">
        <v>224</v>
      </c>
      <c r="B224" s="2">
        <v>1112464691</v>
      </c>
      <c r="C224" s="1" t="s">
        <v>218</v>
      </c>
      <c r="D224" s="1" t="s">
        <v>196</v>
      </c>
      <c r="E224" s="1" t="s">
        <v>563</v>
      </c>
      <c r="F224" s="5" t="s">
        <v>571</v>
      </c>
      <c r="G224" t="s">
        <v>566</v>
      </c>
    </row>
    <row r="225" spans="1:7" x14ac:dyDescent="0.3">
      <c r="A225" s="4">
        <v>225</v>
      </c>
      <c r="B225" s="5">
        <v>1114729169</v>
      </c>
      <c r="C225" s="4" t="s">
        <v>219</v>
      </c>
      <c r="D225" s="4" t="s">
        <v>196</v>
      </c>
      <c r="E225" s="4" t="s">
        <v>563</v>
      </c>
      <c r="F225" s="5" t="s">
        <v>575</v>
      </c>
      <c r="G225" t="s">
        <v>567</v>
      </c>
    </row>
    <row r="226" spans="1:7" x14ac:dyDescent="0.3">
      <c r="A226" s="4">
        <v>226</v>
      </c>
      <c r="B226" s="5">
        <v>1118256990</v>
      </c>
      <c r="C226" s="4" t="s">
        <v>220</v>
      </c>
      <c r="D226" s="4" t="s">
        <v>196</v>
      </c>
      <c r="E226" s="4" t="s">
        <v>563</v>
      </c>
      <c r="F226" s="5" t="s">
        <v>571</v>
      </c>
      <c r="G226" t="s">
        <v>566</v>
      </c>
    </row>
    <row r="227" spans="1:7" x14ac:dyDescent="0.3">
      <c r="A227" s="4">
        <v>227</v>
      </c>
      <c r="B227" s="5">
        <v>1130590826</v>
      </c>
      <c r="C227" s="4" t="s">
        <v>221</v>
      </c>
      <c r="D227" s="4" t="s">
        <v>196</v>
      </c>
      <c r="E227" s="4" t="s">
        <v>563</v>
      </c>
      <c r="F227" s="5" t="s">
        <v>574</v>
      </c>
      <c r="G227" t="s">
        <v>567</v>
      </c>
    </row>
    <row r="228" spans="1:7" x14ac:dyDescent="0.3">
      <c r="A228" s="4">
        <v>228</v>
      </c>
      <c r="B228" s="5">
        <v>1130591575</v>
      </c>
      <c r="C228" s="4" t="s">
        <v>222</v>
      </c>
      <c r="D228" s="4" t="s">
        <v>196</v>
      </c>
      <c r="E228" s="4" t="s">
        <v>563</v>
      </c>
      <c r="F228" s="5" t="s">
        <v>571</v>
      </c>
      <c r="G228" t="s">
        <v>566</v>
      </c>
    </row>
    <row r="229" spans="1:7" x14ac:dyDescent="0.3">
      <c r="A229" s="4">
        <v>229</v>
      </c>
      <c r="B229" s="5">
        <v>1130609656</v>
      </c>
      <c r="C229" s="4" t="s">
        <v>223</v>
      </c>
      <c r="D229" s="4" t="s">
        <v>196</v>
      </c>
      <c r="E229" s="4" t="s">
        <v>563</v>
      </c>
      <c r="F229" s="5" t="s">
        <v>571</v>
      </c>
      <c r="G229" t="s">
        <v>566</v>
      </c>
    </row>
    <row r="230" spans="1:7" x14ac:dyDescent="0.3">
      <c r="A230" s="4">
        <v>230</v>
      </c>
      <c r="B230" s="5">
        <v>1130611960</v>
      </c>
      <c r="C230" s="4" t="s">
        <v>224</v>
      </c>
      <c r="D230" s="4" t="s">
        <v>196</v>
      </c>
      <c r="E230" s="4" t="s">
        <v>563</v>
      </c>
      <c r="F230" s="5" t="s">
        <v>573</v>
      </c>
      <c r="G230" t="s">
        <v>566</v>
      </c>
    </row>
    <row r="231" spans="1:7" x14ac:dyDescent="0.3">
      <c r="A231" s="4">
        <v>231</v>
      </c>
      <c r="B231" s="5">
        <v>1130621848</v>
      </c>
      <c r="C231" s="4" t="s">
        <v>225</v>
      </c>
      <c r="D231" s="4" t="s">
        <v>196</v>
      </c>
      <c r="E231" s="4" t="s">
        <v>563</v>
      </c>
      <c r="F231" s="5" t="s">
        <v>571</v>
      </c>
      <c r="G231" t="s">
        <v>567</v>
      </c>
    </row>
    <row r="232" spans="1:7" x14ac:dyDescent="0.3">
      <c r="A232" s="4">
        <v>232</v>
      </c>
      <c r="B232" s="5">
        <v>1130668655</v>
      </c>
      <c r="C232" s="4" t="s">
        <v>226</v>
      </c>
      <c r="D232" s="4" t="s">
        <v>196</v>
      </c>
      <c r="E232" s="4" t="s">
        <v>563</v>
      </c>
      <c r="F232" s="5" t="s">
        <v>571</v>
      </c>
      <c r="G232" t="s">
        <v>567</v>
      </c>
    </row>
    <row r="233" spans="1:7" x14ac:dyDescent="0.3">
      <c r="A233" s="4">
        <v>233</v>
      </c>
      <c r="B233" s="5">
        <v>1136060053</v>
      </c>
      <c r="C233" s="4" t="s">
        <v>227</v>
      </c>
      <c r="D233" s="4" t="s">
        <v>196</v>
      </c>
      <c r="E233" s="4" t="s">
        <v>563</v>
      </c>
      <c r="F233" s="5" t="s">
        <v>571</v>
      </c>
      <c r="G233" t="s">
        <v>566</v>
      </c>
    </row>
    <row r="234" spans="1:7" x14ac:dyDescent="0.3">
      <c r="A234" s="4">
        <v>234</v>
      </c>
      <c r="B234" s="5">
        <v>1143830506</v>
      </c>
      <c r="C234" s="4" t="s">
        <v>228</v>
      </c>
      <c r="D234" s="4" t="s">
        <v>196</v>
      </c>
      <c r="E234" s="4" t="s">
        <v>563</v>
      </c>
      <c r="F234" s="5" t="s">
        <v>574</v>
      </c>
      <c r="G234" t="s">
        <v>567</v>
      </c>
    </row>
    <row r="235" spans="1:7" x14ac:dyDescent="0.3">
      <c r="A235" s="4">
        <v>235</v>
      </c>
      <c r="B235" s="5">
        <v>1143831016</v>
      </c>
      <c r="C235" s="4" t="s">
        <v>229</v>
      </c>
      <c r="D235" s="4" t="s">
        <v>196</v>
      </c>
      <c r="E235" s="4" t="s">
        <v>563</v>
      </c>
      <c r="F235" s="5" t="s">
        <v>571</v>
      </c>
      <c r="G235" t="s">
        <v>566</v>
      </c>
    </row>
    <row r="236" spans="1:7" x14ac:dyDescent="0.3">
      <c r="A236" s="4">
        <v>236</v>
      </c>
      <c r="B236" s="5">
        <v>1143841537</v>
      </c>
      <c r="C236" s="4" t="s">
        <v>230</v>
      </c>
      <c r="D236" s="4" t="s">
        <v>196</v>
      </c>
      <c r="E236" s="4" t="s">
        <v>563</v>
      </c>
      <c r="F236" s="5" t="s">
        <v>572</v>
      </c>
      <c r="G236" t="s">
        <v>566</v>
      </c>
    </row>
    <row r="237" spans="1:7" x14ac:dyDescent="0.3">
      <c r="A237" s="4">
        <v>237</v>
      </c>
      <c r="B237" s="5">
        <v>1143845493</v>
      </c>
      <c r="C237" s="4" t="s">
        <v>231</v>
      </c>
      <c r="D237" s="4" t="s">
        <v>196</v>
      </c>
      <c r="E237" s="4" t="s">
        <v>563</v>
      </c>
      <c r="F237" s="5" t="s">
        <v>576</v>
      </c>
      <c r="G237" t="s">
        <v>567</v>
      </c>
    </row>
    <row r="238" spans="1:7" x14ac:dyDescent="0.3">
      <c r="A238" s="4">
        <v>238</v>
      </c>
      <c r="B238" s="5">
        <v>1144024517</v>
      </c>
      <c r="C238" s="4" t="s">
        <v>232</v>
      </c>
      <c r="D238" s="4" t="s">
        <v>196</v>
      </c>
      <c r="E238" s="4" t="s">
        <v>563</v>
      </c>
      <c r="F238" s="5" t="s">
        <v>574</v>
      </c>
      <c r="G238" t="s">
        <v>566</v>
      </c>
    </row>
    <row r="239" spans="1:7" x14ac:dyDescent="0.3">
      <c r="A239" s="4">
        <v>239</v>
      </c>
      <c r="B239" s="5">
        <v>1144030139</v>
      </c>
      <c r="C239" s="4" t="s">
        <v>233</v>
      </c>
      <c r="D239" s="4" t="s">
        <v>196</v>
      </c>
      <c r="E239" s="4" t="s">
        <v>563</v>
      </c>
      <c r="F239" s="5" t="s">
        <v>571</v>
      </c>
      <c r="G239" t="s">
        <v>566</v>
      </c>
    </row>
    <row r="240" spans="1:7" x14ac:dyDescent="0.3">
      <c r="A240" s="4">
        <v>240</v>
      </c>
      <c r="B240" s="5">
        <v>1144031654</v>
      </c>
      <c r="C240" s="4" t="s">
        <v>234</v>
      </c>
      <c r="D240" s="4" t="s">
        <v>196</v>
      </c>
      <c r="E240" s="4" t="s">
        <v>563</v>
      </c>
      <c r="F240" s="5" t="s">
        <v>571</v>
      </c>
      <c r="G240" t="s">
        <v>567</v>
      </c>
    </row>
    <row r="241" spans="1:7" x14ac:dyDescent="0.3">
      <c r="A241" s="4">
        <v>241</v>
      </c>
      <c r="B241" s="5">
        <v>1144034037</v>
      </c>
      <c r="C241" s="4" t="s">
        <v>235</v>
      </c>
      <c r="D241" s="4" t="s">
        <v>196</v>
      </c>
      <c r="E241" s="4" t="s">
        <v>563</v>
      </c>
      <c r="F241" s="5" t="s">
        <v>571</v>
      </c>
      <c r="G241" t="s">
        <v>566</v>
      </c>
    </row>
    <row r="242" spans="1:7" x14ac:dyDescent="0.3">
      <c r="A242" s="4">
        <v>242</v>
      </c>
      <c r="B242" s="5">
        <v>1144035169</v>
      </c>
      <c r="C242" s="4" t="s">
        <v>236</v>
      </c>
      <c r="D242" s="4" t="s">
        <v>196</v>
      </c>
      <c r="E242" s="4" t="s">
        <v>563</v>
      </c>
      <c r="F242" s="5" t="s">
        <v>571</v>
      </c>
      <c r="G242" t="s">
        <v>566</v>
      </c>
    </row>
    <row r="243" spans="1:7" x14ac:dyDescent="0.3">
      <c r="A243" s="4">
        <v>243</v>
      </c>
      <c r="B243" s="5">
        <v>1144037995</v>
      </c>
      <c r="C243" s="4" t="s">
        <v>237</v>
      </c>
      <c r="D243" s="4" t="s">
        <v>196</v>
      </c>
      <c r="E243" s="4" t="s">
        <v>563</v>
      </c>
      <c r="F243" s="5" t="s">
        <v>574</v>
      </c>
      <c r="G243" t="s">
        <v>567</v>
      </c>
    </row>
    <row r="244" spans="1:7" x14ac:dyDescent="0.3">
      <c r="A244" s="4">
        <v>244</v>
      </c>
      <c r="B244" s="5">
        <v>1144038638</v>
      </c>
      <c r="C244" s="4" t="s">
        <v>238</v>
      </c>
      <c r="D244" s="4" t="s">
        <v>196</v>
      </c>
      <c r="E244" s="4" t="s">
        <v>563</v>
      </c>
      <c r="F244" s="5" t="s">
        <v>571</v>
      </c>
      <c r="G244" t="s">
        <v>567</v>
      </c>
    </row>
    <row r="245" spans="1:7" x14ac:dyDescent="0.3">
      <c r="A245" s="4">
        <v>245</v>
      </c>
      <c r="B245" s="5">
        <v>1144038733</v>
      </c>
      <c r="C245" s="4" t="s">
        <v>239</v>
      </c>
      <c r="D245" s="4" t="s">
        <v>196</v>
      </c>
      <c r="E245" s="4" t="s">
        <v>563</v>
      </c>
      <c r="F245" s="5" t="s">
        <v>572</v>
      </c>
      <c r="G245" t="s">
        <v>567</v>
      </c>
    </row>
    <row r="246" spans="1:7" x14ac:dyDescent="0.3">
      <c r="A246" s="4">
        <v>246</v>
      </c>
      <c r="B246" s="5">
        <v>1144043798</v>
      </c>
      <c r="C246" s="4" t="s">
        <v>240</v>
      </c>
      <c r="D246" s="4" t="s">
        <v>196</v>
      </c>
      <c r="E246" s="4" t="s">
        <v>563</v>
      </c>
      <c r="F246" s="5" t="s">
        <v>571</v>
      </c>
      <c r="G246" t="s">
        <v>566</v>
      </c>
    </row>
    <row r="247" spans="1:7" x14ac:dyDescent="0.3">
      <c r="A247" s="4">
        <v>247</v>
      </c>
      <c r="B247" s="5">
        <v>1144045256</v>
      </c>
      <c r="C247" s="4" t="s">
        <v>241</v>
      </c>
      <c r="D247" s="4" t="s">
        <v>196</v>
      </c>
      <c r="E247" s="4" t="s">
        <v>563</v>
      </c>
      <c r="F247" s="5" t="s">
        <v>571</v>
      </c>
      <c r="G247" t="s">
        <v>566</v>
      </c>
    </row>
    <row r="248" spans="1:7" x14ac:dyDescent="0.3">
      <c r="A248" s="4">
        <v>248</v>
      </c>
      <c r="B248" s="5">
        <v>1144046314</v>
      </c>
      <c r="C248" s="4" t="s">
        <v>242</v>
      </c>
      <c r="D248" s="4" t="s">
        <v>196</v>
      </c>
      <c r="E248" s="4" t="s">
        <v>563</v>
      </c>
      <c r="F248" s="5" t="s">
        <v>571</v>
      </c>
      <c r="G248" t="s">
        <v>566</v>
      </c>
    </row>
    <row r="249" spans="1:7" x14ac:dyDescent="0.3">
      <c r="A249" s="4">
        <v>249</v>
      </c>
      <c r="B249" s="5">
        <v>1144046952</v>
      </c>
      <c r="C249" s="4" t="s">
        <v>243</v>
      </c>
      <c r="D249" s="4" t="s">
        <v>196</v>
      </c>
      <c r="E249" s="4" t="s">
        <v>563</v>
      </c>
      <c r="F249" s="5" t="s">
        <v>571</v>
      </c>
      <c r="G249" t="s">
        <v>566</v>
      </c>
    </row>
    <row r="250" spans="1:7" x14ac:dyDescent="0.3">
      <c r="A250" s="4">
        <v>250</v>
      </c>
      <c r="B250" s="5">
        <v>1144051270</v>
      </c>
      <c r="C250" s="4" t="s">
        <v>244</v>
      </c>
      <c r="D250" s="4" t="s">
        <v>196</v>
      </c>
      <c r="E250" s="4" t="s">
        <v>563</v>
      </c>
      <c r="F250" s="5" t="s">
        <v>575</v>
      </c>
      <c r="G250" t="s">
        <v>566</v>
      </c>
    </row>
    <row r="251" spans="1:7" x14ac:dyDescent="0.3">
      <c r="A251" s="4">
        <v>251</v>
      </c>
      <c r="B251" s="5">
        <v>1144059852</v>
      </c>
      <c r="C251" s="4" t="s">
        <v>245</v>
      </c>
      <c r="D251" s="4" t="s">
        <v>196</v>
      </c>
      <c r="E251" s="4" t="s">
        <v>563</v>
      </c>
      <c r="F251" s="5" t="s">
        <v>577</v>
      </c>
      <c r="G251" t="s">
        <v>567</v>
      </c>
    </row>
    <row r="252" spans="1:7" x14ac:dyDescent="0.3">
      <c r="A252" s="4">
        <v>252</v>
      </c>
      <c r="B252" s="5">
        <v>1144065963</v>
      </c>
      <c r="C252" s="4" t="s">
        <v>246</v>
      </c>
      <c r="D252" s="4" t="s">
        <v>196</v>
      </c>
      <c r="E252" s="4" t="s">
        <v>563</v>
      </c>
      <c r="F252" s="5" t="s">
        <v>574</v>
      </c>
      <c r="G252" t="s">
        <v>566</v>
      </c>
    </row>
    <row r="253" spans="1:7" x14ac:dyDescent="0.3">
      <c r="A253" s="4">
        <v>253</v>
      </c>
      <c r="B253" s="5">
        <v>1144071056</v>
      </c>
      <c r="C253" s="4" t="s">
        <v>247</v>
      </c>
      <c r="D253" s="4" t="s">
        <v>196</v>
      </c>
      <c r="E253" s="4" t="s">
        <v>563</v>
      </c>
      <c r="F253" s="5" t="s">
        <v>571</v>
      </c>
      <c r="G253" t="s">
        <v>567</v>
      </c>
    </row>
    <row r="254" spans="1:7" x14ac:dyDescent="0.3">
      <c r="A254" s="4">
        <v>254</v>
      </c>
      <c r="B254" s="5">
        <v>1144082561</v>
      </c>
      <c r="C254" s="4" t="s">
        <v>219</v>
      </c>
      <c r="D254" s="4" t="s">
        <v>196</v>
      </c>
      <c r="E254" s="4" t="s">
        <v>563</v>
      </c>
      <c r="F254" s="5" t="s">
        <v>571</v>
      </c>
      <c r="G254" t="s">
        <v>566</v>
      </c>
    </row>
    <row r="255" spans="1:7" x14ac:dyDescent="0.3">
      <c r="A255" s="4">
        <v>255</v>
      </c>
      <c r="B255" s="5">
        <v>1144094813</v>
      </c>
      <c r="C255" s="4" t="s">
        <v>248</v>
      </c>
      <c r="D255" s="4" t="s">
        <v>196</v>
      </c>
      <c r="E255" s="4" t="s">
        <v>563</v>
      </c>
      <c r="F255" s="5" t="s">
        <v>574</v>
      </c>
      <c r="G255" t="s">
        <v>566</v>
      </c>
    </row>
    <row r="256" spans="1:7" x14ac:dyDescent="0.3">
      <c r="A256" s="4">
        <v>256</v>
      </c>
      <c r="B256" s="5">
        <v>1144101026</v>
      </c>
      <c r="C256" s="4" t="s">
        <v>249</v>
      </c>
      <c r="D256" s="4" t="s">
        <v>196</v>
      </c>
      <c r="E256" s="4" t="s">
        <v>563</v>
      </c>
      <c r="F256" s="5" t="s">
        <v>571</v>
      </c>
      <c r="G256" t="s">
        <v>566</v>
      </c>
    </row>
    <row r="257" spans="1:7" x14ac:dyDescent="0.3">
      <c r="A257" s="4">
        <v>257</v>
      </c>
      <c r="B257" s="5">
        <v>1144160399</v>
      </c>
      <c r="C257" s="4" t="s">
        <v>250</v>
      </c>
      <c r="D257" s="4" t="s">
        <v>196</v>
      </c>
      <c r="E257" s="4" t="s">
        <v>563</v>
      </c>
      <c r="F257" s="5" t="s">
        <v>573</v>
      </c>
      <c r="G257" t="s">
        <v>566</v>
      </c>
    </row>
    <row r="258" spans="1:7" x14ac:dyDescent="0.3">
      <c r="A258" s="4">
        <v>258</v>
      </c>
      <c r="B258" s="5">
        <v>12207323</v>
      </c>
      <c r="C258" s="4" t="s">
        <v>251</v>
      </c>
      <c r="D258" s="4" t="s">
        <v>196</v>
      </c>
      <c r="E258" s="4" t="s">
        <v>563</v>
      </c>
      <c r="F258" s="5" t="s">
        <v>571</v>
      </c>
      <c r="G258" t="s">
        <v>567</v>
      </c>
    </row>
    <row r="259" spans="1:7" x14ac:dyDescent="0.3">
      <c r="A259" s="4">
        <v>259</v>
      </c>
      <c r="B259" s="5">
        <v>12798984</v>
      </c>
      <c r="C259" s="4" t="s">
        <v>252</v>
      </c>
      <c r="D259" s="4" t="s">
        <v>196</v>
      </c>
      <c r="E259" s="4" t="s">
        <v>563</v>
      </c>
      <c r="F259" s="5" t="s">
        <v>571</v>
      </c>
      <c r="G259" t="s">
        <v>566</v>
      </c>
    </row>
    <row r="260" spans="1:7" x14ac:dyDescent="0.3">
      <c r="A260" s="4">
        <v>260</v>
      </c>
      <c r="B260" s="5">
        <v>1381356</v>
      </c>
      <c r="C260" s="4" t="s">
        <v>253</v>
      </c>
      <c r="D260" s="4" t="s">
        <v>196</v>
      </c>
      <c r="E260" s="4" t="s">
        <v>563</v>
      </c>
      <c r="F260" s="5" t="s">
        <v>572</v>
      </c>
      <c r="G260" t="s">
        <v>566</v>
      </c>
    </row>
    <row r="261" spans="1:7" x14ac:dyDescent="0.3">
      <c r="A261" s="4">
        <v>261</v>
      </c>
      <c r="B261" s="5">
        <v>14446046</v>
      </c>
      <c r="C261" s="4" t="s">
        <v>254</v>
      </c>
      <c r="D261" s="4" t="s">
        <v>196</v>
      </c>
      <c r="E261" s="4" t="s">
        <v>563</v>
      </c>
      <c r="F261" s="5" t="s">
        <v>574</v>
      </c>
      <c r="G261" t="s">
        <v>566</v>
      </c>
    </row>
    <row r="262" spans="1:7" x14ac:dyDescent="0.3">
      <c r="A262" s="4">
        <v>262</v>
      </c>
      <c r="B262" s="5">
        <v>14468000</v>
      </c>
      <c r="C262" s="4" t="s">
        <v>255</v>
      </c>
      <c r="D262" s="4" t="s">
        <v>196</v>
      </c>
      <c r="E262" s="4" t="s">
        <v>563</v>
      </c>
      <c r="F262" s="5" t="s">
        <v>576</v>
      </c>
      <c r="G262" t="s">
        <v>566</v>
      </c>
    </row>
    <row r="263" spans="1:7" x14ac:dyDescent="0.3">
      <c r="A263" s="4">
        <v>263</v>
      </c>
      <c r="B263" s="5">
        <v>14469075</v>
      </c>
      <c r="C263" s="4" t="s">
        <v>256</v>
      </c>
      <c r="D263" s="4" t="s">
        <v>196</v>
      </c>
      <c r="E263" s="4" t="s">
        <v>563</v>
      </c>
      <c r="F263" s="5" t="s">
        <v>576</v>
      </c>
      <c r="G263" t="s">
        <v>566</v>
      </c>
    </row>
    <row r="264" spans="1:7" x14ac:dyDescent="0.3">
      <c r="A264" s="4">
        <v>264</v>
      </c>
      <c r="B264" s="5">
        <v>15609707</v>
      </c>
      <c r="C264" s="4" t="s">
        <v>257</v>
      </c>
      <c r="D264" s="4" t="s">
        <v>196</v>
      </c>
      <c r="E264" s="4" t="s">
        <v>563</v>
      </c>
      <c r="F264" s="5" t="s">
        <v>571</v>
      </c>
      <c r="G264" t="s">
        <v>566</v>
      </c>
    </row>
    <row r="265" spans="1:7" x14ac:dyDescent="0.3">
      <c r="A265" s="4">
        <v>265</v>
      </c>
      <c r="B265" s="5">
        <v>1586059</v>
      </c>
      <c r="C265" s="4" t="s">
        <v>258</v>
      </c>
      <c r="D265" s="4" t="s">
        <v>196</v>
      </c>
      <c r="E265" s="4" t="s">
        <v>563</v>
      </c>
      <c r="F265" s="5" t="s">
        <v>574</v>
      </c>
      <c r="G265" t="s">
        <v>566</v>
      </c>
    </row>
    <row r="266" spans="1:7" x14ac:dyDescent="0.3">
      <c r="A266" s="4">
        <v>266</v>
      </c>
      <c r="B266" s="5">
        <v>15901804</v>
      </c>
      <c r="C266" s="4" t="s">
        <v>259</v>
      </c>
      <c r="D266" s="4" t="s">
        <v>196</v>
      </c>
      <c r="E266" s="4" t="s">
        <v>563</v>
      </c>
      <c r="F266" s="5" t="s">
        <v>576</v>
      </c>
      <c r="G266" t="s">
        <v>566</v>
      </c>
    </row>
    <row r="267" spans="1:7" x14ac:dyDescent="0.3">
      <c r="A267" s="4">
        <v>267</v>
      </c>
      <c r="B267" s="5">
        <v>15906342</v>
      </c>
      <c r="C267" s="4" t="s">
        <v>260</v>
      </c>
      <c r="D267" s="4" t="s">
        <v>196</v>
      </c>
      <c r="E267" s="4" t="s">
        <v>563</v>
      </c>
      <c r="F267" s="5" t="s">
        <v>571</v>
      </c>
      <c r="G267" t="s">
        <v>566</v>
      </c>
    </row>
    <row r="268" spans="1:7" x14ac:dyDescent="0.3">
      <c r="A268" s="4">
        <v>268</v>
      </c>
      <c r="B268" s="5">
        <v>16591848</v>
      </c>
      <c r="C268" s="4" t="s">
        <v>261</v>
      </c>
      <c r="D268" s="4" t="s">
        <v>196</v>
      </c>
      <c r="E268" s="4" t="s">
        <v>563</v>
      </c>
      <c r="F268" s="5" t="s">
        <v>571</v>
      </c>
      <c r="G268" t="s">
        <v>566</v>
      </c>
    </row>
    <row r="269" spans="1:7" x14ac:dyDescent="0.3">
      <c r="A269" s="4">
        <v>269</v>
      </c>
      <c r="B269" s="5">
        <v>16778426</v>
      </c>
      <c r="C269" s="4" t="s">
        <v>262</v>
      </c>
      <c r="D269" s="4" t="s">
        <v>196</v>
      </c>
      <c r="E269" s="4" t="s">
        <v>563</v>
      </c>
      <c r="F269" s="5" t="s">
        <v>571</v>
      </c>
      <c r="G269" t="s">
        <v>566</v>
      </c>
    </row>
    <row r="270" spans="1:7" x14ac:dyDescent="0.3">
      <c r="A270" s="4">
        <v>270</v>
      </c>
      <c r="B270" s="5">
        <v>16781675</v>
      </c>
      <c r="C270" s="4" t="s">
        <v>263</v>
      </c>
      <c r="D270" s="4" t="s">
        <v>196</v>
      </c>
      <c r="E270" s="4" t="s">
        <v>563</v>
      </c>
      <c r="F270" s="5" t="s">
        <v>571</v>
      </c>
      <c r="G270" t="s">
        <v>566</v>
      </c>
    </row>
    <row r="271" spans="1:7" x14ac:dyDescent="0.3">
      <c r="A271" s="4">
        <v>271</v>
      </c>
      <c r="B271" s="5">
        <v>16824095</v>
      </c>
      <c r="C271" s="4" t="s">
        <v>264</v>
      </c>
      <c r="D271" s="4" t="s">
        <v>196</v>
      </c>
      <c r="E271" s="4" t="s">
        <v>563</v>
      </c>
      <c r="F271" s="5" t="s">
        <v>572</v>
      </c>
      <c r="G271" t="s">
        <v>566</v>
      </c>
    </row>
    <row r="272" spans="1:7" x14ac:dyDescent="0.3">
      <c r="A272" s="4">
        <v>272</v>
      </c>
      <c r="B272" s="5">
        <v>16827577</v>
      </c>
      <c r="C272" s="4" t="s">
        <v>265</v>
      </c>
      <c r="D272" s="4" t="s">
        <v>196</v>
      </c>
      <c r="E272" s="4" t="s">
        <v>563</v>
      </c>
      <c r="F272" s="5" t="s">
        <v>572</v>
      </c>
      <c r="G272" t="s">
        <v>566</v>
      </c>
    </row>
    <row r="273" spans="1:7" x14ac:dyDescent="0.3">
      <c r="A273" s="4">
        <v>273</v>
      </c>
      <c r="B273" s="5">
        <v>16881076</v>
      </c>
      <c r="C273" s="4" t="s">
        <v>266</v>
      </c>
      <c r="D273" s="4" t="s">
        <v>196</v>
      </c>
      <c r="E273" s="4" t="s">
        <v>563</v>
      </c>
      <c r="F273" s="5" t="s">
        <v>576</v>
      </c>
      <c r="G273" t="s">
        <v>566</v>
      </c>
    </row>
    <row r="274" spans="1:7" x14ac:dyDescent="0.3">
      <c r="A274" s="4">
        <v>274</v>
      </c>
      <c r="B274" s="5">
        <v>16936771</v>
      </c>
      <c r="C274" s="4" t="s">
        <v>267</v>
      </c>
      <c r="D274" s="4" t="s">
        <v>196</v>
      </c>
      <c r="E274" s="4" t="s">
        <v>563</v>
      </c>
      <c r="F274" s="5" t="s">
        <v>571</v>
      </c>
      <c r="G274" t="s">
        <v>566</v>
      </c>
    </row>
    <row r="275" spans="1:7" x14ac:dyDescent="0.3">
      <c r="A275" s="4">
        <v>275</v>
      </c>
      <c r="B275" s="5">
        <v>17632722</v>
      </c>
      <c r="C275" s="4" t="s">
        <v>268</v>
      </c>
      <c r="D275" s="4" t="s">
        <v>196</v>
      </c>
      <c r="E275" s="4" t="s">
        <v>563</v>
      </c>
      <c r="F275" s="5" t="s">
        <v>573</v>
      </c>
      <c r="G275" t="s">
        <v>566</v>
      </c>
    </row>
    <row r="276" spans="1:7" x14ac:dyDescent="0.3">
      <c r="A276" s="4">
        <v>276</v>
      </c>
      <c r="B276" s="5">
        <v>24529522</v>
      </c>
      <c r="C276" s="4" t="s">
        <v>269</v>
      </c>
      <c r="D276" s="4" t="s">
        <v>196</v>
      </c>
      <c r="E276" s="4" t="s">
        <v>563</v>
      </c>
      <c r="F276" s="5" t="s">
        <v>572</v>
      </c>
      <c r="G276" t="s">
        <v>566</v>
      </c>
    </row>
    <row r="277" spans="1:7" x14ac:dyDescent="0.3">
      <c r="A277" s="4">
        <v>277</v>
      </c>
      <c r="B277" s="5">
        <v>25036381</v>
      </c>
      <c r="C277" s="4" t="s">
        <v>270</v>
      </c>
      <c r="D277" s="4" t="s">
        <v>196</v>
      </c>
      <c r="E277" s="4" t="s">
        <v>563</v>
      </c>
      <c r="F277" s="5" t="s">
        <v>574</v>
      </c>
      <c r="G277" t="s">
        <v>567</v>
      </c>
    </row>
    <row r="278" spans="1:7" x14ac:dyDescent="0.3">
      <c r="A278" s="4">
        <v>278</v>
      </c>
      <c r="B278" s="5">
        <v>25097620</v>
      </c>
      <c r="C278" s="4" t="s">
        <v>271</v>
      </c>
      <c r="D278" s="4" t="s">
        <v>196</v>
      </c>
      <c r="E278" s="4" t="s">
        <v>563</v>
      </c>
      <c r="F278" s="5" t="s">
        <v>571</v>
      </c>
      <c r="G278" t="s">
        <v>566</v>
      </c>
    </row>
    <row r="279" spans="1:7" x14ac:dyDescent="0.3">
      <c r="A279" s="4">
        <v>279</v>
      </c>
      <c r="B279" s="5">
        <v>25340411</v>
      </c>
      <c r="C279" s="4" t="s">
        <v>120</v>
      </c>
      <c r="D279" s="4" t="s">
        <v>196</v>
      </c>
      <c r="E279" s="4" t="s">
        <v>563</v>
      </c>
      <c r="F279" s="5" t="s">
        <v>571</v>
      </c>
      <c r="G279" t="s">
        <v>566</v>
      </c>
    </row>
    <row r="280" spans="1:7" x14ac:dyDescent="0.3">
      <c r="A280" s="4">
        <v>280</v>
      </c>
      <c r="B280" s="5">
        <v>25340770</v>
      </c>
      <c r="C280" s="4" t="s">
        <v>272</v>
      </c>
      <c r="D280" s="4" t="s">
        <v>196</v>
      </c>
      <c r="E280" s="4" t="s">
        <v>563</v>
      </c>
      <c r="F280" s="5" t="s">
        <v>571</v>
      </c>
      <c r="G280" t="s">
        <v>567</v>
      </c>
    </row>
    <row r="281" spans="1:7" x14ac:dyDescent="0.3">
      <c r="A281" s="4">
        <v>281</v>
      </c>
      <c r="B281" s="5">
        <v>25351368</v>
      </c>
      <c r="C281" s="4" t="s">
        <v>273</v>
      </c>
      <c r="D281" s="4" t="s">
        <v>196</v>
      </c>
      <c r="E281" s="4" t="s">
        <v>563</v>
      </c>
      <c r="F281" s="5" t="s">
        <v>573</v>
      </c>
      <c r="G281" t="s">
        <v>566</v>
      </c>
    </row>
    <row r="282" spans="1:7" x14ac:dyDescent="0.3">
      <c r="A282" s="4">
        <v>282</v>
      </c>
      <c r="B282" s="5">
        <v>25492271</v>
      </c>
      <c r="C282" s="4" t="s">
        <v>274</v>
      </c>
      <c r="D282" s="4" t="s">
        <v>196</v>
      </c>
      <c r="E282" s="4" t="s">
        <v>563</v>
      </c>
      <c r="F282" s="5" t="s">
        <v>571</v>
      </c>
      <c r="G282" t="s">
        <v>567</v>
      </c>
    </row>
    <row r="283" spans="1:7" x14ac:dyDescent="0.3">
      <c r="A283" s="4">
        <v>283</v>
      </c>
      <c r="B283" s="5">
        <v>25619493</v>
      </c>
      <c r="C283" s="4" t="s">
        <v>275</v>
      </c>
      <c r="D283" s="4" t="s">
        <v>196</v>
      </c>
      <c r="E283" s="4" t="s">
        <v>563</v>
      </c>
      <c r="F283" s="5" t="s">
        <v>571</v>
      </c>
      <c r="G283" t="s">
        <v>566</v>
      </c>
    </row>
    <row r="284" spans="1:7" x14ac:dyDescent="0.3">
      <c r="A284" s="4">
        <v>284</v>
      </c>
      <c r="B284" s="5">
        <v>25683891</v>
      </c>
      <c r="C284" s="4" t="s">
        <v>276</v>
      </c>
      <c r="D284" s="4" t="s">
        <v>196</v>
      </c>
      <c r="E284" s="4" t="s">
        <v>563</v>
      </c>
      <c r="F284" s="5" t="s">
        <v>571</v>
      </c>
      <c r="G284" t="s">
        <v>567</v>
      </c>
    </row>
    <row r="285" spans="1:7" x14ac:dyDescent="0.3">
      <c r="A285" s="4">
        <v>285</v>
      </c>
      <c r="B285" s="5">
        <v>25741695</v>
      </c>
      <c r="C285" s="4" t="s">
        <v>277</v>
      </c>
      <c r="D285" s="4" t="s">
        <v>196</v>
      </c>
      <c r="E285" s="4" t="s">
        <v>563</v>
      </c>
      <c r="F285" s="5" t="s">
        <v>577</v>
      </c>
      <c r="G285" t="s">
        <v>567</v>
      </c>
    </row>
    <row r="286" spans="1:7" x14ac:dyDescent="0.3">
      <c r="A286" s="4">
        <v>286</v>
      </c>
      <c r="B286" s="5">
        <v>26256330</v>
      </c>
      <c r="C286" s="4" t="s">
        <v>278</v>
      </c>
      <c r="D286" s="4" t="s">
        <v>196</v>
      </c>
      <c r="E286" s="4" t="s">
        <v>563</v>
      </c>
      <c r="F286" s="5" t="s">
        <v>576</v>
      </c>
      <c r="G286" t="s">
        <v>567</v>
      </c>
    </row>
    <row r="287" spans="1:7" x14ac:dyDescent="0.3">
      <c r="A287" s="4">
        <v>287</v>
      </c>
      <c r="B287" s="5">
        <v>2699661</v>
      </c>
      <c r="C287" s="4" t="s">
        <v>279</v>
      </c>
      <c r="D287" s="4" t="s">
        <v>196</v>
      </c>
      <c r="E287" s="4" t="s">
        <v>563</v>
      </c>
      <c r="F287" s="5" t="s">
        <v>573</v>
      </c>
      <c r="G287" t="s">
        <v>566</v>
      </c>
    </row>
    <row r="288" spans="1:7" x14ac:dyDescent="0.3">
      <c r="A288" s="4">
        <v>288</v>
      </c>
      <c r="B288" s="5">
        <v>28588708</v>
      </c>
      <c r="C288" s="4" t="s">
        <v>280</v>
      </c>
      <c r="D288" s="4" t="s">
        <v>196</v>
      </c>
      <c r="E288" s="4" t="s">
        <v>563</v>
      </c>
      <c r="F288" s="5" t="s">
        <v>571</v>
      </c>
      <c r="G288" t="s">
        <v>566</v>
      </c>
    </row>
    <row r="289" spans="1:7" x14ac:dyDescent="0.3">
      <c r="A289" s="4">
        <v>289</v>
      </c>
      <c r="B289" s="5">
        <v>29119222</v>
      </c>
      <c r="C289" s="4" t="s">
        <v>281</v>
      </c>
      <c r="D289" s="4" t="s">
        <v>196</v>
      </c>
      <c r="E289" s="4" t="s">
        <v>563</v>
      </c>
      <c r="F289" s="5" t="s">
        <v>571</v>
      </c>
      <c r="G289" t="s">
        <v>566</v>
      </c>
    </row>
    <row r="290" spans="1:7" x14ac:dyDescent="0.3">
      <c r="A290" s="4">
        <v>290</v>
      </c>
      <c r="B290" s="5">
        <v>29179765</v>
      </c>
      <c r="C290" s="4" t="s">
        <v>282</v>
      </c>
      <c r="D290" s="4" t="s">
        <v>196</v>
      </c>
      <c r="E290" s="4" t="s">
        <v>563</v>
      </c>
      <c r="F290" s="5" t="s">
        <v>574</v>
      </c>
      <c r="G290" t="s">
        <v>566</v>
      </c>
    </row>
    <row r="291" spans="1:7" x14ac:dyDescent="0.3">
      <c r="A291" s="4">
        <v>291</v>
      </c>
      <c r="B291" s="5">
        <v>29346502</v>
      </c>
      <c r="C291" s="4" t="s">
        <v>283</v>
      </c>
      <c r="D291" s="4" t="s">
        <v>196</v>
      </c>
      <c r="E291" s="4" t="s">
        <v>563</v>
      </c>
      <c r="F291" s="5" t="s">
        <v>577</v>
      </c>
      <c r="G291" t="s">
        <v>566</v>
      </c>
    </row>
    <row r="292" spans="1:7" x14ac:dyDescent="0.3">
      <c r="A292" s="4">
        <v>292</v>
      </c>
      <c r="B292" s="5">
        <v>29563232</v>
      </c>
      <c r="C292" s="4" t="s">
        <v>284</v>
      </c>
      <c r="D292" s="4" t="s">
        <v>196</v>
      </c>
      <c r="E292" s="4" t="s">
        <v>563</v>
      </c>
      <c r="F292" s="5" t="s">
        <v>571</v>
      </c>
      <c r="G292" t="s">
        <v>566</v>
      </c>
    </row>
    <row r="293" spans="1:7" x14ac:dyDescent="0.3">
      <c r="A293" s="4">
        <v>293</v>
      </c>
      <c r="B293" s="5">
        <v>29563360</v>
      </c>
      <c r="C293" s="4" t="s">
        <v>285</v>
      </c>
      <c r="D293" s="4" t="s">
        <v>196</v>
      </c>
      <c r="E293" s="4" t="s">
        <v>563</v>
      </c>
      <c r="F293" s="5" t="s">
        <v>574</v>
      </c>
      <c r="G293" t="s">
        <v>566</v>
      </c>
    </row>
    <row r="294" spans="1:7" x14ac:dyDescent="0.3">
      <c r="A294" s="4">
        <v>294</v>
      </c>
      <c r="B294" s="5">
        <v>29686407</v>
      </c>
      <c r="C294" s="4" t="s">
        <v>286</v>
      </c>
      <c r="D294" s="4" t="s">
        <v>196</v>
      </c>
      <c r="E294" s="4" t="s">
        <v>563</v>
      </c>
      <c r="F294" s="5" t="s">
        <v>577</v>
      </c>
      <c r="G294" t="s">
        <v>567</v>
      </c>
    </row>
    <row r="295" spans="1:7" x14ac:dyDescent="0.3">
      <c r="A295" s="4">
        <v>295</v>
      </c>
      <c r="B295" s="5">
        <v>31214997</v>
      </c>
      <c r="C295" s="4" t="s">
        <v>287</v>
      </c>
      <c r="D295" s="4" t="s">
        <v>196</v>
      </c>
      <c r="E295" s="4" t="s">
        <v>563</v>
      </c>
      <c r="F295" s="5" t="s">
        <v>574</v>
      </c>
      <c r="G295" t="s">
        <v>566</v>
      </c>
    </row>
    <row r="296" spans="1:7" x14ac:dyDescent="0.3">
      <c r="A296" s="4">
        <v>296</v>
      </c>
      <c r="B296" s="5">
        <v>31282345</v>
      </c>
      <c r="C296" s="4" t="s">
        <v>288</v>
      </c>
      <c r="D296" s="4" t="s">
        <v>196</v>
      </c>
      <c r="E296" s="4" t="s">
        <v>563</v>
      </c>
      <c r="F296" s="5" t="s">
        <v>574</v>
      </c>
      <c r="G296" t="s">
        <v>567</v>
      </c>
    </row>
    <row r="297" spans="1:7" x14ac:dyDescent="0.3">
      <c r="A297" s="4">
        <v>297</v>
      </c>
      <c r="B297" s="5">
        <v>31288307</v>
      </c>
      <c r="C297" s="4" t="s">
        <v>289</v>
      </c>
      <c r="D297" s="4" t="s">
        <v>196</v>
      </c>
      <c r="E297" s="4" t="s">
        <v>563</v>
      </c>
      <c r="F297" s="5" t="s">
        <v>571</v>
      </c>
      <c r="G297" t="s">
        <v>567</v>
      </c>
    </row>
    <row r="298" spans="1:7" x14ac:dyDescent="0.3">
      <c r="A298" s="4">
        <v>298</v>
      </c>
      <c r="B298" s="5">
        <v>31289498</v>
      </c>
      <c r="C298" s="4" t="s">
        <v>290</v>
      </c>
      <c r="D298" s="4" t="s">
        <v>196</v>
      </c>
      <c r="E298" s="4" t="s">
        <v>563</v>
      </c>
      <c r="F298" s="5" t="s">
        <v>576</v>
      </c>
      <c r="G298" t="s">
        <v>566</v>
      </c>
    </row>
    <row r="299" spans="1:7" x14ac:dyDescent="0.3">
      <c r="A299" s="4">
        <v>299</v>
      </c>
      <c r="B299" s="5">
        <v>31298525</v>
      </c>
      <c r="C299" s="4" t="s">
        <v>291</v>
      </c>
      <c r="D299" s="4" t="s">
        <v>196</v>
      </c>
      <c r="E299" s="4" t="s">
        <v>563</v>
      </c>
      <c r="F299" s="5" t="s">
        <v>574</v>
      </c>
      <c r="G299" t="s">
        <v>566</v>
      </c>
    </row>
    <row r="300" spans="1:7" x14ac:dyDescent="0.3">
      <c r="A300" s="4">
        <v>300</v>
      </c>
      <c r="B300" s="5">
        <v>31304801</v>
      </c>
      <c r="C300" s="4" t="s">
        <v>292</v>
      </c>
      <c r="D300" s="4" t="s">
        <v>196</v>
      </c>
      <c r="E300" s="4" t="s">
        <v>563</v>
      </c>
      <c r="F300" s="5" t="s">
        <v>571</v>
      </c>
      <c r="G300" t="s">
        <v>566</v>
      </c>
    </row>
    <row r="301" spans="1:7" x14ac:dyDescent="0.3">
      <c r="A301" s="4">
        <v>301</v>
      </c>
      <c r="B301" s="5">
        <v>31445562</v>
      </c>
      <c r="C301" s="4" t="s">
        <v>293</v>
      </c>
      <c r="D301" s="4" t="s">
        <v>196</v>
      </c>
      <c r="E301" s="4" t="s">
        <v>563</v>
      </c>
      <c r="F301" s="5" t="s">
        <v>571</v>
      </c>
      <c r="G301" t="s">
        <v>566</v>
      </c>
    </row>
    <row r="302" spans="1:7" x14ac:dyDescent="0.3">
      <c r="A302" s="4">
        <v>302</v>
      </c>
      <c r="B302" s="5">
        <v>31445743</v>
      </c>
      <c r="C302" s="4" t="s">
        <v>294</v>
      </c>
      <c r="D302" s="4" t="s">
        <v>196</v>
      </c>
      <c r="E302" s="4" t="s">
        <v>563</v>
      </c>
      <c r="F302" s="5" t="s">
        <v>576</v>
      </c>
      <c r="G302" t="s">
        <v>567</v>
      </c>
    </row>
    <row r="303" spans="1:7" x14ac:dyDescent="0.3">
      <c r="A303" s="4">
        <v>303</v>
      </c>
      <c r="B303" s="5">
        <v>31446617</v>
      </c>
      <c r="C303" s="4" t="s">
        <v>295</v>
      </c>
      <c r="D303" s="4" t="s">
        <v>196</v>
      </c>
      <c r="E303" s="4" t="s">
        <v>563</v>
      </c>
      <c r="F303" s="5" t="s">
        <v>572</v>
      </c>
      <c r="G303" t="s">
        <v>566</v>
      </c>
    </row>
    <row r="304" spans="1:7" x14ac:dyDescent="0.3">
      <c r="A304" s="4">
        <v>304</v>
      </c>
      <c r="B304" s="5">
        <v>31449382</v>
      </c>
      <c r="C304" s="4" t="s">
        <v>296</v>
      </c>
      <c r="D304" s="4" t="s">
        <v>196</v>
      </c>
      <c r="E304" s="4" t="s">
        <v>563</v>
      </c>
      <c r="F304" s="5" t="s">
        <v>576</v>
      </c>
      <c r="G304" t="s">
        <v>566</v>
      </c>
    </row>
    <row r="305" spans="1:7" x14ac:dyDescent="0.3">
      <c r="A305" s="4">
        <v>305</v>
      </c>
      <c r="B305" s="5">
        <v>31524379</v>
      </c>
      <c r="C305" s="4" t="s">
        <v>297</v>
      </c>
      <c r="D305" s="4" t="s">
        <v>196</v>
      </c>
      <c r="E305" s="4" t="s">
        <v>563</v>
      </c>
      <c r="F305" s="5" t="s">
        <v>576</v>
      </c>
      <c r="G305" t="s">
        <v>566</v>
      </c>
    </row>
    <row r="306" spans="1:7" x14ac:dyDescent="0.3">
      <c r="A306" s="4">
        <v>306</v>
      </c>
      <c r="B306" s="5">
        <v>31525011</v>
      </c>
      <c r="C306" s="4" t="s">
        <v>298</v>
      </c>
      <c r="D306" s="4" t="s">
        <v>196</v>
      </c>
      <c r="E306" s="4" t="s">
        <v>563</v>
      </c>
      <c r="F306" s="5" t="s">
        <v>571</v>
      </c>
      <c r="G306" t="s">
        <v>566</v>
      </c>
    </row>
    <row r="307" spans="1:7" x14ac:dyDescent="0.3">
      <c r="A307" s="4">
        <v>307</v>
      </c>
      <c r="B307" s="5">
        <v>31525413</v>
      </c>
      <c r="C307" s="4" t="s">
        <v>299</v>
      </c>
      <c r="D307" s="4" t="s">
        <v>196</v>
      </c>
      <c r="E307" s="4" t="s">
        <v>563</v>
      </c>
      <c r="F307" s="5" t="s">
        <v>571</v>
      </c>
      <c r="G307" t="s">
        <v>567</v>
      </c>
    </row>
    <row r="308" spans="1:7" x14ac:dyDescent="0.3">
      <c r="A308" s="4">
        <v>308</v>
      </c>
      <c r="B308" s="5">
        <v>31534174</v>
      </c>
      <c r="C308" s="4" t="s">
        <v>300</v>
      </c>
      <c r="D308" s="4" t="s">
        <v>196</v>
      </c>
      <c r="E308" s="4" t="s">
        <v>563</v>
      </c>
      <c r="F308" s="5" t="s">
        <v>571</v>
      </c>
      <c r="G308" t="s">
        <v>566</v>
      </c>
    </row>
    <row r="309" spans="1:7" x14ac:dyDescent="0.3">
      <c r="A309" s="4">
        <v>309</v>
      </c>
      <c r="B309" s="5">
        <v>31535355</v>
      </c>
      <c r="C309" s="4" t="s">
        <v>301</v>
      </c>
      <c r="D309" s="4" t="s">
        <v>196</v>
      </c>
      <c r="E309" s="4" t="s">
        <v>563</v>
      </c>
      <c r="F309" s="5" t="s">
        <v>571</v>
      </c>
      <c r="G309" t="s">
        <v>567</v>
      </c>
    </row>
    <row r="310" spans="1:7" x14ac:dyDescent="0.3">
      <c r="A310" s="4">
        <v>310</v>
      </c>
      <c r="B310" s="5">
        <v>31537995</v>
      </c>
      <c r="C310" s="4" t="s">
        <v>302</v>
      </c>
      <c r="D310" s="4" t="s">
        <v>196</v>
      </c>
      <c r="E310" s="4" t="s">
        <v>563</v>
      </c>
      <c r="F310" s="5" t="s">
        <v>574</v>
      </c>
      <c r="G310" t="s">
        <v>566</v>
      </c>
    </row>
    <row r="311" spans="1:7" x14ac:dyDescent="0.3">
      <c r="A311" s="4">
        <v>311</v>
      </c>
      <c r="B311" s="5">
        <v>31577413</v>
      </c>
      <c r="C311" s="4" t="s">
        <v>303</v>
      </c>
      <c r="D311" s="4" t="s">
        <v>196</v>
      </c>
      <c r="E311" s="4" t="s">
        <v>563</v>
      </c>
      <c r="F311" s="5" t="e">
        <v>#N/A</v>
      </c>
      <c r="G311" t="s">
        <v>567</v>
      </c>
    </row>
    <row r="312" spans="1:7" x14ac:dyDescent="0.3">
      <c r="A312" s="4">
        <v>312</v>
      </c>
      <c r="B312" s="5">
        <v>31578203</v>
      </c>
      <c r="C312" s="4" t="s">
        <v>304</v>
      </c>
      <c r="D312" s="4" t="s">
        <v>196</v>
      </c>
      <c r="E312" s="4" t="s">
        <v>563</v>
      </c>
      <c r="F312" s="5" t="s">
        <v>571</v>
      </c>
      <c r="G312" t="s">
        <v>566</v>
      </c>
    </row>
    <row r="313" spans="1:7" x14ac:dyDescent="0.3">
      <c r="A313" s="4">
        <v>313</v>
      </c>
      <c r="B313" s="5">
        <v>31830427</v>
      </c>
      <c r="C313" s="4" t="s">
        <v>305</v>
      </c>
      <c r="D313" s="4" t="s">
        <v>196</v>
      </c>
      <c r="E313" s="4" t="s">
        <v>563</v>
      </c>
      <c r="F313" s="5" t="s">
        <v>571</v>
      </c>
      <c r="G313" t="s">
        <v>566</v>
      </c>
    </row>
    <row r="314" spans="1:7" x14ac:dyDescent="0.3">
      <c r="A314" s="4">
        <v>314</v>
      </c>
      <c r="B314" s="5">
        <v>31844574</v>
      </c>
      <c r="C314" s="4" t="s">
        <v>306</v>
      </c>
      <c r="D314" s="4" t="s">
        <v>196</v>
      </c>
      <c r="E314" s="4" t="s">
        <v>563</v>
      </c>
      <c r="F314" s="5" t="s">
        <v>573</v>
      </c>
      <c r="G314" t="s">
        <v>566</v>
      </c>
    </row>
    <row r="315" spans="1:7" x14ac:dyDescent="0.3">
      <c r="A315" s="4">
        <v>315</v>
      </c>
      <c r="B315" s="5">
        <v>31871549</v>
      </c>
      <c r="C315" s="4" t="s">
        <v>307</v>
      </c>
      <c r="D315" s="4" t="s">
        <v>196</v>
      </c>
      <c r="E315" s="4" t="s">
        <v>563</v>
      </c>
      <c r="F315" s="5" t="s">
        <v>571</v>
      </c>
      <c r="G315" t="s">
        <v>566</v>
      </c>
    </row>
    <row r="316" spans="1:7" x14ac:dyDescent="0.3">
      <c r="A316" s="4">
        <v>316</v>
      </c>
      <c r="B316" s="5">
        <v>31887694</v>
      </c>
      <c r="C316" s="4" t="s">
        <v>308</v>
      </c>
      <c r="D316" s="4" t="s">
        <v>196</v>
      </c>
      <c r="E316" s="4" t="s">
        <v>563</v>
      </c>
      <c r="F316" s="5" t="s">
        <v>571</v>
      </c>
      <c r="G316" t="s">
        <v>566</v>
      </c>
    </row>
    <row r="317" spans="1:7" x14ac:dyDescent="0.3">
      <c r="A317" s="4">
        <v>317</v>
      </c>
      <c r="B317" s="5">
        <v>31902498</v>
      </c>
      <c r="C317" s="4" t="s">
        <v>309</v>
      </c>
      <c r="D317" s="4" t="s">
        <v>196</v>
      </c>
      <c r="E317" s="4" t="s">
        <v>563</v>
      </c>
      <c r="F317" s="5" t="s">
        <v>571</v>
      </c>
      <c r="G317" t="s">
        <v>567</v>
      </c>
    </row>
    <row r="318" spans="1:7" x14ac:dyDescent="0.3">
      <c r="A318" s="4">
        <v>318</v>
      </c>
      <c r="B318" s="5">
        <v>31909149</v>
      </c>
      <c r="C318" s="4" t="s">
        <v>310</v>
      </c>
      <c r="D318" s="4" t="s">
        <v>196</v>
      </c>
      <c r="E318" s="4" t="s">
        <v>563</v>
      </c>
      <c r="F318" s="5" t="s">
        <v>571</v>
      </c>
      <c r="G318" t="s">
        <v>567</v>
      </c>
    </row>
    <row r="319" spans="1:7" x14ac:dyDescent="0.3">
      <c r="A319" s="4">
        <v>319</v>
      </c>
      <c r="B319" s="5">
        <v>31923598</v>
      </c>
      <c r="C319" s="4" t="s">
        <v>311</v>
      </c>
      <c r="D319" s="4" t="s">
        <v>196</v>
      </c>
      <c r="E319" s="4" t="s">
        <v>563</v>
      </c>
      <c r="F319" s="5" t="s">
        <v>573</v>
      </c>
      <c r="G319" t="s">
        <v>566</v>
      </c>
    </row>
    <row r="320" spans="1:7" x14ac:dyDescent="0.3">
      <c r="A320" s="4">
        <v>320</v>
      </c>
      <c r="B320" s="5">
        <v>31929380</v>
      </c>
      <c r="C320" s="4" t="s">
        <v>312</v>
      </c>
      <c r="D320" s="4" t="s">
        <v>196</v>
      </c>
      <c r="E320" s="4" t="s">
        <v>563</v>
      </c>
      <c r="F320" s="5" t="s">
        <v>573</v>
      </c>
      <c r="G320" t="s">
        <v>567</v>
      </c>
    </row>
    <row r="321" spans="1:7" x14ac:dyDescent="0.3">
      <c r="A321" s="4">
        <v>321</v>
      </c>
      <c r="B321" s="5">
        <v>31959597</v>
      </c>
      <c r="C321" s="4" t="s">
        <v>313</v>
      </c>
      <c r="D321" s="4" t="s">
        <v>196</v>
      </c>
      <c r="E321" s="4" t="s">
        <v>563</v>
      </c>
      <c r="F321" s="5" t="s">
        <v>571</v>
      </c>
      <c r="G321" t="s">
        <v>566</v>
      </c>
    </row>
    <row r="322" spans="1:7" x14ac:dyDescent="0.3">
      <c r="A322" s="4">
        <v>322</v>
      </c>
      <c r="B322" s="5">
        <v>31972147</v>
      </c>
      <c r="C322" s="4" t="s">
        <v>314</v>
      </c>
      <c r="D322" s="4" t="s">
        <v>196</v>
      </c>
      <c r="E322" s="4" t="s">
        <v>563</v>
      </c>
      <c r="F322" s="5" t="s">
        <v>571</v>
      </c>
      <c r="G322" t="s">
        <v>566</v>
      </c>
    </row>
    <row r="323" spans="1:7" x14ac:dyDescent="0.3">
      <c r="A323" s="4">
        <v>323</v>
      </c>
      <c r="B323" s="5">
        <v>31981946</v>
      </c>
      <c r="C323" s="4" t="s">
        <v>315</v>
      </c>
      <c r="D323" s="4" t="s">
        <v>196</v>
      </c>
      <c r="E323" s="4" t="s">
        <v>563</v>
      </c>
      <c r="F323" s="5" t="s">
        <v>572</v>
      </c>
      <c r="G323" t="s">
        <v>566</v>
      </c>
    </row>
    <row r="324" spans="1:7" x14ac:dyDescent="0.3">
      <c r="A324" s="4">
        <v>324</v>
      </c>
      <c r="B324" s="5">
        <v>31983781</v>
      </c>
      <c r="C324" s="4" t="s">
        <v>316</v>
      </c>
      <c r="D324" s="4" t="s">
        <v>196</v>
      </c>
      <c r="E324" s="4" t="s">
        <v>563</v>
      </c>
      <c r="F324" s="5" t="s">
        <v>574</v>
      </c>
      <c r="G324" t="s">
        <v>566</v>
      </c>
    </row>
    <row r="325" spans="1:7" x14ac:dyDescent="0.3">
      <c r="A325" s="4">
        <v>325</v>
      </c>
      <c r="B325" s="5">
        <v>31992224</v>
      </c>
      <c r="C325" s="4" t="s">
        <v>317</v>
      </c>
      <c r="D325" s="4" t="s">
        <v>196</v>
      </c>
      <c r="E325" s="4" t="s">
        <v>563</v>
      </c>
      <c r="F325" s="5" t="s">
        <v>576</v>
      </c>
      <c r="G325" t="s">
        <v>566</v>
      </c>
    </row>
    <row r="326" spans="1:7" x14ac:dyDescent="0.3">
      <c r="A326" s="4">
        <v>326</v>
      </c>
      <c r="B326" s="5">
        <v>31992747</v>
      </c>
      <c r="C326" s="4" t="s">
        <v>318</v>
      </c>
      <c r="D326" s="4" t="s">
        <v>196</v>
      </c>
      <c r="E326" s="4" t="s">
        <v>563</v>
      </c>
      <c r="F326" s="5" t="s">
        <v>572</v>
      </c>
      <c r="G326" t="s">
        <v>567</v>
      </c>
    </row>
    <row r="327" spans="1:7" x14ac:dyDescent="0.3">
      <c r="A327" s="4">
        <v>327</v>
      </c>
      <c r="B327" s="5">
        <v>32285101</v>
      </c>
      <c r="C327" s="4" t="s">
        <v>319</v>
      </c>
      <c r="D327" s="4" t="s">
        <v>196</v>
      </c>
      <c r="E327" s="4" t="s">
        <v>563</v>
      </c>
      <c r="F327" s="5" t="s">
        <v>571</v>
      </c>
      <c r="G327" t="s">
        <v>566</v>
      </c>
    </row>
    <row r="328" spans="1:7" x14ac:dyDescent="0.3">
      <c r="A328" s="4">
        <v>328</v>
      </c>
      <c r="B328" s="5">
        <v>32285912</v>
      </c>
      <c r="C328" s="4" t="s">
        <v>320</v>
      </c>
      <c r="D328" s="4" t="s">
        <v>196</v>
      </c>
      <c r="E328" s="4" t="s">
        <v>563</v>
      </c>
      <c r="F328" s="5" t="s">
        <v>575</v>
      </c>
      <c r="G328" t="s">
        <v>567</v>
      </c>
    </row>
    <row r="329" spans="1:7" x14ac:dyDescent="0.3">
      <c r="A329" s="4">
        <v>329</v>
      </c>
      <c r="B329" s="5">
        <v>34400184</v>
      </c>
      <c r="C329" s="4" t="s">
        <v>321</v>
      </c>
      <c r="D329" s="4" t="s">
        <v>196</v>
      </c>
      <c r="E329" s="4" t="s">
        <v>563</v>
      </c>
      <c r="F329" s="5" t="s">
        <v>576</v>
      </c>
      <c r="G329" t="s">
        <v>566</v>
      </c>
    </row>
    <row r="330" spans="1:7" x14ac:dyDescent="0.3">
      <c r="A330" s="4">
        <v>330</v>
      </c>
      <c r="B330" s="5">
        <v>34503573</v>
      </c>
      <c r="C330" s="4" t="s">
        <v>322</v>
      </c>
      <c r="D330" s="4" t="s">
        <v>196</v>
      </c>
      <c r="E330" s="4" t="s">
        <v>563</v>
      </c>
      <c r="F330" s="5" t="s">
        <v>571</v>
      </c>
      <c r="G330" t="s">
        <v>566</v>
      </c>
    </row>
    <row r="331" spans="1:7" x14ac:dyDescent="0.3">
      <c r="A331" s="4">
        <v>331</v>
      </c>
      <c r="B331" s="5">
        <v>34515416</v>
      </c>
      <c r="C331" s="4" t="s">
        <v>323</v>
      </c>
      <c r="D331" s="4" t="s">
        <v>196</v>
      </c>
      <c r="E331" s="4" t="s">
        <v>563</v>
      </c>
      <c r="F331" s="5" t="s">
        <v>571</v>
      </c>
      <c r="G331" t="s">
        <v>566</v>
      </c>
    </row>
    <row r="332" spans="1:7" x14ac:dyDescent="0.3">
      <c r="A332" s="4">
        <v>332</v>
      </c>
      <c r="B332" s="5">
        <v>34572562</v>
      </c>
      <c r="C332" s="4" t="s">
        <v>324</v>
      </c>
      <c r="D332" s="4" t="s">
        <v>196</v>
      </c>
      <c r="E332" s="4" t="s">
        <v>563</v>
      </c>
      <c r="F332" s="5" t="s">
        <v>572</v>
      </c>
      <c r="G332" t="s">
        <v>566</v>
      </c>
    </row>
    <row r="333" spans="1:7" x14ac:dyDescent="0.3">
      <c r="A333" s="4">
        <v>333</v>
      </c>
      <c r="B333" s="5">
        <v>34573715</v>
      </c>
      <c r="C333" s="4" t="s">
        <v>325</v>
      </c>
      <c r="D333" s="4" t="s">
        <v>196</v>
      </c>
      <c r="E333" s="4" t="s">
        <v>563</v>
      </c>
      <c r="F333" s="5" t="s">
        <v>574</v>
      </c>
      <c r="G333" t="s">
        <v>566</v>
      </c>
    </row>
    <row r="334" spans="1:7" x14ac:dyDescent="0.3">
      <c r="A334" s="4">
        <v>334</v>
      </c>
      <c r="B334" s="5">
        <v>34690139</v>
      </c>
      <c r="C334" s="4" t="s">
        <v>326</v>
      </c>
      <c r="D334" s="4" t="s">
        <v>196</v>
      </c>
      <c r="E334" s="4" t="s">
        <v>563</v>
      </c>
      <c r="F334" s="5" t="s">
        <v>571</v>
      </c>
      <c r="G334" t="s">
        <v>566</v>
      </c>
    </row>
    <row r="335" spans="1:7" x14ac:dyDescent="0.3">
      <c r="A335" s="4">
        <v>335</v>
      </c>
      <c r="B335" s="5">
        <v>35546366</v>
      </c>
      <c r="C335" s="4" t="s">
        <v>327</v>
      </c>
      <c r="D335" s="4" t="s">
        <v>196</v>
      </c>
      <c r="E335" s="4" t="s">
        <v>563</v>
      </c>
      <c r="F335" s="5" t="s">
        <v>576</v>
      </c>
      <c r="G335" t="s">
        <v>566</v>
      </c>
    </row>
    <row r="336" spans="1:7" x14ac:dyDescent="0.3">
      <c r="A336" s="4">
        <v>336</v>
      </c>
      <c r="B336" s="5">
        <v>35990267</v>
      </c>
      <c r="C336" s="4" t="s">
        <v>328</v>
      </c>
      <c r="D336" s="4" t="s">
        <v>196</v>
      </c>
      <c r="E336" s="4" t="s">
        <v>563</v>
      </c>
      <c r="F336" s="5" t="s">
        <v>571</v>
      </c>
      <c r="G336" t="s">
        <v>566</v>
      </c>
    </row>
    <row r="337" spans="1:7" x14ac:dyDescent="0.3">
      <c r="A337" s="4">
        <v>337</v>
      </c>
      <c r="B337" s="5">
        <v>37075013</v>
      </c>
      <c r="C337" s="4" t="s">
        <v>329</v>
      </c>
      <c r="D337" s="4" t="s">
        <v>196</v>
      </c>
      <c r="E337" s="4" t="s">
        <v>563</v>
      </c>
      <c r="F337" s="5" t="s">
        <v>571</v>
      </c>
      <c r="G337" t="s">
        <v>566</v>
      </c>
    </row>
    <row r="338" spans="1:7" x14ac:dyDescent="0.3">
      <c r="A338" s="4">
        <v>338</v>
      </c>
      <c r="B338" s="5">
        <v>37253427</v>
      </c>
      <c r="C338" s="4" t="s">
        <v>330</v>
      </c>
      <c r="D338" s="4" t="s">
        <v>196</v>
      </c>
      <c r="E338" s="4" t="s">
        <v>563</v>
      </c>
      <c r="F338" s="5" t="s">
        <v>575</v>
      </c>
      <c r="G338" t="s">
        <v>566</v>
      </c>
    </row>
    <row r="339" spans="1:7" x14ac:dyDescent="0.3">
      <c r="A339" s="4">
        <v>339</v>
      </c>
      <c r="B339" s="5">
        <v>38601290</v>
      </c>
      <c r="C339" s="4" t="s">
        <v>331</v>
      </c>
      <c r="D339" s="4" t="s">
        <v>196</v>
      </c>
      <c r="E339" s="4" t="s">
        <v>563</v>
      </c>
      <c r="F339" s="5" t="s">
        <v>571</v>
      </c>
      <c r="G339" t="s">
        <v>566</v>
      </c>
    </row>
    <row r="340" spans="1:7" x14ac:dyDescent="0.3">
      <c r="A340" s="4">
        <v>340</v>
      </c>
      <c r="B340" s="5">
        <v>38642608</v>
      </c>
      <c r="C340" s="4" t="s">
        <v>332</v>
      </c>
      <c r="D340" s="4" t="s">
        <v>196</v>
      </c>
      <c r="E340" s="4" t="s">
        <v>563</v>
      </c>
      <c r="F340" s="5" t="s">
        <v>576</v>
      </c>
      <c r="G340" t="s">
        <v>566</v>
      </c>
    </row>
    <row r="341" spans="1:7" x14ac:dyDescent="0.3">
      <c r="A341" s="4">
        <v>341</v>
      </c>
      <c r="B341" s="5">
        <v>38665695</v>
      </c>
      <c r="C341" s="4" t="s">
        <v>333</v>
      </c>
      <c r="D341" s="4" t="s">
        <v>196</v>
      </c>
      <c r="E341" s="4" t="s">
        <v>563</v>
      </c>
      <c r="F341" s="5" t="s">
        <v>577</v>
      </c>
      <c r="G341" t="s">
        <v>566</v>
      </c>
    </row>
    <row r="342" spans="1:7" x14ac:dyDescent="0.3">
      <c r="A342" s="4">
        <v>342</v>
      </c>
      <c r="B342" s="5">
        <v>38668909</v>
      </c>
      <c r="C342" s="4" t="s">
        <v>334</v>
      </c>
      <c r="D342" s="4" t="s">
        <v>196</v>
      </c>
      <c r="E342" s="4" t="s">
        <v>563</v>
      </c>
      <c r="F342" s="5" t="s">
        <v>571</v>
      </c>
      <c r="G342" t="s">
        <v>566</v>
      </c>
    </row>
    <row r="343" spans="1:7" x14ac:dyDescent="0.3">
      <c r="A343" s="4">
        <v>343</v>
      </c>
      <c r="B343" s="5">
        <v>38671487</v>
      </c>
      <c r="C343" s="4" t="s">
        <v>335</v>
      </c>
      <c r="D343" s="4" t="s">
        <v>196</v>
      </c>
      <c r="E343" s="4" t="s">
        <v>563</v>
      </c>
      <c r="F343" s="5" t="s">
        <v>571</v>
      </c>
      <c r="G343" t="s">
        <v>566</v>
      </c>
    </row>
    <row r="344" spans="1:7" x14ac:dyDescent="0.3">
      <c r="A344" s="4">
        <v>344</v>
      </c>
      <c r="B344" s="5">
        <v>38973256</v>
      </c>
      <c r="C344" s="4" t="s">
        <v>336</v>
      </c>
      <c r="D344" s="4" t="s">
        <v>196</v>
      </c>
      <c r="E344" s="4" t="s">
        <v>563</v>
      </c>
      <c r="F344" s="5" t="s">
        <v>574</v>
      </c>
      <c r="G344" t="s">
        <v>566</v>
      </c>
    </row>
    <row r="345" spans="1:7" x14ac:dyDescent="0.3">
      <c r="A345" s="4">
        <v>345</v>
      </c>
      <c r="B345" s="5">
        <v>38992016</v>
      </c>
      <c r="C345" s="4" t="s">
        <v>337</v>
      </c>
      <c r="D345" s="4" t="s">
        <v>196</v>
      </c>
      <c r="E345" s="4" t="s">
        <v>563</v>
      </c>
      <c r="F345" s="5" t="s">
        <v>577</v>
      </c>
      <c r="G345" t="s">
        <v>567</v>
      </c>
    </row>
    <row r="346" spans="1:7" x14ac:dyDescent="0.3">
      <c r="A346" s="4">
        <v>346</v>
      </c>
      <c r="B346" s="5">
        <v>42061051</v>
      </c>
      <c r="C346" s="4" t="s">
        <v>338</v>
      </c>
      <c r="D346" s="4" t="s">
        <v>196</v>
      </c>
      <c r="E346" s="4" t="s">
        <v>563</v>
      </c>
      <c r="F346" s="5" t="s">
        <v>571</v>
      </c>
      <c r="G346" t="s">
        <v>567</v>
      </c>
    </row>
    <row r="347" spans="1:7" x14ac:dyDescent="0.3">
      <c r="A347" s="4">
        <v>347</v>
      </c>
      <c r="B347" s="5">
        <v>4335238</v>
      </c>
      <c r="C347" s="4" t="s">
        <v>339</v>
      </c>
      <c r="D347" s="4" t="s">
        <v>196</v>
      </c>
      <c r="E347" s="4" t="s">
        <v>563</v>
      </c>
      <c r="F347" s="5" t="s">
        <v>572</v>
      </c>
      <c r="G347" t="s">
        <v>567</v>
      </c>
    </row>
    <row r="348" spans="1:7" x14ac:dyDescent="0.3">
      <c r="A348" s="4">
        <v>348</v>
      </c>
      <c r="B348" s="5">
        <v>4698774</v>
      </c>
      <c r="C348" s="4" t="s">
        <v>340</v>
      </c>
      <c r="D348" s="4" t="s">
        <v>196</v>
      </c>
      <c r="E348" s="4" t="s">
        <v>563</v>
      </c>
      <c r="F348" s="5" t="s">
        <v>574</v>
      </c>
      <c r="G348" t="s">
        <v>567</v>
      </c>
    </row>
    <row r="349" spans="1:7" x14ac:dyDescent="0.3">
      <c r="A349" s="4">
        <v>349</v>
      </c>
      <c r="B349" s="5">
        <v>4721794</v>
      </c>
      <c r="C349" s="4" t="s">
        <v>341</v>
      </c>
      <c r="D349" s="4" t="s">
        <v>196</v>
      </c>
      <c r="E349" s="4" t="s">
        <v>563</v>
      </c>
      <c r="F349" s="5" t="s">
        <v>576</v>
      </c>
      <c r="G349" t="s">
        <v>566</v>
      </c>
    </row>
    <row r="350" spans="1:7" x14ac:dyDescent="0.3">
      <c r="A350" s="4">
        <v>350</v>
      </c>
      <c r="B350" s="5">
        <v>48612619</v>
      </c>
      <c r="C350" s="4" t="s">
        <v>342</v>
      </c>
      <c r="D350" s="4" t="s">
        <v>196</v>
      </c>
      <c r="E350" s="4" t="s">
        <v>563</v>
      </c>
      <c r="F350" s="5" t="s">
        <v>571</v>
      </c>
      <c r="G350" t="s">
        <v>566</v>
      </c>
    </row>
    <row r="351" spans="1:7" x14ac:dyDescent="0.3">
      <c r="A351" s="4">
        <v>351</v>
      </c>
      <c r="B351" s="5">
        <v>48614162</v>
      </c>
      <c r="C351" s="4" t="s">
        <v>343</v>
      </c>
      <c r="D351" s="4" t="s">
        <v>196</v>
      </c>
      <c r="E351" s="4" t="s">
        <v>563</v>
      </c>
      <c r="F351" s="5" t="s">
        <v>571</v>
      </c>
      <c r="G351" t="s">
        <v>566</v>
      </c>
    </row>
    <row r="352" spans="1:7" x14ac:dyDescent="0.3">
      <c r="A352" s="4">
        <v>352</v>
      </c>
      <c r="B352" s="5">
        <v>5217736</v>
      </c>
      <c r="C352" s="4" t="s">
        <v>344</v>
      </c>
      <c r="D352" s="4" t="s">
        <v>196</v>
      </c>
      <c r="E352" s="4" t="s">
        <v>563</v>
      </c>
      <c r="F352" s="5" t="s">
        <v>571</v>
      </c>
      <c r="G352" t="s">
        <v>567</v>
      </c>
    </row>
    <row r="353" spans="1:7" x14ac:dyDescent="0.3">
      <c r="A353" s="4">
        <v>353</v>
      </c>
      <c r="B353" s="5">
        <v>6307220</v>
      </c>
      <c r="C353" s="4" t="s">
        <v>345</v>
      </c>
      <c r="D353" s="4" t="s">
        <v>196</v>
      </c>
      <c r="E353" s="4" t="s">
        <v>563</v>
      </c>
      <c r="F353" s="5" t="s">
        <v>573</v>
      </c>
      <c r="G353" t="s">
        <v>567</v>
      </c>
    </row>
    <row r="354" spans="1:7" x14ac:dyDescent="0.3">
      <c r="A354" s="4">
        <v>354</v>
      </c>
      <c r="B354" s="5">
        <v>65815427</v>
      </c>
      <c r="C354" s="4" t="s">
        <v>346</v>
      </c>
      <c r="D354" s="4" t="s">
        <v>196</v>
      </c>
      <c r="E354" s="4" t="s">
        <v>563</v>
      </c>
      <c r="F354" s="5" t="s">
        <v>571</v>
      </c>
      <c r="G354" t="s">
        <v>566</v>
      </c>
    </row>
    <row r="355" spans="1:7" x14ac:dyDescent="0.3">
      <c r="A355" s="4">
        <v>355</v>
      </c>
      <c r="B355" s="5">
        <v>66819007</v>
      </c>
      <c r="C355" s="4" t="s">
        <v>337</v>
      </c>
      <c r="D355" s="4" t="s">
        <v>196</v>
      </c>
      <c r="E355" s="4" t="s">
        <v>563</v>
      </c>
      <c r="F355" s="5" t="s">
        <v>572</v>
      </c>
      <c r="G355" t="s">
        <v>566</v>
      </c>
    </row>
    <row r="356" spans="1:7" x14ac:dyDescent="0.3">
      <c r="A356" s="4">
        <v>356</v>
      </c>
      <c r="B356" s="5">
        <v>66826171</v>
      </c>
      <c r="C356" s="4" t="s">
        <v>347</v>
      </c>
      <c r="D356" s="4" t="s">
        <v>196</v>
      </c>
      <c r="E356" s="4" t="s">
        <v>563</v>
      </c>
      <c r="F356" s="5" t="s">
        <v>571</v>
      </c>
      <c r="G356" t="s">
        <v>566</v>
      </c>
    </row>
    <row r="357" spans="1:7" x14ac:dyDescent="0.3">
      <c r="A357" s="4">
        <v>357</v>
      </c>
      <c r="B357" s="5">
        <v>66850119</v>
      </c>
      <c r="C357" s="4" t="s">
        <v>348</v>
      </c>
      <c r="D357" s="4" t="s">
        <v>196</v>
      </c>
      <c r="E357" s="4" t="s">
        <v>563</v>
      </c>
      <c r="F357" s="5" t="s">
        <v>571</v>
      </c>
      <c r="G357" t="s">
        <v>566</v>
      </c>
    </row>
    <row r="358" spans="1:7" x14ac:dyDescent="0.3">
      <c r="A358" s="4">
        <v>358</v>
      </c>
      <c r="B358" s="5">
        <v>66865510</v>
      </c>
      <c r="C358" s="4" t="s">
        <v>349</v>
      </c>
      <c r="D358" s="4" t="s">
        <v>196</v>
      </c>
      <c r="E358" s="4" t="s">
        <v>563</v>
      </c>
      <c r="F358" s="5" t="s">
        <v>574</v>
      </c>
      <c r="G358" t="s">
        <v>566</v>
      </c>
    </row>
    <row r="359" spans="1:7" x14ac:dyDescent="0.3">
      <c r="A359" s="4">
        <v>359</v>
      </c>
      <c r="B359" s="5">
        <v>66865714</v>
      </c>
      <c r="C359" s="4" t="s">
        <v>350</v>
      </c>
      <c r="D359" s="4" t="s">
        <v>196</v>
      </c>
      <c r="E359" s="4" t="s">
        <v>563</v>
      </c>
      <c r="F359" s="5" t="s">
        <v>576</v>
      </c>
      <c r="G359" t="s">
        <v>566</v>
      </c>
    </row>
    <row r="360" spans="1:7" x14ac:dyDescent="0.3">
      <c r="A360" s="4">
        <v>360</v>
      </c>
      <c r="B360" s="5">
        <v>66900125</v>
      </c>
      <c r="C360" s="4" t="s">
        <v>351</v>
      </c>
      <c r="D360" s="4" t="s">
        <v>196</v>
      </c>
      <c r="E360" s="4" t="s">
        <v>563</v>
      </c>
      <c r="F360" s="5" t="s">
        <v>571</v>
      </c>
      <c r="G360" t="s">
        <v>566</v>
      </c>
    </row>
    <row r="361" spans="1:7" x14ac:dyDescent="0.3">
      <c r="A361" s="4">
        <v>361</v>
      </c>
      <c r="B361" s="5">
        <v>66908388</v>
      </c>
      <c r="C361" s="4" t="s">
        <v>352</v>
      </c>
      <c r="D361" s="4" t="s">
        <v>196</v>
      </c>
      <c r="E361" s="4" t="s">
        <v>563</v>
      </c>
      <c r="F361" s="5" t="s">
        <v>574</v>
      </c>
      <c r="G361" t="s">
        <v>567</v>
      </c>
    </row>
    <row r="362" spans="1:7" x14ac:dyDescent="0.3">
      <c r="A362" s="4">
        <v>362</v>
      </c>
      <c r="B362" s="5">
        <v>66908980</v>
      </c>
      <c r="C362" s="4" t="s">
        <v>293</v>
      </c>
      <c r="D362" s="4" t="s">
        <v>196</v>
      </c>
      <c r="E362" s="4" t="s">
        <v>563</v>
      </c>
      <c r="F362" s="5" t="s">
        <v>571</v>
      </c>
      <c r="G362" t="s">
        <v>567</v>
      </c>
    </row>
    <row r="363" spans="1:7" x14ac:dyDescent="0.3">
      <c r="A363" s="4">
        <v>363</v>
      </c>
      <c r="B363" s="5">
        <v>66914158</v>
      </c>
      <c r="C363" s="4" t="s">
        <v>353</v>
      </c>
      <c r="D363" s="4" t="s">
        <v>196</v>
      </c>
      <c r="E363" s="4" t="s">
        <v>563</v>
      </c>
      <c r="F363" s="5" t="s">
        <v>577</v>
      </c>
      <c r="G363" t="s">
        <v>566</v>
      </c>
    </row>
    <row r="364" spans="1:7" x14ac:dyDescent="0.3">
      <c r="A364" s="4">
        <v>364</v>
      </c>
      <c r="B364" s="5">
        <v>66914781</v>
      </c>
      <c r="C364" s="4" t="s">
        <v>354</v>
      </c>
      <c r="D364" s="4" t="s">
        <v>196</v>
      </c>
      <c r="E364" s="4" t="s">
        <v>563</v>
      </c>
      <c r="F364" s="5" t="s">
        <v>576</v>
      </c>
      <c r="G364" t="s">
        <v>566</v>
      </c>
    </row>
    <row r="365" spans="1:7" x14ac:dyDescent="0.3">
      <c r="A365" s="4">
        <v>365</v>
      </c>
      <c r="B365" s="5">
        <v>66922979</v>
      </c>
      <c r="C365" s="4" t="s">
        <v>355</v>
      </c>
      <c r="D365" s="4" t="s">
        <v>196</v>
      </c>
      <c r="E365" s="4" t="s">
        <v>563</v>
      </c>
      <c r="F365" s="5" t="s">
        <v>571</v>
      </c>
      <c r="G365" t="s">
        <v>566</v>
      </c>
    </row>
    <row r="366" spans="1:7" x14ac:dyDescent="0.3">
      <c r="A366" s="4">
        <v>366</v>
      </c>
      <c r="B366" s="5">
        <v>66983263</v>
      </c>
      <c r="C366" s="4" t="s">
        <v>356</v>
      </c>
      <c r="D366" s="4" t="s">
        <v>196</v>
      </c>
      <c r="E366" s="4" t="s">
        <v>563</v>
      </c>
      <c r="F366" s="5" t="s">
        <v>571</v>
      </c>
      <c r="G366" t="s">
        <v>567</v>
      </c>
    </row>
    <row r="367" spans="1:7" x14ac:dyDescent="0.3">
      <c r="A367" s="4">
        <v>367</v>
      </c>
      <c r="B367" s="5">
        <v>66993543</v>
      </c>
      <c r="C367" s="4" t="s">
        <v>357</v>
      </c>
      <c r="D367" s="4" t="s">
        <v>196</v>
      </c>
      <c r="E367" s="4" t="s">
        <v>563</v>
      </c>
      <c r="F367" s="5" t="s">
        <v>571</v>
      </c>
      <c r="G367" t="s">
        <v>566</v>
      </c>
    </row>
    <row r="368" spans="1:7" x14ac:dyDescent="0.3">
      <c r="A368" s="4">
        <v>368</v>
      </c>
      <c r="B368" s="5">
        <v>66996132</v>
      </c>
      <c r="C368" s="4" t="s">
        <v>358</v>
      </c>
      <c r="D368" s="4" t="s">
        <v>196</v>
      </c>
      <c r="E368" s="4" t="s">
        <v>563</v>
      </c>
      <c r="F368" s="5" t="s">
        <v>571</v>
      </c>
      <c r="G368" t="s">
        <v>567</v>
      </c>
    </row>
    <row r="369" spans="1:7" x14ac:dyDescent="0.3">
      <c r="A369" s="4">
        <v>369</v>
      </c>
      <c r="B369" s="5">
        <v>67014284</v>
      </c>
      <c r="C369" s="4" t="s">
        <v>104</v>
      </c>
      <c r="D369" s="4" t="s">
        <v>196</v>
      </c>
      <c r="E369" s="4" t="s">
        <v>563</v>
      </c>
      <c r="F369" s="5" t="s">
        <v>576</v>
      </c>
      <c r="G369" t="s">
        <v>566</v>
      </c>
    </row>
    <row r="370" spans="1:7" x14ac:dyDescent="0.3">
      <c r="A370" s="4">
        <v>370</v>
      </c>
      <c r="B370" s="5">
        <v>67021030</v>
      </c>
      <c r="C370" s="4" t="s">
        <v>359</v>
      </c>
      <c r="D370" s="4" t="s">
        <v>196</v>
      </c>
      <c r="E370" s="4" t="s">
        <v>563</v>
      </c>
      <c r="F370" s="5" t="s">
        <v>575</v>
      </c>
      <c r="G370" t="s">
        <v>566</v>
      </c>
    </row>
    <row r="371" spans="1:7" x14ac:dyDescent="0.3">
      <c r="A371" s="4">
        <v>371</v>
      </c>
      <c r="B371" s="5">
        <v>67033667</v>
      </c>
      <c r="C371" s="4" t="s">
        <v>360</v>
      </c>
      <c r="D371" s="4" t="s">
        <v>196</v>
      </c>
      <c r="E371" s="4" t="s">
        <v>563</v>
      </c>
      <c r="F371" s="5" t="s">
        <v>571</v>
      </c>
      <c r="G371" t="s">
        <v>567</v>
      </c>
    </row>
    <row r="372" spans="1:7" x14ac:dyDescent="0.3">
      <c r="A372" s="4">
        <v>372</v>
      </c>
      <c r="B372" s="5">
        <v>76047511</v>
      </c>
      <c r="C372" s="4" t="s">
        <v>361</v>
      </c>
      <c r="D372" s="4" t="s">
        <v>196</v>
      </c>
      <c r="E372" s="4" t="s">
        <v>563</v>
      </c>
      <c r="F372" s="5" t="s">
        <v>571</v>
      </c>
      <c r="G372" t="s">
        <v>566</v>
      </c>
    </row>
    <row r="373" spans="1:7" x14ac:dyDescent="0.3">
      <c r="A373" s="4">
        <v>374</v>
      </c>
      <c r="B373" s="5">
        <v>76324402</v>
      </c>
      <c r="C373" s="4" t="s">
        <v>362</v>
      </c>
      <c r="D373" s="4" t="s">
        <v>196</v>
      </c>
      <c r="E373" s="4" t="s">
        <v>563</v>
      </c>
      <c r="F373" s="5" t="s">
        <v>574</v>
      </c>
      <c r="G373" t="s">
        <v>566</v>
      </c>
    </row>
    <row r="374" spans="1:7" x14ac:dyDescent="0.3">
      <c r="A374" s="4">
        <v>375</v>
      </c>
      <c r="B374" s="5">
        <v>76336138</v>
      </c>
      <c r="C374" s="4" t="s">
        <v>363</v>
      </c>
      <c r="D374" s="4" t="s">
        <v>196</v>
      </c>
      <c r="E374" s="4" t="s">
        <v>563</v>
      </c>
      <c r="F374" s="5" t="s">
        <v>571</v>
      </c>
      <c r="G374" t="s">
        <v>566</v>
      </c>
    </row>
    <row r="375" spans="1:7" x14ac:dyDescent="0.3">
      <c r="A375" s="4">
        <v>376</v>
      </c>
      <c r="B375" s="5">
        <v>87430106</v>
      </c>
      <c r="C375" s="4" t="s">
        <v>364</v>
      </c>
      <c r="D375" s="4" t="s">
        <v>196</v>
      </c>
      <c r="E375" s="4" t="s">
        <v>563</v>
      </c>
      <c r="F375" s="5" t="s">
        <v>572</v>
      </c>
      <c r="G375" t="s">
        <v>566</v>
      </c>
    </row>
    <row r="376" spans="1:7" x14ac:dyDescent="0.3">
      <c r="A376" s="4">
        <v>377</v>
      </c>
      <c r="B376" s="5">
        <v>94225090</v>
      </c>
      <c r="C376" s="4" t="s">
        <v>365</v>
      </c>
      <c r="D376" s="4" t="s">
        <v>196</v>
      </c>
      <c r="E376" s="4" t="s">
        <v>563</v>
      </c>
      <c r="F376" s="5" t="s">
        <v>576</v>
      </c>
      <c r="G376" t="s">
        <v>566</v>
      </c>
    </row>
    <row r="377" spans="1:7" x14ac:dyDescent="0.3">
      <c r="A377" s="4">
        <v>378</v>
      </c>
      <c r="B377" s="5">
        <v>94459917</v>
      </c>
      <c r="C377" s="4" t="s">
        <v>366</v>
      </c>
      <c r="D377" s="4" t="s">
        <v>196</v>
      </c>
      <c r="E377" s="4" t="s">
        <v>563</v>
      </c>
      <c r="F377" s="5" t="s">
        <v>573</v>
      </c>
      <c r="G377" t="s">
        <v>566</v>
      </c>
    </row>
    <row r="378" spans="1:7" x14ac:dyDescent="0.3">
      <c r="A378" s="4">
        <v>379</v>
      </c>
      <c r="B378" s="5">
        <v>94494784</v>
      </c>
      <c r="C378" s="4" t="s">
        <v>367</v>
      </c>
      <c r="D378" s="4" t="s">
        <v>196</v>
      </c>
      <c r="E378" s="4" t="s">
        <v>563</v>
      </c>
      <c r="F378" s="5" t="s">
        <v>576</v>
      </c>
      <c r="G378" t="s">
        <v>566</v>
      </c>
    </row>
    <row r="379" spans="1:7" x14ac:dyDescent="0.3">
      <c r="A379" s="4">
        <v>380</v>
      </c>
      <c r="B379" s="5">
        <v>94513261</v>
      </c>
      <c r="C379" s="4" t="s">
        <v>368</v>
      </c>
      <c r="D379" s="4" t="s">
        <v>196</v>
      </c>
      <c r="E379" s="4" t="s">
        <v>563</v>
      </c>
      <c r="F379" s="5" t="s">
        <v>571</v>
      </c>
      <c r="G379" t="s">
        <v>567</v>
      </c>
    </row>
    <row r="380" spans="1:7" x14ac:dyDescent="0.3">
      <c r="A380" s="4">
        <v>381</v>
      </c>
      <c r="B380" s="5">
        <v>94540935</v>
      </c>
      <c r="C380" s="4" t="s">
        <v>369</v>
      </c>
      <c r="D380" s="4" t="s">
        <v>196</v>
      </c>
      <c r="E380" s="4" t="s">
        <v>563</v>
      </c>
      <c r="F380" s="5" t="s">
        <v>571</v>
      </c>
      <c r="G380" t="s">
        <v>566</v>
      </c>
    </row>
    <row r="381" spans="1:7" x14ac:dyDescent="0.3">
      <c r="A381" s="4">
        <v>382</v>
      </c>
      <c r="B381" s="5">
        <v>94550202</v>
      </c>
      <c r="C381" s="4" t="s">
        <v>370</v>
      </c>
      <c r="D381" s="4" t="s">
        <v>196</v>
      </c>
      <c r="E381" s="4" t="s">
        <v>563</v>
      </c>
      <c r="F381" s="5" t="s">
        <v>571</v>
      </c>
      <c r="G381" t="s">
        <v>566</v>
      </c>
    </row>
    <row r="382" spans="1:7" x14ac:dyDescent="0.3">
      <c r="A382" s="4">
        <v>383</v>
      </c>
      <c r="B382" s="5">
        <v>1000536137</v>
      </c>
      <c r="C382" s="4" t="s">
        <v>371</v>
      </c>
      <c r="D382" s="4" t="s">
        <v>372</v>
      </c>
      <c r="E382" s="4" t="s">
        <v>563</v>
      </c>
      <c r="F382" s="5" t="s">
        <v>571</v>
      </c>
      <c r="G382" t="s">
        <v>565</v>
      </c>
    </row>
    <row r="383" spans="1:7" x14ac:dyDescent="0.3">
      <c r="A383" s="4">
        <v>384</v>
      </c>
      <c r="B383" s="5">
        <v>1000538215</v>
      </c>
      <c r="C383" s="4" t="s">
        <v>373</v>
      </c>
      <c r="D383" s="4" t="s">
        <v>372</v>
      </c>
      <c r="E383" s="4" t="s">
        <v>563</v>
      </c>
      <c r="F383" s="5" t="s">
        <v>571</v>
      </c>
      <c r="G383" t="s">
        <v>565</v>
      </c>
    </row>
    <row r="384" spans="1:7" x14ac:dyDescent="0.3">
      <c r="A384" s="4">
        <v>385</v>
      </c>
      <c r="B384" s="5">
        <v>1000638664</v>
      </c>
      <c r="C384" s="4" t="s">
        <v>374</v>
      </c>
      <c r="D384" s="4" t="s">
        <v>372</v>
      </c>
      <c r="E384" s="4" t="s">
        <v>563</v>
      </c>
      <c r="F384" s="5" t="s">
        <v>571</v>
      </c>
      <c r="G384" t="s">
        <v>565</v>
      </c>
    </row>
    <row r="385" spans="1:7" x14ac:dyDescent="0.3">
      <c r="A385" s="4">
        <v>386</v>
      </c>
      <c r="B385" s="5">
        <v>1000643548</v>
      </c>
      <c r="C385" s="4" t="s">
        <v>375</v>
      </c>
      <c r="D385" s="4" t="s">
        <v>372</v>
      </c>
      <c r="E385" s="4" t="s">
        <v>563</v>
      </c>
      <c r="F385" s="5" t="s">
        <v>571</v>
      </c>
      <c r="G385" t="s">
        <v>565</v>
      </c>
    </row>
    <row r="386" spans="1:7" x14ac:dyDescent="0.3">
      <c r="A386" s="4">
        <v>387</v>
      </c>
      <c r="B386" s="5">
        <v>1000871711</v>
      </c>
      <c r="C386" s="4" t="s">
        <v>376</v>
      </c>
      <c r="D386" s="4" t="s">
        <v>372</v>
      </c>
      <c r="E386" s="4" t="s">
        <v>563</v>
      </c>
      <c r="F386" s="5" t="s">
        <v>576</v>
      </c>
      <c r="G386" t="s">
        <v>565</v>
      </c>
    </row>
    <row r="387" spans="1:7" x14ac:dyDescent="0.3">
      <c r="A387" s="4">
        <v>388</v>
      </c>
      <c r="B387" s="5">
        <v>1001359510</v>
      </c>
      <c r="C387" s="4" t="s">
        <v>377</v>
      </c>
      <c r="D387" s="4" t="s">
        <v>372</v>
      </c>
      <c r="E387" s="4" t="s">
        <v>563</v>
      </c>
      <c r="F387" s="5" t="s">
        <v>571</v>
      </c>
      <c r="G387" t="s">
        <v>565</v>
      </c>
    </row>
    <row r="388" spans="1:7" x14ac:dyDescent="0.3">
      <c r="A388" s="4">
        <v>389</v>
      </c>
      <c r="B388" s="5">
        <v>1010032037</v>
      </c>
      <c r="C388" s="4" t="s">
        <v>378</v>
      </c>
      <c r="D388" s="4" t="s">
        <v>372</v>
      </c>
      <c r="E388" s="4" t="s">
        <v>563</v>
      </c>
      <c r="F388" s="5" t="s">
        <v>571</v>
      </c>
      <c r="G388" t="s">
        <v>565</v>
      </c>
    </row>
    <row r="389" spans="1:7" x14ac:dyDescent="0.3">
      <c r="A389" s="4">
        <v>390</v>
      </c>
      <c r="B389" s="5">
        <v>1015186975</v>
      </c>
      <c r="C389" s="4" t="s">
        <v>379</v>
      </c>
      <c r="D389" s="4" t="s">
        <v>372</v>
      </c>
      <c r="E389" s="4" t="s">
        <v>563</v>
      </c>
      <c r="F389" s="5" t="s">
        <v>571</v>
      </c>
      <c r="G389" t="s">
        <v>565</v>
      </c>
    </row>
    <row r="390" spans="1:7" x14ac:dyDescent="0.3">
      <c r="A390" s="4">
        <v>391</v>
      </c>
      <c r="B390" s="5">
        <v>1017135726</v>
      </c>
      <c r="C390" s="4" t="s">
        <v>380</v>
      </c>
      <c r="D390" s="4" t="s">
        <v>372</v>
      </c>
      <c r="E390" s="4" t="s">
        <v>563</v>
      </c>
      <c r="F390" s="5" t="s">
        <v>571</v>
      </c>
      <c r="G390" t="s">
        <v>565</v>
      </c>
    </row>
    <row r="391" spans="1:7" x14ac:dyDescent="0.3">
      <c r="A391" s="4">
        <v>392</v>
      </c>
      <c r="B391" s="5">
        <v>1017152403</v>
      </c>
      <c r="C391" s="4" t="s">
        <v>381</v>
      </c>
      <c r="D391" s="4" t="s">
        <v>372</v>
      </c>
      <c r="E391" s="4" t="s">
        <v>563</v>
      </c>
      <c r="F391" s="5" t="s">
        <v>571</v>
      </c>
      <c r="G391" t="s">
        <v>565</v>
      </c>
    </row>
    <row r="392" spans="1:7" x14ac:dyDescent="0.3">
      <c r="A392" s="4">
        <v>393</v>
      </c>
      <c r="B392" s="5">
        <v>1017179652</v>
      </c>
      <c r="C392" s="4" t="s">
        <v>382</v>
      </c>
      <c r="D392" s="4" t="s">
        <v>372</v>
      </c>
      <c r="E392" s="4" t="s">
        <v>563</v>
      </c>
      <c r="F392" s="5" t="s">
        <v>571</v>
      </c>
      <c r="G392" t="s">
        <v>565</v>
      </c>
    </row>
    <row r="393" spans="1:7" x14ac:dyDescent="0.3">
      <c r="A393" s="4">
        <v>394</v>
      </c>
      <c r="B393" s="5">
        <v>1017179966</v>
      </c>
      <c r="C393" s="4" t="s">
        <v>383</v>
      </c>
      <c r="D393" s="4" t="s">
        <v>372</v>
      </c>
      <c r="E393" s="4" t="s">
        <v>563</v>
      </c>
      <c r="F393" s="5" t="s">
        <v>576</v>
      </c>
      <c r="G393" t="s">
        <v>565</v>
      </c>
    </row>
    <row r="394" spans="1:7" x14ac:dyDescent="0.3">
      <c r="A394" s="4">
        <v>395</v>
      </c>
      <c r="B394" s="5">
        <v>1017190314</v>
      </c>
      <c r="C394" s="4" t="s">
        <v>384</v>
      </c>
      <c r="D394" s="4" t="s">
        <v>372</v>
      </c>
      <c r="E394" s="4" t="s">
        <v>563</v>
      </c>
      <c r="F394" s="5" t="s">
        <v>571</v>
      </c>
      <c r="G394" t="s">
        <v>565</v>
      </c>
    </row>
    <row r="395" spans="1:7" x14ac:dyDescent="0.3">
      <c r="A395" s="4">
        <v>396</v>
      </c>
      <c r="B395" s="5">
        <v>1017192472</v>
      </c>
      <c r="C395" s="4" t="s">
        <v>385</v>
      </c>
      <c r="D395" s="4" t="s">
        <v>372</v>
      </c>
      <c r="E395" s="4" t="s">
        <v>563</v>
      </c>
      <c r="F395" s="5" t="s">
        <v>571</v>
      </c>
      <c r="G395" t="s">
        <v>565</v>
      </c>
    </row>
    <row r="396" spans="1:7" x14ac:dyDescent="0.3">
      <c r="A396" s="4">
        <v>397</v>
      </c>
      <c r="B396" s="5">
        <v>1017206637</v>
      </c>
      <c r="C396" s="4" t="s">
        <v>386</v>
      </c>
      <c r="D396" s="4" t="s">
        <v>372</v>
      </c>
      <c r="E396" s="4" t="s">
        <v>563</v>
      </c>
      <c r="F396" s="5" t="s">
        <v>571</v>
      </c>
      <c r="G396" t="s">
        <v>565</v>
      </c>
    </row>
    <row r="397" spans="1:7" x14ac:dyDescent="0.3">
      <c r="A397" s="4">
        <v>398</v>
      </c>
      <c r="B397" s="5">
        <v>1017212544</v>
      </c>
      <c r="C397" s="4" t="s">
        <v>387</v>
      </c>
      <c r="D397" s="4" t="s">
        <v>372</v>
      </c>
      <c r="E397" s="4" t="s">
        <v>563</v>
      </c>
      <c r="F397" s="5" t="s">
        <v>571</v>
      </c>
      <c r="G397" t="s">
        <v>565</v>
      </c>
    </row>
    <row r="398" spans="1:7" x14ac:dyDescent="0.3">
      <c r="A398" s="4">
        <v>399</v>
      </c>
      <c r="B398" s="5">
        <v>1017216558</v>
      </c>
      <c r="C398" s="4" t="s">
        <v>388</v>
      </c>
      <c r="D398" s="4" t="s">
        <v>372</v>
      </c>
      <c r="E398" s="4" t="s">
        <v>563</v>
      </c>
      <c r="F398" s="5" t="s">
        <v>571</v>
      </c>
      <c r="G398" t="s">
        <v>565</v>
      </c>
    </row>
    <row r="399" spans="1:7" x14ac:dyDescent="0.3">
      <c r="A399" s="4">
        <v>400</v>
      </c>
      <c r="B399" s="5">
        <v>1017233148</v>
      </c>
      <c r="C399" s="4" t="s">
        <v>389</v>
      </c>
      <c r="D399" s="4" t="s">
        <v>372</v>
      </c>
      <c r="E399" s="4" t="s">
        <v>563</v>
      </c>
      <c r="F399" s="5" t="s">
        <v>574</v>
      </c>
      <c r="G399" t="s">
        <v>565</v>
      </c>
    </row>
    <row r="400" spans="1:7" x14ac:dyDescent="0.3">
      <c r="A400" s="4">
        <v>401</v>
      </c>
      <c r="B400" s="5">
        <v>1017239115</v>
      </c>
      <c r="C400" s="4" t="s">
        <v>390</v>
      </c>
      <c r="D400" s="4" t="s">
        <v>372</v>
      </c>
      <c r="E400" s="4" t="s">
        <v>563</v>
      </c>
      <c r="F400" s="5" t="s">
        <v>576</v>
      </c>
      <c r="G400" t="s">
        <v>565</v>
      </c>
    </row>
    <row r="401" spans="1:7" x14ac:dyDescent="0.3">
      <c r="A401" s="4">
        <v>402</v>
      </c>
      <c r="B401" s="5">
        <v>1017247299</v>
      </c>
      <c r="C401" s="4" t="s">
        <v>391</v>
      </c>
      <c r="D401" s="4" t="s">
        <v>372</v>
      </c>
      <c r="E401" s="4" t="s">
        <v>563</v>
      </c>
      <c r="F401" s="5" t="s">
        <v>577</v>
      </c>
      <c r="G401" t="s">
        <v>565</v>
      </c>
    </row>
    <row r="402" spans="1:7" x14ac:dyDescent="0.3">
      <c r="A402" s="4">
        <v>403</v>
      </c>
      <c r="B402" s="5">
        <v>1017248051</v>
      </c>
      <c r="C402" s="4" t="s">
        <v>392</v>
      </c>
      <c r="D402" s="4" t="s">
        <v>372</v>
      </c>
      <c r="E402" s="4" t="s">
        <v>563</v>
      </c>
      <c r="F402" s="5" t="s">
        <v>571</v>
      </c>
      <c r="G402" t="s">
        <v>565</v>
      </c>
    </row>
    <row r="403" spans="1:7" x14ac:dyDescent="0.3">
      <c r="A403" s="4">
        <v>404</v>
      </c>
      <c r="B403" s="5">
        <v>1017266133</v>
      </c>
      <c r="C403" s="4" t="s">
        <v>393</v>
      </c>
      <c r="D403" s="4" t="s">
        <v>372</v>
      </c>
      <c r="E403" s="4" t="s">
        <v>563</v>
      </c>
      <c r="F403" s="5" t="s">
        <v>574</v>
      </c>
      <c r="G403" t="s">
        <v>565</v>
      </c>
    </row>
    <row r="404" spans="1:7" x14ac:dyDescent="0.3">
      <c r="A404" s="4">
        <v>405</v>
      </c>
      <c r="B404" s="5">
        <v>1017269447</v>
      </c>
      <c r="C404" s="4" t="s">
        <v>394</v>
      </c>
      <c r="D404" s="4" t="s">
        <v>372</v>
      </c>
      <c r="E404" s="4" t="s">
        <v>563</v>
      </c>
      <c r="F404" s="5" t="s">
        <v>571</v>
      </c>
      <c r="G404" t="s">
        <v>565</v>
      </c>
    </row>
    <row r="405" spans="1:7" x14ac:dyDescent="0.3">
      <c r="A405" s="4">
        <v>406</v>
      </c>
      <c r="B405" s="5">
        <v>1017269998</v>
      </c>
      <c r="C405" s="4" t="s">
        <v>395</v>
      </c>
      <c r="D405" s="4" t="s">
        <v>372</v>
      </c>
      <c r="E405" s="4" t="s">
        <v>563</v>
      </c>
      <c r="F405" s="5" t="s">
        <v>571</v>
      </c>
      <c r="G405" t="s">
        <v>565</v>
      </c>
    </row>
    <row r="406" spans="1:7" x14ac:dyDescent="0.3">
      <c r="A406" s="4">
        <v>407</v>
      </c>
      <c r="B406" s="5">
        <v>1020482801</v>
      </c>
      <c r="C406" s="4" t="s">
        <v>396</v>
      </c>
      <c r="D406" s="4" t="s">
        <v>372</v>
      </c>
      <c r="E406" s="4" t="s">
        <v>563</v>
      </c>
      <c r="F406" s="5" t="s">
        <v>571</v>
      </c>
      <c r="G406" t="s">
        <v>565</v>
      </c>
    </row>
    <row r="407" spans="1:7" x14ac:dyDescent="0.3">
      <c r="A407" s="4">
        <v>408</v>
      </c>
      <c r="B407" s="5">
        <v>1022124557</v>
      </c>
      <c r="C407" s="4" t="s">
        <v>397</v>
      </c>
      <c r="D407" s="4" t="s">
        <v>372</v>
      </c>
      <c r="E407" s="4" t="s">
        <v>563</v>
      </c>
      <c r="F407" s="5" t="s">
        <v>571</v>
      </c>
      <c r="G407" t="s">
        <v>565</v>
      </c>
    </row>
    <row r="408" spans="1:7" x14ac:dyDescent="0.3">
      <c r="A408" s="4">
        <v>409</v>
      </c>
      <c r="B408" s="5">
        <v>1022125326</v>
      </c>
      <c r="C408" s="4" t="s">
        <v>398</v>
      </c>
      <c r="D408" s="4" t="s">
        <v>372</v>
      </c>
      <c r="E408" s="4" t="s">
        <v>563</v>
      </c>
      <c r="F408" s="5" t="s">
        <v>571</v>
      </c>
      <c r="G408" t="s">
        <v>565</v>
      </c>
    </row>
    <row r="409" spans="1:7" x14ac:dyDescent="0.3">
      <c r="A409" s="4">
        <v>410</v>
      </c>
      <c r="B409" s="5">
        <v>1025640590</v>
      </c>
      <c r="C409" s="4" t="s">
        <v>399</v>
      </c>
      <c r="D409" s="4" t="s">
        <v>372</v>
      </c>
      <c r="E409" s="4" t="s">
        <v>563</v>
      </c>
      <c r="F409" s="5" t="s">
        <v>574</v>
      </c>
      <c r="G409" t="s">
        <v>565</v>
      </c>
    </row>
    <row r="410" spans="1:7" x14ac:dyDescent="0.3">
      <c r="A410" s="4">
        <v>411</v>
      </c>
      <c r="B410" s="5">
        <v>1025665487</v>
      </c>
      <c r="C410" s="4" t="s">
        <v>400</v>
      </c>
      <c r="D410" s="4" t="s">
        <v>372</v>
      </c>
      <c r="E410" s="4" t="s">
        <v>563</v>
      </c>
      <c r="F410" s="5" t="s">
        <v>574</v>
      </c>
      <c r="G410" t="s">
        <v>565</v>
      </c>
    </row>
    <row r="411" spans="1:7" x14ac:dyDescent="0.3">
      <c r="A411" s="4">
        <v>412</v>
      </c>
      <c r="B411" s="5">
        <v>1026145865</v>
      </c>
      <c r="C411" s="4" t="s">
        <v>401</v>
      </c>
      <c r="D411" s="4" t="s">
        <v>372</v>
      </c>
      <c r="E411" s="4" t="s">
        <v>563</v>
      </c>
      <c r="F411" s="5" t="s">
        <v>576</v>
      </c>
      <c r="G411" t="s">
        <v>565</v>
      </c>
    </row>
    <row r="412" spans="1:7" x14ac:dyDescent="0.3">
      <c r="A412" s="4">
        <v>413</v>
      </c>
      <c r="B412" s="5">
        <v>1036601648</v>
      </c>
      <c r="C412" s="4" t="s">
        <v>402</v>
      </c>
      <c r="D412" s="4" t="s">
        <v>372</v>
      </c>
      <c r="E412" s="4" t="s">
        <v>563</v>
      </c>
      <c r="F412" s="5" t="s">
        <v>571</v>
      </c>
      <c r="G412" t="s">
        <v>565</v>
      </c>
    </row>
    <row r="413" spans="1:7" x14ac:dyDescent="0.3">
      <c r="A413" s="4">
        <v>414</v>
      </c>
      <c r="B413" s="5">
        <v>1036934154</v>
      </c>
      <c r="C413" s="4" t="s">
        <v>403</v>
      </c>
      <c r="D413" s="4" t="s">
        <v>372</v>
      </c>
      <c r="E413" s="4" t="s">
        <v>563</v>
      </c>
      <c r="F413" s="5" t="s">
        <v>574</v>
      </c>
      <c r="G413" t="s">
        <v>565</v>
      </c>
    </row>
    <row r="414" spans="1:7" x14ac:dyDescent="0.3">
      <c r="A414" s="4">
        <v>415</v>
      </c>
      <c r="B414" s="5">
        <v>1037263422</v>
      </c>
      <c r="C414" s="4" t="s">
        <v>404</v>
      </c>
      <c r="D414" s="4" t="s">
        <v>372</v>
      </c>
      <c r="E414" s="4" t="s">
        <v>563</v>
      </c>
      <c r="F414" s="5" t="s">
        <v>571</v>
      </c>
      <c r="G414" t="s">
        <v>565</v>
      </c>
    </row>
    <row r="415" spans="1:7" x14ac:dyDescent="0.3">
      <c r="A415" s="4">
        <v>416</v>
      </c>
      <c r="B415" s="5">
        <v>1037570230</v>
      </c>
      <c r="C415" s="4" t="s">
        <v>405</v>
      </c>
      <c r="D415" s="4" t="s">
        <v>372</v>
      </c>
      <c r="E415" s="4" t="s">
        <v>563</v>
      </c>
      <c r="F415" s="5" t="s">
        <v>571</v>
      </c>
      <c r="G415" t="s">
        <v>565</v>
      </c>
    </row>
    <row r="416" spans="1:7" x14ac:dyDescent="0.3">
      <c r="A416" s="4">
        <v>417</v>
      </c>
      <c r="B416" s="5">
        <v>1039285463</v>
      </c>
      <c r="C416" s="4" t="s">
        <v>406</v>
      </c>
      <c r="D416" s="4" t="s">
        <v>372</v>
      </c>
      <c r="E416" s="4" t="s">
        <v>563</v>
      </c>
      <c r="F416" s="5" t="s">
        <v>574</v>
      </c>
      <c r="G416" t="s">
        <v>565</v>
      </c>
    </row>
    <row r="417" spans="1:7" x14ac:dyDescent="0.3">
      <c r="A417" s="4">
        <v>418</v>
      </c>
      <c r="B417" s="5">
        <v>1040749440</v>
      </c>
      <c r="C417" s="4" t="s">
        <v>407</v>
      </c>
      <c r="D417" s="4" t="s">
        <v>372</v>
      </c>
      <c r="E417" s="4" t="s">
        <v>563</v>
      </c>
      <c r="F417" s="5" t="s">
        <v>574</v>
      </c>
      <c r="G417" t="s">
        <v>565</v>
      </c>
    </row>
    <row r="418" spans="1:7" x14ac:dyDescent="0.3">
      <c r="A418" s="4">
        <v>419</v>
      </c>
      <c r="B418" s="5">
        <v>1042064849</v>
      </c>
      <c r="C418" s="4" t="s">
        <v>408</v>
      </c>
      <c r="D418" s="4" t="s">
        <v>372</v>
      </c>
      <c r="E418" s="4" t="s">
        <v>563</v>
      </c>
      <c r="F418" s="5" t="s">
        <v>574</v>
      </c>
      <c r="G418" t="s">
        <v>565</v>
      </c>
    </row>
    <row r="419" spans="1:7" x14ac:dyDescent="0.3">
      <c r="A419" s="4">
        <v>420</v>
      </c>
      <c r="B419" s="5">
        <v>1044150889</v>
      </c>
      <c r="C419" s="4" t="s">
        <v>409</v>
      </c>
      <c r="D419" s="4" t="s">
        <v>372</v>
      </c>
      <c r="E419" s="4" t="s">
        <v>563</v>
      </c>
      <c r="F419" s="5" t="s">
        <v>574</v>
      </c>
      <c r="G419" t="s">
        <v>565</v>
      </c>
    </row>
    <row r="420" spans="1:7" x14ac:dyDescent="0.3">
      <c r="A420" s="4">
        <v>421</v>
      </c>
      <c r="B420" s="5">
        <v>1067094968</v>
      </c>
      <c r="C420" s="4" t="s">
        <v>410</v>
      </c>
      <c r="D420" s="4" t="s">
        <v>372</v>
      </c>
      <c r="E420" s="4" t="s">
        <v>563</v>
      </c>
      <c r="F420" s="5" t="s">
        <v>576</v>
      </c>
      <c r="G420" t="s">
        <v>565</v>
      </c>
    </row>
    <row r="421" spans="1:7" x14ac:dyDescent="0.3">
      <c r="A421" s="4">
        <v>422</v>
      </c>
      <c r="B421" s="5">
        <v>1128271580</v>
      </c>
      <c r="C421" s="4" t="s">
        <v>411</v>
      </c>
      <c r="D421" s="4" t="s">
        <v>372</v>
      </c>
      <c r="E421" s="4" t="s">
        <v>563</v>
      </c>
      <c r="F421" s="5" t="s">
        <v>571</v>
      </c>
      <c r="G421" t="s">
        <v>565</v>
      </c>
    </row>
    <row r="422" spans="1:7" x14ac:dyDescent="0.3">
      <c r="A422" s="4">
        <v>423</v>
      </c>
      <c r="B422" s="5">
        <v>1144201470</v>
      </c>
      <c r="C422" s="4" t="s">
        <v>412</v>
      </c>
      <c r="D422" s="4" t="s">
        <v>372</v>
      </c>
      <c r="E422" s="4" t="s">
        <v>563</v>
      </c>
      <c r="F422" s="5" t="s">
        <v>571</v>
      </c>
      <c r="G422" t="s">
        <v>565</v>
      </c>
    </row>
    <row r="423" spans="1:7" x14ac:dyDescent="0.3">
      <c r="A423" s="4">
        <v>424</v>
      </c>
      <c r="B423" s="5">
        <v>1146434251</v>
      </c>
      <c r="C423" s="4" t="s">
        <v>413</v>
      </c>
      <c r="D423" s="4" t="s">
        <v>372</v>
      </c>
      <c r="E423" s="4" t="s">
        <v>563</v>
      </c>
      <c r="F423" s="5" t="s">
        <v>574</v>
      </c>
      <c r="G423" t="s">
        <v>565</v>
      </c>
    </row>
    <row r="424" spans="1:7" x14ac:dyDescent="0.3">
      <c r="A424" s="4">
        <v>425</v>
      </c>
      <c r="B424" s="5">
        <v>1147950412</v>
      </c>
      <c r="C424" s="4" t="s">
        <v>414</v>
      </c>
      <c r="D424" s="4" t="s">
        <v>372</v>
      </c>
      <c r="E424" s="4" t="s">
        <v>563</v>
      </c>
      <c r="F424" s="5" t="s">
        <v>572</v>
      </c>
      <c r="G424" t="s">
        <v>565</v>
      </c>
    </row>
    <row r="425" spans="1:7" x14ac:dyDescent="0.3">
      <c r="A425" s="4">
        <v>426</v>
      </c>
      <c r="B425" s="5">
        <v>1147957415</v>
      </c>
      <c r="C425" s="4" t="s">
        <v>415</v>
      </c>
      <c r="D425" s="4" t="s">
        <v>372</v>
      </c>
      <c r="E425" s="4" t="s">
        <v>563</v>
      </c>
      <c r="F425" s="5" t="s">
        <v>573</v>
      </c>
      <c r="G425" t="s">
        <v>565</v>
      </c>
    </row>
    <row r="426" spans="1:7" x14ac:dyDescent="0.3">
      <c r="A426" s="4">
        <v>427</v>
      </c>
      <c r="B426" s="5">
        <v>1152204057</v>
      </c>
      <c r="C426" s="4" t="s">
        <v>416</v>
      </c>
      <c r="D426" s="4" t="s">
        <v>372</v>
      </c>
      <c r="E426" s="4" t="s">
        <v>563</v>
      </c>
      <c r="F426" s="5" t="s">
        <v>571</v>
      </c>
      <c r="G426" t="s">
        <v>565</v>
      </c>
    </row>
    <row r="427" spans="1:7" x14ac:dyDescent="0.3">
      <c r="A427" s="4">
        <v>428</v>
      </c>
      <c r="B427" s="5">
        <v>1192898936</v>
      </c>
      <c r="C427" s="4" t="s">
        <v>144</v>
      </c>
      <c r="D427" s="4" t="s">
        <v>372</v>
      </c>
      <c r="E427" s="4" t="s">
        <v>563</v>
      </c>
      <c r="F427" s="5" t="s">
        <v>574</v>
      </c>
      <c r="G427" t="s">
        <v>565</v>
      </c>
    </row>
    <row r="428" spans="1:7" x14ac:dyDescent="0.3">
      <c r="A428" s="4">
        <v>429</v>
      </c>
      <c r="B428" s="5">
        <v>1214733443</v>
      </c>
      <c r="C428" s="4" t="s">
        <v>417</v>
      </c>
      <c r="D428" s="4" t="s">
        <v>372</v>
      </c>
      <c r="E428" s="4" t="s">
        <v>563</v>
      </c>
      <c r="F428" s="5" t="s">
        <v>571</v>
      </c>
      <c r="G428" t="s">
        <v>565</v>
      </c>
    </row>
    <row r="429" spans="1:7" x14ac:dyDescent="0.3">
      <c r="A429" s="4">
        <v>430</v>
      </c>
      <c r="B429" s="5">
        <v>21386259</v>
      </c>
      <c r="C429" s="4" t="s">
        <v>418</v>
      </c>
      <c r="D429" s="4" t="s">
        <v>372</v>
      </c>
      <c r="E429" s="4" t="s">
        <v>563</v>
      </c>
      <c r="F429" s="5" t="s">
        <v>571</v>
      </c>
      <c r="G429" t="s">
        <v>565</v>
      </c>
    </row>
    <row r="430" spans="1:7" x14ac:dyDescent="0.3">
      <c r="A430" s="4">
        <v>431</v>
      </c>
      <c r="B430" s="5">
        <v>21399690</v>
      </c>
      <c r="C430" s="4" t="s">
        <v>419</v>
      </c>
      <c r="D430" s="4" t="s">
        <v>372</v>
      </c>
      <c r="E430" s="4" t="s">
        <v>563</v>
      </c>
      <c r="F430" s="5" t="s">
        <v>574</v>
      </c>
      <c r="G430" t="s">
        <v>565</v>
      </c>
    </row>
    <row r="431" spans="1:7" x14ac:dyDescent="0.3">
      <c r="A431" s="4">
        <v>432</v>
      </c>
      <c r="B431" s="5">
        <v>21400273</v>
      </c>
      <c r="C431" s="4" t="s">
        <v>420</v>
      </c>
      <c r="D431" s="4" t="s">
        <v>372</v>
      </c>
      <c r="E431" s="4" t="s">
        <v>563</v>
      </c>
      <c r="F431" s="5" t="s">
        <v>571</v>
      </c>
      <c r="G431" t="s">
        <v>565</v>
      </c>
    </row>
    <row r="432" spans="1:7" x14ac:dyDescent="0.3">
      <c r="A432" s="4">
        <v>433</v>
      </c>
      <c r="B432" s="5">
        <v>21451506</v>
      </c>
      <c r="C432" s="4" t="s">
        <v>421</v>
      </c>
      <c r="D432" s="4" t="s">
        <v>372</v>
      </c>
      <c r="E432" s="4" t="s">
        <v>563</v>
      </c>
      <c r="F432" s="5" t="s">
        <v>571</v>
      </c>
      <c r="G432" t="s">
        <v>565</v>
      </c>
    </row>
    <row r="433" spans="1:7" x14ac:dyDescent="0.3">
      <c r="A433" s="4">
        <v>434</v>
      </c>
      <c r="B433" s="5">
        <v>21464825</v>
      </c>
      <c r="C433" s="4" t="s">
        <v>422</v>
      </c>
      <c r="D433" s="4" t="s">
        <v>372</v>
      </c>
      <c r="E433" s="4" t="s">
        <v>563</v>
      </c>
      <c r="F433" s="5" t="s">
        <v>571</v>
      </c>
      <c r="G433" t="s">
        <v>565</v>
      </c>
    </row>
    <row r="434" spans="1:7" x14ac:dyDescent="0.3">
      <c r="A434" s="4">
        <v>435</v>
      </c>
      <c r="B434" s="5">
        <v>21467983</v>
      </c>
      <c r="C434" s="4" t="s">
        <v>423</v>
      </c>
      <c r="D434" s="4" t="s">
        <v>372</v>
      </c>
      <c r="E434" s="4" t="s">
        <v>563</v>
      </c>
      <c r="F434" s="5" t="s">
        <v>574</v>
      </c>
      <c r="G434" t="s">
        <v>565</v>
      </c>
    </row>
    <row r="435" spans="1:7" x14ac:dyDescent="0.3">
      <c r="A435" s="4">
        <v>436</v>
      </c>
      <c r="B435" s="5">
        <v>21508452</v>
      </c>
      <c r="C435" s="4" t="s">
        <v>424</v>
      </c>
      <c r="D435" s="4" t="s">
        <v>372</v>
      </c>
      <c r="E435" s="4" t="s">
        <v>563</v>
      </c>
      <c r="F435" s="5" t="s">
        <v>571</v>
      </c>
      <c r="G435" t="s">
        <v>565</v>
      </c>
    </row>
    <row r="436" spans="1:7" x14ac:dyDescent="0.3">
      <c r="A436" s="4">
        <v>437</v>
      </c>
      <c r="B436" s="5">
        <v>21521912</v>
      </c>
      <c r="C436" s="4" t="s">
        <v>425</v>
      </c>
      <c r="D436" s="4" t="s">
        <v>372</v>
      </c>
      <c r="E436" s="4" t="s">
        <v>563</v>
      </c>
      <c r="F436" s="5" t="s">
        <v>571</v>
      </c>
      <c r="G436" t="s">
        <v>565</v>
      </c>
    </row>
    <row r="437" spans="1:7" x14ac:dyDescent="0.3">
      <c r="A437" s="4">
        <v>438</v>
      </c>
      <c r="B437" s="5">
        <v>21559816</v>
      </c>
      <c r="C437" s="4" t="s">
        <v>426</v>
      </c>
      <c r="D437" s="4" t="s">
        <v>372</v>
      </c>
      <c r="E437" s="4" t="s">
        <v>563</v>
      </c>
      <c r="F437" s="5" t="s">
        <v>571</v>
      </c>
      <c r="G437" t="s">
        <v>565</v>
      </c>
    </row>
    <row r="438" spans="1:7" x14ac:dyDescent="0.3">
      <c r="A438" s="4">
        <v>439</v>
      </c>
      <c r="B438" s="5">
        <v>21573512</v>
      </c>
      <c r="C438" s="4" t="s">
        <v>427</v>
      </c>
      <c r="D438" s="4" t="s">
        <v>372</v>
      </c>
      <c r="E438" s="4" t="s">
        <v>563</v>
      </c>
      <c r="F438" s="5" t="s">
        <v>572</v>
      </c>
      <c r="G438" t="s">
        <v>565</v>
      </c>
    </row>
    <row r="439" spans="1:7" x14ac:dyDescent="0.3">
      <c r="A439" s="4">
        <v>440</v>
      </c>
      <c r="B439" s="5">
        <v>21575791</v>
      </c>
      <c r="C439" s="4" t="s">
        <v>428</v>
      </c>
      <c r="D439" s="4" t="s">
        <v>372</v>
      </c>
      <c r="E439" s="4" t="s">
        <v>563</v>
      </c>
      <c r="F439" s="5" t="s">
        <v>571</v>
      </c>
      <c r="G439" t="s">
        <v>565</v>
      </c>
    </row>
    <row r="440" spans="1:7" x14ac:dyDescent="0.3">
      <c r="A440" s="4">
        <v>441</v>
      </c>
      <c r="B440" s="5">
        <v>21584884</v>
      </c>
      <c r="C440" s="4" t="s">
        <v>429</v>
      </c>
      <c r="D440" s="4" t="s">
        <v>372</v>
      </c>
      <c r="E440" s="4" t="s">
        <v>563</v>
      </c>
      <c r="F440" s="5" t="s">
        <v>576</v>
      </c>
      <c r="G440" t="s">
        <v>565</v>
      </c>
    </row>
    <row r="441" spans="1:7" x14ac:dyDescent="0.3">
      <c r="A441" s="4">
        <v>442</v>
      </c>
      <c r="B441" s="5">
        <v>21620314</v>
      </c>
      <c r="C441" s="4" t="s">
        <v>430</v>
      </c>
      <c r="D441" s="4" t="s">
        <v>372</v>
      </c>
      <c r="E441" s="4" t="s">
        <v>563</v>
      </c>
      <c r="F441" s="5" t="s">
        <v>574</v>
      </c>
      <c r="G441" t="s">
        <v>565</v>
      </c>
    </row>
    <row r="442" spans="1:7" x14ac:dyDescent="0.3">
      <c r="A442" s="4">
        <v>443</v>
      </c>
      <c r="B442" s="5">
        <v>21691463</v>
      </c>
      <c r="C442" s="4" t="s">
        <v>431</v>
      </c>
      <c r="D442" s="4" t="s">
        <v>372</v>
      </c>
      <c r="E442" s="4" t="s">
        <v>563</v>
      </c>
      <c r="F442" s="5" t="s">
        <v>571</v>
      </c>
      <c r="G442" t="s">
        <v>565</v>
      </c>
    </row>
    <row r="443" spans="1:7" x14ac:dyDescent="0.3">
      <c r="A443" s="4">
        <v>444</v>
      </c>
      <c r="B443" s="5">
        <v>21693354</v>
      </c>
      <c r="C443" s="4" t="s">
        <v>432</v>
      </c>
      <c r="D443" s="4" t="s">
        <v>372</v>
      </c>
      <c r="E443" s="4" t="s">
        <v>563</v>
      </c>
      <c r="F443" s="5" t="s">
        <v>571</v>
      </c>
      <c r="G443" t="s">
        <v>565</v>
      </c>
    </row>
    <row r="444" spans="1:7" x14ac:dyDescent="0.3">
      <c r="A444" s="4">
        <v>445</v>
      </c>
      <c r="B444" s="5">
        <v>21697016</v>
      </c>
      <c r="C444" s="4" t="s">
        <v>433</v>
      </c>
      <c r="D444" s="4" t="s">
        <v>372</v>
      </c>
      <c r="E444" s="4" t="s">
        <v>563</v>
      </c>
      <c r="F444" s="5" t="s">
        <v>571</v>
      </c>
      <c r="G444" t="s">
        <v>565</v>
      </c>
    </row>
    <row r="445" spans="1:7" x14ac:dyDescent="0.3">
      <c r="A445" s="4">
        <v>446</v>
      </c>
      <c r="B445" s="5">
        <v>21697063</v>
      </c>
      <c r="C445" s="4" t="s">
        <v>434</v>
      </c>
      <c r="D445" s="4" t="s">
        <v>372</v>
      </c>
      <c r="E445" s="4" t="s">
        <v>563</v>
      </c>
      <c r="F445" s="5" t="s">
        <v>571</v>
      </c>
      <c r="G445" t="s">
        <v>565</v>
      </c>
    </row>
    <row r="446" spans="1:7" x14ac:dyDescent="0.3">
      <c r="A446" s="4">
        <v>447</v>
      </c>
      <c r="B446" s="5">
        <v>21697589</v>
      </c>
      <c r="C446" s="4" t="s">
        <v>435</v>
      </c>
      <c r="D446" s="4" t="s">
        <v>372</v>
      </c>
      <c r="E446" s="4" t="s">
        <v>563</v>
      </c>
      <c r="F446" s="5" t="s">
        <v>574</v>
      </c>
      <c r="G446" t="s">
        <v>565</v>
      </c>
    </row>
    <row r="447" spans="1:7" x14ac:dyDescent="0.3">
      <c r="A447" s="4">
        <v>448</v>
      </c>
      <c r="B447" s="5">
        <v>21709045</v>
      </c>
      <c r="C447" s="4" t="s">
        <v>436</v>
      </c>
      <c r="D447" s="4" t="s">
        <v>372</v>
      </c>
      <c r="E447" s="4" t="s">
        <v>563</v>
      </c>
      <c r="F447" s="5" t="s">
        <v>574</v>
      </c>
      <c r="G447" t="s">
        <v>565</v>
      </c>
    </row>
    <row r="448" spans="1:7" x14ac:dyDescent="0.3">
      <c r="A448" s="4">
        <v>449</v>
      </c>
      <c r="B448" s="5">
        <v>21744070</v>
      </c>
      <c r="C448" s="4" t="s">
        <v>437</v>
      </c>
      <c r="D448" s="4" t="s">
        <v>372</v>
      </c>
      <c r="E448" s="4" t="s">
        <v>563</v>
      </c>
      <c r="F448" s="5" t="s">
        <v>571</v>
      </c>
      <c r="G448" t="s">
        <v>565</v>
      </c>
    </row>
    <row r="449" spans="1:7" x14ac:dyDescent="0.3">
      <c r="A449" s="4">
        <v>450</v>
      </c>
      <c r="B449" s="5">
        <v>21785236</v>
      </c>
      <c r="C449" s="4" t="s">
        <v>438</v>
      </c>
      <c r="D449" s="4" t="s">
        <v>372</v>
      </c>
      <c r="E449" s="4" t="s">
        <v>563</v>
      </c>
      <c r="F449" s="5" t="s">
        <v>572</v>
      </c>
      <c r="G449" t="s">
        <v>565</v>
      </c>
    </row>
    <row r="450" spans="1:7" x14ac:dyDescent="0.3">
      <c r="A450" s="4">
        <v>451</v>
      </c>
      <c r="B450" s="5">
        <v>21808751</v>
      </c>
      <c r="C450" s="4" t="s">
        <v>439</v>
      </c>
      <c r="D450" s="4" t="s">
        <v>372</v>
      </c>
      <c r="E450" s="4" t="s">
        <v>563</v>
      </c>
      <c r="F450" s="5" t="s">
        <v>572</v>
      </c>
      <c r="G450" t="s">
        <v>565</v>
      </c>
    </row>
    <row r="451" spans="1:7" x14ac:dyDescent="0.3">
      <c r="A451" s="4">
        <v>452</v>
      </c>
      <c r="B451" s="5">
        <v>21808821</v>
      </c>
      <c r="C451" s="4" t="s">
        <v>440</v>
      </c>
      <c r="D451" s="4" t="s">
        <v>372</v>
      </c>
      <c r="E451" s="4" t="s">
        <v>563</v>
      </c>
      <c r="F451" s="5" t="s">
        <v>571</v>
      </c>
      <c r="G451" t="s">
        <v>565</v>
      </c>
    </row>
    <row r="452" spans="1:7" x14ac:dyDescent="0.3">
      <c r="A452" s="4">
        <v>453</v>
      </c>
      <c r="B452" s="5">
        <v>21809439</v>
      </c>
      <c r="C452" s="4" t="s">
        <v>441</v>
      </c>
      <c r="D452" s="4" t="s">
        <v>372</v>
      </c>
      <c r="E452" s="4" t="s">
        <v>563</v>
      </c>
      <c r="F452" s="5" t="s">
        <v>571</v>
      </c>
      <c r="G452" t="s">
        <v>565</v>
      </c>
    </row>
    <row r="453" spans="1:7" x14ac:dyDescent="0.3">
      <c r="A453" s="4">
        <v>454</v>
      </c>
      <c r="B453" s="5">
        <v>21812687</v>
      </c>
      <c r="C453" s="4" t="s">
        <v>442</v>
      </c>
      <c r="D453" s="4" t="s">
        <v>372</v>
      </c>
      <c r="E453" s="4" t="s">
        <v>563</v>
      </c>
      <c r="F453" s="5" t="s">
        <v>571</v>
      </c>
      <c r="G453" t="s">
        <v>565</v>
      </c>
    </row>
    <row r="454" spans="1:7" x14ac:dyDescent="0.3">
      <c r="A454" s="4">
        <v>455</v>
      </c>
      <c r="B454" s="5">
        <v>21816448</v>
      </c>
      <c r="C454" s="4" t="s">
        <v>443</v>
      </c>
      <c r="D454" s="4" t="s">
        <v>372</v>
      </c>
      <c r="E454" s="4" t="s">
        <v>563</v>
      </c>
      <c r="F454" s="5" t="s">
        <v>571</v>
      </c>
      <c r="G454" t="s">
        <v>565</v>
      </c>
    </row>
    <row r="455" spans="1:7" x14ac:dyDescent="0.3">
      <c r="A455" s="4">
        <v>456</v>
      </c>
      <c r="B455" s="5">
        <v>21893072</v>
      </c>
      <c r="C455" s="4" t="s">
        <v>444</v>
      </c>
      <c r="D455" s="4" t="s">
        <v>372</v>
      </c>
      <c r="E455" s="4" t="s">
        <v>563</v>
      </c>
      <c r="F455" s="5" t="s">
        <v>571</v>
      </c>
      <c r="G455" t="s">
        <v>565</v>
      </c>
    </row>
    <row r="456" spans="1:7" x14ac:dyDescent="0.3">
      <c r="A456" s="4">
        <v>457</v>
      </c>
      <c r="B456" s="5">
        <v>21910729</v>
      </c>
      <c r="C456" s="4" t="s">
        <v>144</v>
      </c>
      <c r="D456" s="4" t="s">
        <v>372</v>
      </c>
      <c r="E456" s="4" t="s">
        <v>563</v>
      </c>
      <c r="F456" s="5" t="s">
        <v>574</v>
      </c>
      <c r="G456" t="s">
        <v>565</v>
      </c>
    </row>
    <row r="457" spans="1:7" x14ac:dyDescent="0.3">
      <c r="A457" s="4">
        <v>458</v>
      </c>
      <c r="B457" s="5">
        <v>21910873</v>
      </c>
      <c r="C457" s="4" t="s">
        <v>445</v>
      </c>
      <c r="D457" s="4" t="s">
        <v>372</v>
      </c>
      <c r="E457" s="4" t="s">
        <v>563</v>
      </c>
      <c r="F457" s="5" t="s">
        <v>571</v>
      </c>
      <c r="G457" t="s">
        <v>565</v>
      </c>
    </row>
    <row r="458" spans="1:7" x14ac:dyDescent="0.3">
      <c r="A458" s="4">
        <v>459</v>
      </c>
      <c r="B458" s="5">
        <v>21910907</v>
      </c>
      <c r="C458" s="4" t="s">
        <v>446</v>
      </c>
      <c r="D458" s="4" t="s">
        <v>372</v>
      </c>
      <c r="E458" s="4" t="s">
        <v>563</v>
      </c>
      <c r="F458" s="5" t="s">
        <v>571</v>
      </c>
      <c r="G458" t="s">
        <v>565</v>
      </c>
    </row>
    <row r="459" spans="1:7" x14ac:dyDescent="0.3">
      <c r="A459" s="4">
        <v>460</v>
      </c>
      <c r="B459" s="5">
        <v>21912116</v>
      </c>
      <c r="C459" s="4" t="s">
        <v>447</v>
      </c>
      <c r="D459" s="4" t="s">
        <v>372</v>
      </c>
      <c r="E459" s="4" t="s">
        <v>563</v>
      </c>
      <c r="F459" s="5" t="s">
        <v>576</v>
      </c>
      <c r="G459" t="s">
        <v>565</v>
      </c>
    </row>
    <row r="460" spans="1:7" x14ac:dyDescent="0.3">
      <c r="A460" s="4">
        <v>461</v>
      </c>
      <c r="B460" s="5">
        <v>21954148</v>
      </c>
      <c r="C460" s="4" t="s">
        <v>448</v>
      </c>
      <c r="D460" s="4" t="s">
        <v>372</v>
      </c>
      <c r="E460" s="4" t="s">
        <v>563</v>
      </c>
      <c r="F460" s="5" t="s">
        <v>574</v>
      </c>
      <c r="G460" t="s">
        <v>565</v>
      </c>
    </row>
    <row r="461" spans="1:7" x14ac:dyDescent="0.3">
      <c r="A461" s="4">
        <v>462</v>
      </c>
      <c r="B461" s="5">
        <v>21977327</v>
      </c>
      <c r="C461" s="4" t="s">
        <v>449</v>
      </c>
      <c r="D461" s="4" t="s">
        <v>372</v>
      </c>
      <c r="E461" s="4" t="s">
        <v>563</v>
      </c>
      <c r="F461" s="5" t="s">
        <v>576</v>
      </c>
      <c r="G461" t="s">
        <v>565</v>
      </c>
    </row>
    <row r="462" spans="1:7" x14ac:dyDescent="0.3">
      <c r="A462" s="4">
        <v>463</v>
      </c>
      <c r="B462" s="5">
        <v>22032152</v>
      </c>
      <c r="C462" s="4" t="s">
        <v>450</v>
      </c>
      <c r="D462" s="4" t="s">
        <v>372</v>
      </c>
      <c r="E462" s="4" t="s">
        <v>563</v>
      </c>
      <c r="F462" s="5" t="s">
        <v>571</v>
      </c>
      <c r="G462" t="s">
        <v>565</v>
      </c>
    </row>
    <row r="463" spans="1:7" x14ac:dyDescent="0.3">
      <c r="A463" s="4">
        <v>464</v>
      </c>
      <c r="B463" s="5">
        <v>22103917</v>
      </c>
      <c r="C463" s="4" t="s">
        <v>451</v>
      </c>
      <c r="D463" s="4" t="s">
        <v>372</v>
      </c>
      <c r="E463" s="4" t="s">
        <v>563</v>
      </c>
      <c r="F463" s="5" t="s">
        <v>571</v>
      </c>
      <c r="G463" t="s">
        <v>565</v>
      </c>
    </row>
    <row r="464" spans="1:7" x14ac:dyDescent="0.3">
      <c r="A464" s="4">
        <v>465</v>
      </c>
      <c r="B464" s="5">
        <v>22108850</v>
      </c>
      <c r="C464" s="4" t="s">
        <v>452</v>
      </c>
      <c r="D464" s="4" t="s">
        <v>372</v>
      </c>
      <c r="E464" s="4" t="s">
        <v>563</v>
      </c>
      <c r="F464" s="5" t="s">
        <v>571</v>
      </c>
      <c r="G464" t="s">
        <v>565</v>
      </c>
    </row>
    <row r="465" spans="1:7" x14ac:dyDescent="0.3">
      <c r="A465" s="4">
        <v>466</v>
      </c>
      <c r="B465" s="5">
        <v>22139441</v>
      </c>
      <c r="C465" s="4" t="s">
        <v>453</v>
      </c>
      <c r="D465" s="4" t="s">
        <v>372</v>
      </c>
      <c r="E465" s="4" t="s">
        <v>563</v>
      </c>
      <c r="F465" s="5" t="s">
        <v>571</v>
      </c>
      <c r="G465" t="s">
        <v>565</v>
      </c>
    </row>
    <row r="466" spans="1:7" x14ac:dyDescent="0.3">
      <c r="A466" s="4">
        <v>467</v>
      </c>
      <c r="B466" s="5">
        <v>22210262</v>
      </c>
      <c r="C466" s="4" t="s">
        <v>454</v>
      </c>
      <c r="D466" s="4" t="s">
        <v>372</v>
      </c>
      <c r="E466" s="4" t="s">
        <v>563</v>
      </c>
      <c r="F466" s="5" t="s">
        <v>571</v>
      </c>
      <c r="G466" t="s">
        <v>565</v>
      </c>
    </row>
    <row r="467" spans="1:7" x14ac:dyDescent="0.3">
      <c r="A467" s="4">
        <v>468</v>
      </c>
      <c r="B467" s="5">
        <v>22222115</v>
      </c>
      <c r="C467" s="4" t="s">
        <v>455</v>
      </c>
      <c r="D467" s="4" t="s">
        <v>372</v>
      </c>
      <c r="E467" s="4" t="s">
        <v>563</v>
      </c>
      <c r="F467" s="5" t="s">
        <v>576</v>
      </c>
      <c r="G467" t="s">
        <v>565</v>
      </c>
    </row>
    <row r="468" spans="1:7" x14ac:dyDescent="0.3">
      <c r="A468" s="4">
        <v>469</v>
      </c>
      <c r="B468" s="5">
        <v>22230457</v>
      </c>
      <c r="C468" s="4" t="s">
        <v>456</v>
      </c>
      <c r="D468" s="4" t="s">
        <v>372</v>
      </c>
      <c r="E468" s="4" t="s">
        <v>563</v>
      </c>
      <c r="F468" s="5" t="s">
        <v>571</v>
      </c>
      <c r="G468" t="s">
        <v>565</v>
      </c>
    </row>
    <row r="469" spans="1:7" x14ac:dyDescent="0.3">
      <c r="A469" s="4">
        <v>470</v>
      </c>
      <c r="B469" s="5">
        <v>24552101</v>
      </c>
      <c r="C469" s="4" t="s">
        <v>457</v>
      </c>
      <c r="D469" s="4" t="s">
        <v>372</v>
      </c>
      <c r="E469" s="4" t="s">
        <v>563</v>
      </c>
      <c r="F469" s="5" t="s">
        <v>576</v>
      </c>
      <c r="G469" t="s">
        <v>565</v>
      </c>
    </row>
    <row r="470" spans="1:7" x14ac:dyDescent="0.3">
      <c r="A470" s="4">
        <v>471</v>
      </c>
      <c r="B470" s="5">
        <v>24999258</v>
      </c>
      <c r="C470" s="4" t="s">
        <v>458</v>
      </c>
      <c r="D470" s="4" t="s">
        <v>372</v>
      </c>
      <c r="E470" s="4" t="s">
        <v>563</v>
      </c>
      <c r="F470" s="5" t="s">
        <v>577</v>
      </c>
      <c r="G470" t="s">
        <v>565</v>
      </c>
    </row>
    <row r="471" spans="1:7" x14ac:dyDescent="0.3">
      <c r="A471" s="4">
        <v>472</v>
      </c>
      <c r="B471" s="5">
        <v>26393898</v>
      </c>
      <c r="C471" s="4" t="s">
        <v>459</v>
      </c>
      <c r="D471" s="4" t="s">
        <v>372</v>
      </c>
      <c r="E471" s="4" t="s">
        <v>563</v>
      </c>
      <c r="F471" s="5" t="s">
        <v>576</v>
      </c>
      <c r="G471" t="s">
        <v>565</v>
      </c>
    </row>
    <row r="472" spans="1:7" x14ac:dyDescent="0.3">
      <c r="A472" s="4">
        <v>473</v>
      </c>
      <c r="B472" s="5">
        <v>30402150</v>
      </c>
      <c r="C472" s="4" t="s">
        <v>460</v>
      </c>
      <c r="D472" s="4" t="s">
        <v>372</v>
      </c>
      <c r="E472" s="4" t="s">
        <v>563</v>
      </c>
      <c r="F472" s="5" t="s">
        <v>574</v>
      </c>
      <c r="G472" t="s">
        <v>565</v>
      </c>
    </row>
    <row r="473" spans="1:7" x14ac:dyDescent="0.3">
      <c r="A473" s="4">
        <v>474</v>
      </c>
      <c r="B473" s="5">
        <v>32102790</v>
      </c>
      <c r="C473" s="4" t="s">
        <v>461</v>
      </c>
      <c r="D473" s="4" t="s">
        <v>372</v>
      </c>
      <c r="E473" s="4" t="s">
        <v>563</v>
      </c>
      <c r="F473" s="5" t="s">
        <v>571</v>
      </c>
      <c r="G473" t="s">
        <v>565</v>
      </c>
    </row>
    <row r="474" spans="1:7" x14ac:dyDescent="0.3">
      <c r="A474" s="4">
        <v>475</v>
      </c>
      <c r="B474" s="5">
        <v>32118138</v>
      </c>
      <c r="C474" s="4" t="s">
        <v>462</v>
      </c>
      <c r="D474" s="4" t="s">
        <v>372</v>
      </c>
      <c r="E474" s="4" t="s">
        <v>563</v>
      </c>
      <c r="F474" s="5" t="s">
        <v>575</v>
      </c>
      <c r="G474" t="s">
        <v>565</v>
      </c>
    </row>
    <row r="475" spans="1:7" x14ac:dyDescent="0.3">
      <c r="A475" s="4">
        <v>476</v>
      </c>
      <c r="B475" s="5">
        <v>32144313</v>
      </c>
      <c r="C475" s="4" t="s">
        <v>463</v>
      </c>
      <c r="D475" s="4" t="s">
        <v>372</v>
      </c>
      <c r="E475" s="4" t="s">
        <v>563</v>
      </c>
      <c r="F475" s="5" t="s">
        <v>574</v>
      </c>
      <c r="G475" t="s">
        <v>565</v>
      </c>
    </row>
    <row r="476" spans="1:7" x14ac:dyDescent="0.3">
      <c r="A476" s="4">
        <v>477</v>
      </c>
      <c r="B476" s="5">
        <v>32208850</v>
      </c>
      <c r="C476" s="4" t="s">
        <v>464</v>
      </c>
      <c r="D476" s="4" t="s">
        <v>372</v>
      </c>
      <c r="E476" s="4" t="s">
        <v>563</v>
      </c>
      <c r="F476" s="5" t="s">
        <v>571</v>
      </c>
      <c r="G476" t="s">
        <v>565</v>
      </c>
    </row>
    <row r="477" spans="1:7" x14ac:dyDescent="0.3">
      <c r="A477" s="4">
        <v>478</v>
      </c>
      <c r="B477" s="5">
        <v>32255448</v>
      </c>
      <c r="C477" s="4" t="s">
        <v>465</v>
      </c>
      <c r="D477" s="4" t="s">
        <v>372</v>
      </c>
      <c r="E477" s="4" t="s">
        <v>563</v>
      </c>
      <c r="F477" s="5" t="s">
        <v>571</v>
      </c>
      <c r="G477" t="s">
        <v>565</v>
      </c>
    </row>
    <row r="478" spans="1:7" x14ac:dyDescent="0.3">
      <c r="A478" s="4">
        <v>479</v>
      </c>
      <c r="B478" s="5">
        <v>32258550</v>
      </c>
      <c r="C478" s="4" t="s">
        <v>466</v>
      </c>
      <c r="D478" s="4" t="s">
        <v>372</v>
      </c>
      <c r="E478" s="4" t="s">
        <v>563</v>
      </c>
      <c r="F478" s="5" t="s">
        <v>571</v>
      </c>
      <c r="G478" t="s">
        <v>565</v>
      </c>
    </row>
    <row r="479" spans="1:7" x14ac:dyDescent="0.3">
      <c r="A479" s="4">
        <v>480</v>
      </c>
      <c r="B479" s="5">
        <v>32358114</v>
      </c>
      <c r="C479" s="4" t="s">
        <v>467</v>
      </c>
      <c r="D479" s="4" t="s">
        <v>372</v>
      </c>
      <c r="E479" s="4" t="s">
        <v>563</v>
      </c>
      <c r="F479" s="5" t="s">
        <v>571</v>
      </c>
      <c r="G479" t="s">
        <v>565</v>
      </c>
    </row>
    <row r="480" spans="1:7" x14ac:dyDescent="0.3">
      <c r="A480" s="4">
        <v>481</v>
      </c>
      <c r="B480" s="5">
        <v>32358159</v>
      </c>
      <c r="C480" s="4" t="s">
        <v>468</v>
      </c>
      <c r="D480" s="4" t="s">
        <v>372</v>
      </c>
      <c r="E480" s="4" t="s">
        <v>563</v>
      </c>
      <c r="F480" s="5" t="s">
        <v>571</v>
      </c>
      <c r="G480" t="s">
        <v>565</v>
      </c>
    </row>
    <row r="481" spans="1:7" x14ac:dyDescent="0.3">
      <c r="A481" s="4">
        <v>482</v>
      </c>
      <c r="B481" s="5">
        <v>32409494</v>
      </c>
      <c r="C481" s="4" t="s">
        <v>469</v>
      </c>
      <c r="D481" s="4" t="s">
        <v>372</v>
      </c>
      <c r="E481" s="4" t="s">
        <v>563</v>
      </c>
      <c r="F481" s="5" t="s">
        <v>571</v>
      </c>
      <c r="G481" t="s">
        <v>565</v>
      </c>
    </row>
    <row r="482" spans="1:7" x14ac:dyDescent="0.3">
      <c r="A482" s="4">
        <v>483</v>
      </c>
      <c r="B482" s="5">
        <v>32422939</v>
      </c>
      <c r="C482" s="4" t="s">
        <v>470</v>
      </c>
      <c r="D482" s="4" t="s">
        <v>372</v>
      </c>
      <c r="E482" s="4" t="s">
        <v>563</v>
      </c>
      <c r="F482" s="5" t="s">
        <v>571</v>
      </c>
      <c r="G482" t="s">
        <v>565</v>
      </c>
    </row>
    <row r="483" spans="1:7" x14ac:dyDescent="0.3">
      <c r="A483" s="4">
        <v>484</v>
      </c>
      <c r="B483" s="5">
        <v>32487899</v>
      </c>
      <c r="C483" s="4" t="s">
        <v>471</v>
      </c>
      <c r="D483" s="4" t="s">
        <v>372</v>
      </c>
      <c r="E483" s="4" t="s">
        <v>563</v>
      </c>
      <c r="F483" s="5" t="s">
        <v>571</v>
      </c>
      <c r="G483" t="s">
        <v>565</v>
      </c>
    </row>
    <row r="484" spans="1:7" x14ac:dyDescent="0.3">
      <c r="A484" s="4">
        <v>485</v>
      </c>
      <c r="B484" s="5">
        <v>32500696</v>
      </c>
      <c r="C484" s="4" t="s">
        <v>472</v>
      </c>
      <c r="D484" s="4" t="s">
        <v>372</v>
      </c>
      <c r="E484" s="4" t="s">
        <v>563</v>
      </c>
      <c r="F484" s="5" t="s">
        <v>574</v>
      </c>
      <c r="G484" t="s">
        <v>565</v>
      </c>
    </row>
    <row r="485" spans="1:7" x14ac:dyDescent="0.3">
      <c r="A485" s="4">
        <v>486</v>
      </c>
      <c r="B485" s="5">
        <v>32519087</v>
      </c>
      <c r="C485" s="4" t="s">
        <v>473</v>
      </c>
      <c r="D485" s="4" t="s">
        <v>372</v>
      </c>
      <c r="E485" s="4" t="s">
        <v>563</v>
      </c>
      <c r="F485" s="5" t="s">
        <v>571</v>
      </c>
      <c r="G485" t="s">
        <v>565</v>
      </c>
    </row>
    <row r="486" spans="1:7" x14ac:dyDescent="0.3">
      <c r="A486" s="4">
        <v>487</v>
      </c>
      <c r="B486" s="5">
        <v>32529962</v>
      </c>
      <c r="C486" s="4" t="s">
        <v>474</v>
      </c>
      <c r="D486" s="4" t="s">
        <v>372</v>
      </c>
      <c r="E486" s="4" t="s">
        <v>563</v>
      </c>
      <c r="F486" s="5" t="s">
        <v>574</v>
      </c>
      <c r="G486" t="s">
        <v>565</v>
      </c>
    </row>
    <row r="487" spans="1:7" x14ac:dyDescent="0.3">
      <c r="A487" s="4">
        <v>488</v>
      </c>
      <c r="B487" s="5">
        <v>32531832</v>
      </c>
      <c r="C487" s="4" t="s">
        <v>475</v>
      </c>
      <c r="D487" s="4" t="s">
        <v>372</v>
      </c>
      <c r="E487" s="4" t="s">
        <v>563</v>
      </c>
      <c r="F487" s="5" t="s">
        <v>571</v>
      </c>
      <c r="G487" t="s">
        <v>565</v>
      </c>
    </row>
    <row r="488" spans="1:7" x14ac:dyDescent="0.3">
      <c r="A488" s="4">
        <v>489</v>
      </c>
      <c r="B488" s="5">
        <v>32533675</v>
      </c>
      <c r="C488" s="4" t="s">
        <v>476</v>
      </c>
      <c r="D488" s="4" t="s">
        <v>372</v>
      </c>
      <c r="E488" s="4" t="s">
        <v>563</v>
      </c>
      <c r="F488" s="5" t="s">
        <v>571</v>
      </c>
      <c r="G488" t="s">
        <v>565</v>
      </c>
    </row>
    <row r="489" spans="1:7" x14ac:dyDescent="0.3">
      <c r="A489" s="4">
        <v>490</v>
      </c>
      <c r="B489" s="5">
        <v>32535369</v>
      </c>
      <c r="C489" s="4" t="s">
        <v>477</v>
      </c>
      <c r="D489" s="4" t="s">
        <v>372</v>
      </c>
      <c r="E489" s="4" t="s">
        <v>563</v>
      </c>
      <c r="F489" s="5" t="s">
        <v>571</v>
      </c>
      <c r="G489" t="s">
        <v>565</v>
      </c>
    </row>
    <row r="490" spans="1:7" x14ac:dyDescent="0.3">
      <c r="A490" s="4">
        <v>491</v>
      </c>
      <c r="B490" s="5">
        <v>33255246</v>
      </c>
      <c r="C490" s="4" t="s">
        <v>478</v>
      </c>
      <c r="D490" s="4" t="s">
        <v>372</v>
      </c>
      <c r="E490" s="4" t="s">
        <v>563</v>
      </c>
      <c r="F490" s="5" t="s">
        <v>574</v>
      </c>
      <c r="G490" t="s">
        <v>565</v>
      </c>
    </row>
    <row r="491" spans="1:7" x14ac:dyDescent="0.3">
      <c r="A491" s="4">
        <v>492</v>
      </c>
      <c r="B491" s="5">
        <v>3569578</v>
      </c>
      <c r="C491" s="4" t="s">
        <v>479</v>
      </c>
      <c r="D491" s="4" t="s">
        <v>372</v>
      </c>
      <c r="E491" s="4" t="s">
        <v>563</v>
      </c>
      <c r="F491" s="5" t="s">
        <v>571</v>
      </c>
      <c r="G491" t="s">
        <v>565</v>
      </c>
    </row>
    <row r="492" spans="1:7" x14ac:dyDescent="0.3">
      <c r="A492" s="4">
        <v>493</v>
      </c>
      <c r="B492" s="5">
        <v>3575338</v>
      </c>
      <c r="C492" s="4" t="s">
        <v>480</v>
      </c>
      <c r="D492" s="4" t="s">
        <v>372</v>
      </c>
      <c r="E492" s="4" t="s">
        <v>563</v>
      </c>
      <c r="F492" s="5" t="s">
        <v>571</v>
      </c>
      <c r="G492" t="s">
        <v>565</v>
      </c>
    </row>
    <row r="493" spans="1:7" x14ac:dyDescent="0.3">
      <c r="A493" s="4">
        <v>494</v>
      </c>
      <c r="B493" s="5">
        <v>39268214</v>
      </c>
      <c r="C493" s="4" t="s">
        <v>481</v>
      </c>
      <c r="D493" s="4" t="s">
        <v>372</v>
      </c>
      <c r="E493" s="4" t="s">
        <v>563</v>
      </c>
      <c r="F493" s="5" t="s">
        <v>571</v>
      </c>
      <c r="G493" t="s">
        <v>565</v>
      </c>
    </row>
    <row r="494" spans="1:7" x14ac:dyDescent="0.3">
      <c r="A494" s="4">
        <v>495</v>
      </c>
      <c r="B494" s="5">
        <v>39384513</v>
      </c>
      <c r="C494" s="4" t="s">
        <v>482</v>
      </c>
      <c r="D494" s="4" t="s">
        <v>372</v>
      </c>
      <c r="E494" s="4" t="s">
        <v>563</v>
      </c>
      <c r="F494" s="5" t="s">
        <v>571</v>
      </c>
      <c r="G494" t="s">
        <v>565</v>
      </c>
    </row>
    <row r="495" spans="1:7" x14ac:dyDescent="0.3">
      <c r="A495" s="4">
        <v>496</v>
      </c>
      <c r="B495" s="5">
        <v>41632550</v>
      </c>
      <c r="C495" s="4" t="s">
        <v>449</v>
      </c>
      <c r="D495" s="4" t="s">
        <v>372</v>
      </c>
      <c r="E495" s="4" t="s">
        <v>563</v>
      </c>
      <c r="F495" s="5" t="s">
        <v>577</v>
      </c>
      <c r="G495" t="s">
        <v>565</v>
      </c>
    </row>
    <row r="496" spans="1:7" x14ac:dyDescent="0.3">
      <c r="A496" s="4">
        <v>497</v>
      </c>
      <c r="B496" s="5">
        <v>42128788</v>
      </c>
      <c r="C496" s="4" t="s">
        <v>483</v>
      </c>
      <c r="D496" s="4" t="s">
        <v>372</v>
      </c>
      <c r="E496" s="4" t="s">
        <v>563</v>
      </c>
      <c r="F496" s="5" t="s">
        <v>576</v>
      </c>
      <c r="G496" t="s">
        <v>565</v>
      </c>
    </row>
    <row r="497" spans="1:7" x14ac:dyDescent="0.3">
      <c r="A497" s="4">
        <v>498</v>
      </c>
      <c r="B497" s="5">
        <v>42701708</v>
      </c>
      <c r="C497" s="4" t="s">
        <v>484</v>
      </c>
      <c r="D497" s="4" t="s">
        <v>372</v>
      </c>
      <c r="E497" s="4" t="s">
        <v>563</v>
      </c>
      <c r="F497" s="5" t="s">
        <v>577</v>
      </c>
      <c r="G497" t="s">
        <v>565</v>
      </c>
    </row>
    <row r="498" spans="1:7" x14ac:dyDescent="0.3">
      <c r="A498" s="4">
        <v>499</v>
      </c>
      <c r="B498" s="5">
        <v>42767896</v>
      </c>
      <c r="C498" s="4" t="s">
        <v>485</v>
      </c>
      <c r="D498" s="4" t="s">
        <v>372</v>
      </c>
      <c r="E498" s="4" t="s">
        <v>563</v>
      </c>
      <c r="F498" s="5" t="s">
        <v>571</v>
      </c>
      <c r="G498" t="s">
        <v>565</v>
      </c>
    </row>
    <row r="499" spans="1:7" x14ac:dyDescent="0.3">
      <c r="A499" s="4">
        <v>500</v>
      </c>
      <c r="B499" s="5">
        <v>42772039</v>
      </c>
      <c r="C499" s="4" t="s">
        <v>486</v>
      </c>
      <c r="D499" s="4" t="s">
        <v>372</v>
      </c>
      <c r="E499" s="4" t="s">
        <v>563</v>
      </c>
      <c r="F499" s="5" t="s">
        <v>571</v>
      </c>
      <c r="G499" t="s">
        <v>565</v>
      </c>
    </row>
    <row r="500" spans="1:7" x14ac:dyDescent="0.3">
      <c r="A500" s="4">
        <v>501</v>
      </c>
      <c r="B500" s="5">
        <v>42884497</v>
      </c>
      <c r="C500" s="4" t="s">
        <v>487</v>
      </c>
      <c r="D500" s="4" t="s">
        <v>372</v>
      </c>
      <c r="E500" s="4" t="s">
        <v>563</v>
      </c>
      <c r="F500" s="5" t="s">
        <v>577</v>
      </c>
      <c r="G500" t="s">
        <v>565</v>
      </c>
    </row>
    <row r="501" spans="1:7" x14ac:dyDescent="0.3">
      <c r="A501" s="4">
        <v>502</v>
      </c>
      <c r="B501" s="5">
        <v>42973581</v>
      </c>
      <c r="C501" s="4" t="s">
        <v>488</v>
      </c>
      <c r="D501" s="4" t="s">
        <v>372</v>
      </c>
      <c r="E501" s="4" t="s">
        <v>563</v>
      </c>
      <c r="F501" s="5" t="s">
        <v>571</v>
      </c>
      <c r="G501" t="s">
        <v>565</v>
      </c>
    </row>
    <row r="502" spans="1:7" x14ac:dyDescent="0.3">
      <c r="A502" s="4">
        <v>503</v>
      </c>
      <c r="B502" s="5">
        <v>42977679</v>
      </c>
      <c r="C502" s="4" t="s">
        <v>489</v>
      </c>
      <c r="D502" s="4" t="s">
        <v>372</v>
      </c>
      <c r="E502" s="4" t="s">
        <v>563</v>
      </c>
      <c r="F502" s="5" t="s">
        <v>571</v>
      </c>
      <c r="G502" t="s">
        <v>565</v>
      </c>
    </row>
    <row r="503" spans="1:7" x14ac:dyDescent="0.3">
      <c r="A503" s="4">
        <v>504</v>
      </c>
      <c r="B503" s="5">
        <v>42991676</v>
      </c>
      <c r="C503" s="4" t="s">
        <v>490</v>
      </c>
      <c r="D503" s="4" t="s">
        <v>372</v>
      </c>
      <c r="E503" s="4" t="s">
        <v>563</v>
      </c>
      <c r="F503" s="5" t="s">
        <v>574</v>
      </c>
      <c r="G503" t="s">
        <v>565</v>
      </c>
    </row>
    <row r="504" spans="1:7" x14ac:dyDescent="0.3">
      <c r="A504" s="4">
        <v>505</v>
      </c>
      <c r="B504" s="5">
        <v>42995862</v>
      </c>
      <c r="C504" s="4" t="s">
        <v>491</v>
      </c>
      <c r="D504" s="4" t="s">
        <v>372</v>
      </c>
      <c r="E504" s="4" t="s">
        <v>563</v>
      </c>
      <c r="F504" s="5" t="s">
        <v>571</v>
      </c>
      <c r="G504" t="s">
        <v>565</v>
      </c>
    </row>
    <row r="505" spans="1:7" x14ac:dyDescent="0.3">
      <c r="A505" s="4">
        <v>506</v>
      </c>
      <c r="B505" s="5">
        <v>43034542</v>
      </c>
      <c r="C505" s="4" t="s">
        <v>492</v>
      </c>
      <c r="D505" s="4" t="s">
        <v>372</v>
      </c>
      <c r="E505" s="4" t="s">
        <v>563</v>
      </c>
      <c r="F505" s="5" t="s">
        <v>571</v>
      </c>
      <c r="G505" t="s">
        <v>565</v>
      </c>
    </row>
    <row r="506" spans="1:7" x14ac:dyDescent="0.3">
      <c r="A506" s="4">
        <v>507</v>
      </c>
      <c r="B506" s="5">
        <v>43057779</v>
      </c>
      <c r="C506" s="4" t="s">
        <v>493</v>
      </c>
      <c r="D506" s="4" t="s">
        <v>372</v>
      </c>
      <c r="E506" s="4" t="s">
        <v>563</v>
      </c>
      <c r="F506" s="5" t="s">
        <v>572</v>
      </c>
      <c r="G506" t="s">
        <v>565</v>
      </c>
    </row>
    <row r="507" spans="1:7" x14ac:dyDescent="0.3">
      <c r="A507" s="4">
        <v>508</v>
      </c>
      <c r="B507" s="5">
        <v>43062092</v>
      </c>
      <c r="C507" s="4" t="s">
        <v>494</v>
      </c>
      <c r="D507" s="4" t="s">
        <v>372</v>
      </c>
      <c r="E507" s="4" t="s">
        <v>563</v>
      </c>
      <c r="F507" s="5" t="s">
        <v>573</v>
      </c>
      <c r="G507" t="s">
        <v>565</v>
      </c>
    </row>
    <row r="508" spans="1:7" x14ac:dyDescent="0.3">
      <c r="A508" s="4">
        <v>509</v>
      </c>
      <c r="B508" s="5">
        <v>43066859</v>
      </c>
      <c r="C508" s="4" t="s">
        <v>495</v>
      </c>
      <c r="D508" s="4" t="s">
        <v>372</v>
      </c>
      <c r="E508" s="4" t="s">
        <v>563</v>
      </c>
      <c r="F508" s="5" t="s">
        <v>571</v>
      </c>
      <c r="G508" t="s">
        <v>565</v>
      </c>
    </row>
    <row r="509" spans="1:7" x14ac:dyDescent="0.3">
      <c r="A509" s="4">
        <v>510</v>
      </c>
      <c r="B509" s="5">
        <v>43069093</v>
      </c>
      <c r="C509" s="4" t="s">
        <v>496</v>
      </c>
      <c r="D509" s="4" t="s">
        <v>372</v>
      </c>
      <c r="E509" s="4" t="s">
        <v>563</v>
      </c>
      <c r="F509" s="5" t="s">
        <v>571</v>
      </c>
      <c r="G509" t="s">
        <v>565</v>
      </c>
    </row>
    <row r="510" spans="1:7" x14ac:dyDescent="0.3">
      <c r="A510" s="4">
        <v>511</v>
      </c>
      <c r="B510" s="5">
        <v>43070884</v>
      </c>
      <c r="C510" s="4" t="s">
        <v>497</v>
      </c>
      <c r="D510" s="4" t="s">
        <v>372</v>
      </c>
      <c r="E510" s="4" t="s">
        <v>563</v>
      </c>
      <c r="F510" s="5" t="s">
        <v>571</v>
      </c>
      <c r="G510" t="s">
        <v>565</v>
      </c>
    </row>
    <row r="511" spans="1:7" x14ac:dyDescent="0.3">
      <c r="A511" s="4">
        <v>512</v>
      </c>
      <c r="B511" s="5">
        <v>43075851</v>
      </c>
      <c r="C511" s="4" t="s">
        <v>123</v>
      </c>
      <c r="D511" s="4" t="s">
        <v>372</v>
      </c>
      <c r="E511" s="4" t="s">
        <v>563</v>
      </c>
      <c r="F511" s="5" t="s">
        <v>571</v>
      </c>
      <c r="G511" t="s">
        <v>565</v>
      </c>
    </row>
    <row r="512" spans="1:7" x14ac:dyDescent="0.3">
      <c r="A512" s="4">
        <v>513</v>
      </c>
      <c r="B512" s="5">
        <v>43085637</v>
      </c>
      <c r="C512" s="4" t="s">
        <v>498</v>
      </c>
      <c r="D512" s="4" t="s">
        <v>372</v>
      </c>
      <c r="E512" s="4" t="s">
        <v>563</v>
      </c>
      <c r="F512" s="5" t="s">
        <v>571</v>
      </c>
      <c r="G512" t="s">
        <v>565</v>
      </c>
    </row>
    <row r="513" spans="1:7" x14ac:dyDescent="0.3">
      <c r="A513" s="4">
        <v>514</v>
      </c>
      <c r="B513" s="5">
        <v>43100739</v>
      </c>
      <c r="C513" s="4" t="s">
        <v>499</v>
      </c>
      <c r="D513" s="4" t="s">
        <v>372</v>
      </c>
      <c r="E513" s="4" t="s">
        <v>563</v>
      </c>
      <c r="F513" s="5" t="s">
        <v>571</v>
      </c>
      <c r="G513" t="s">
        <v>565</v>
      </c>
    </row>
    <row r="514" spans="1:7" x14ac:dyDescent="0.3">
      <c r="A514" s="4">
        <v>515</v>
      </c>
      <c r="B514" s="5">
        <v>43101586</v>
      </c>
      <c r="C514" s="4" t="s">
        <v>500</v>
      </c>
      <c r="D514" s="4" t="s">
        <v>372</v>
      </c>
      <c r="E514" s="4" t="s">
        <v>563</v>
      </c>
      <c r="F514" s="5" t="s">
        <v>571</v>
      </c>
      <c r="G514" t="s">
        <v>565</v>
      </c>
    </row>
    <row r="515" spans="1:7" x14ac:dyDescent="0.3">
      <c r="A515" s="4">
        <v>516</v>
      </c>
      <c r="B515" s="5">
        <v>43141643</v>
      </c>
      <c r="C515" s="4" t="s">
        <v>501</v>
      </c>
      <c r="D515" s="4" t="s">
        <v>372</v>
      </c>
      <c r="E515" s="4" t="s">
        <v>563</v>
      </c>
      <c r="F515" s="5" t="s">
        <v>571</v>
      </c>
      <c r="G515" t="s">
        <v>565</v>
      </c>
    </row>
    <row r="516" spans="1:7" x14ac:dyDescent="0.3">
      <c r="A516" s="4">
        <v>517</v>
      </c>
      <c r="B516" s="5">
        <v>43150064</v>
      </c>
      <c r="C516" s="4" t="s">
        <v>502</v>
      </c>
      <c r="D516" s="4" t="s">
        <v>372</v>
      </c>
      <c r="E516" s="4" t="s">
        <v>563</v>
      </c>
      <c r="F516" s="5" t="s">
        <v>577</v>
      </c>
      <c r="G516" t="s">
        <v>565</v>
      </c>
    </row>
    <row r="517" spans="1:7" x14ac:dyDescent="0.3">
      <c r="A517" s="4">
        <v>518</v>
      </c>
      <c r="B517" s="5">
        <v>43152836</v>
      </c>
      <c r="C517" s="4" t="s">
        <v>503</v>
      </c>
      <c r="D517" s="4" t="s">
        <v>372</v>
      </c>
      <c r="E517" s="4" t="s">
        <v>563</v>
      </c>
      <c r="F517" s="5" t="s">
        <v>571</v>
      </c>
      <c r="G517" t="s">
        <v>565</v>
      </c>
    </row>
    <row r="518" spans="1:7" x14ac:dyDescent="0.3">
      <c r="A518" s="4">
        <v>519</v>
      </c>
      <c r="B518" s="5">
        <v>43203228</v>
      </c>
      <c r="C518" s="4" t="s">
        <v>504</v>
      </c>
      <c r="D518" s="4" t="s">
        <v>372</v>
      </c>
      <c r="E518" s="4" t="s">
        <v>563</v>
      </c>
      <c r="F518" s="5" t="s">
        <v>577</v>
      </c>
      <c r="G518" t="s">
        <v>565</v>
      </c>
    </row>
    <row r="519" spans="1:7" x14ac:dyDescent="0.3">
      <c r="A519" s="4">
        <v>520</v>
      </c>
      <c r="B519" s="5">
        <v>43251278</v>
      </c>
      <c r="C519" s="4" t="s">
        <v>505</v>
      </c>
      <c r="D519" s="4" t="s">
        <v>372</v>
      </c>
      <c r="E519" s="4" t="s">
        <v>563</v>
      </c>
      <c r="F519" s="5" t="s">
        <v>571</v>
      </c>
      <c r="G519" t="s">
        <v>565</v>
      </c>
    </row>
    <row r="520" spans="1:7" x14ac:dyDescent="0.3">
      <c r="A520" s="4">
        <v>521</v>
      </c>
      <c r="B520" s="5">
        <v>43259030</v>
      </c>
      <c r="C520" s="4" t="s">
        <v>506</v>
      </c>
      <c r="D520" s="4" t="s">
        <v>372</v>
      </c>
      <c r="E520" s="4" t="s">
        <v>563</v>
      </c>
      <c r="F520" s="5" t="s">
        <v>576</v>
      </c>
      <c r="G520" t="s">
        <v>565</v>
      </c>
    </row>
    <row r="521" spans="1:7" x14ac:dyDescent="0.3">
      <c r="A521" s="4">
        <v>522</v>
      </c>
      <c r="B521" s="5">
        <v>43268570</v>
      </c>
      <c r="C521" s="4" t="s">
        <v>507</v>
      </c>
      <c r="D521" s="4" t="s">
        <v>372</v>
      </c>
      <c r="E521" s="4" t="s">
        <v>563</v>
      </c>
      <c r="F521" s="5" t="s">
        <v>571</v>
      </c>
      <c r="G521" t="s">
        <v>565</v>
      </c>
    </row>
    <row r="522" spans="1:7" x14ac:dyDescent="0.3">
      <c r="A522" s="4">
        <v>523</v>
      </c>
      <c r="B522" s="5">
        <v>43269156</v>
      </c>
      <c r="C522" s="4" t="s">
        <v>508</v>
      </c>
      <c r="D522" s="4" t="s">
        <v>372</v>
      </c>
      <c r="E522" s="4" t="s">
        <v>563</v>
      </c>
      <c r="F522" s="5" t="s">
        <v>571</v>
      </c>
      <c r="G522" t="s">
        <v>565</v>
      </c>
    </row>
    <row r="523" spans="1:7" x14ac:dyDescent="0.3">
      <c r="A523" s="4">
        <v>524</v>
      </c>
      <c r="B523" s="5">
        <v>43275340</v>
      </c>
      <c r="C523" s="4" t="s">
        <v>509</v>
      </c>
      <c r="D523" s="4" t="s">
        <v>372</v>
      </c>
      <c r="E523" s="4" t="s">
        <v>563</v>
      </c>
      <c r="F523" s="5" t="e">
        <v>#N/A</v>
      </c>
      <c r="G523" t="s">
        <v>565</v>
      </c>
    </row>
    <row r="524" spans="1:7" x14ac:dyDescent="0.3">
      <c r="A524" s="4">
        <v>525</v>
      </c>
      <c r="B524" s="5">
        <v>43279706</v>
      </c>
      <c r="C524" s="4" t="s">
        <v>510</v>
      </c>
      <c r="D524" s="4" t="s">
        <v>372</v>
      </c>
      <c r="E524" s="4" t="s">
        <v>563</v>
      </c>
      <c r="F524" s="5" t="s">
        <v>571</v>
      </c>
      <c r="G524" t="s">
        <v>565</v>
      </c>
    </row>
    <row r="525" spans="1:7" x14ac:dyDescent="0.3">
      <c r="A525" s="4">
        <v>526</v>
      </c>
      <c r="B525" s="5">
        <v>43286202</v>
      </c>
      <c r="C525" s="4" t="s">
        <v>511</v>
      </c>
      <c r="D525" s="4" t="s">
        <v>372</v>
      </c>
      <c r="E525" s="4" t="s">
        <v>563</v>
      </c>
      <c r="F525" s="5" t="s">
        <v>571</v>
      </c>
      <c r="G525" t="s">
        <v>565</v>
      </c>
    </row>
    <row r="526" spans="1:7" x14ac:dyDescent="0.3">
      <c r="A526" s="4">
        <v>527</v>
      </c>
      <c r="B526" s="5">
        <v>43380042</v>
      </c>
      <c r="C526" s="4" t="s">
        <v>512</v>
      </c>
      <c r="D526" s="4" t="s">
        <v>372</v>
      </c>
      <c r="E526" s="4" t="s">
        <v>563</v>
      </c>
      <c r="F526" s="5" t="s">
        <v>571</v>
      </c>
      <c r="G526" t="s">
        <v>565</v>
      </c>
    </row>
    <row r="527" spans="1:7" x14ac:dyDescent="0.3">
      <c r="A527" s="4">
        <v>528</v>
      </c>
      <c r="B527" s="5">
        <v>43380718</v>
      </c>
      <c r="C527" s="4" t="s">
        <v>513</v>
      </c>
      <c r="D527" s="4" t="s">
        <v>372</v>
      </c>
      <c r="E527" s="4" t="s">
        <v>563</v>
      </c>
      <c r="F527" s="5" t="s">
        <v>577</v>
      </c>
      <c r="G527" t="s">
        <v>565</v>
      </c>
    </row>
    <row r="528" spans="1:7" x14ac:dyDescent="0.3">
      <c r="A528" s="4">
        <v>529</v>
      </c>
      <c r="B528" s="5">
        <v>43381458</v>
      </c>
      <c r="C528" s="4" t="s">
        <v>514</v>
      </c>
      <c r="D528" s="4" t="s">
        <v>372</v>
      </c>
      <c r="E528" s="4" t="s">
        <v>563</v>
      </c>
      <c r="F528" s="5" t="s">
        <v>571</v>
      </c>
      <c r="G528" t="s">
        <v>565</v>
      </c>
    </row>
    <row r="529" spans="1:7" x14ac:dyDescent="0.3">
      <c r="A529" s="4">
        <v>530</v>
      </c>
      <c r="B529" s="5">
        <v>43381830</v>
      </c>
      <c r="C529" s="4" t="s">
        <v>515</v>
      </c>
      <c r="D529" s="4" t="s">
        <v>372</v>
      </c>
      <c r="E529" s="4" t="s">
        <v>563</v>
      </c>
      <c r="F529" s="5" t="s">
        <v>571</v>
      </c>
      <c r="G529" t="s">
        <v>565</v>
      </c>
    </row>
    <row r="530" spans="1:7" x14ac:dyDescent="0.3">
      <c r="A530" s="4">
        <v>531</v>
      </c>
      <c r="B530" s="5">
        <v>43382433</v>
      </c>
      <c r="C530" s="4" t="s">
        <v>516</v>
      </c>
      <c r="D530" s="4" t="s">
        <v>372</v>
      </c>
      <c r="E530" s="4" t="s">
        <v>563</v>
      </c>
      <c r="F530" s="5" t="s">
        <v>571</v>
      </c>
      <c r="G530" t="s">
        <v>565</v>
      </c>
    </row>
    <row r="531" spans="1:7" x14ac:dyDescent="0.3">
      <c r="A531" s="4">
        <v>532</v>
      </c>
      <c r="B531" s="5">
        <v>43441449</v>
      </c>
      <c r="C531" s="4" t="s">
        <v>517</v>
      </c>
      <c r="D531" s="4" t="s">
        <v>372</v>
      </c>
      <c r="E531" s="4" t="s">
        <v>563</v>
      </c>
      <c r="F531" s="5" t="s">
        <v>577</v>
      </c>
      <c r="G531" t="s">
        <v>565</v>
      </c>
    </row>
    <row r="532" spans="1:7" x14ac:dyDescent="0.3">
      <c r="A532" s="4">
        <v>533</v>
      </c>
      <c r="B532" s="5">
        <v>43485410</v>
      </c>
      <c r="C532" s="4" t="s">
        <v>518</v>
      </c>
      <c r="D532" s="4" t="s">
        <v>372</v>
      </c>
      <c r="E532" s="4" t="s">
        <v>563</v>
      </c>
      <c r="F532" s="5" t="s">
        <v>571</v>
      </c>
      <c r="G532" t="s">
        <v>565</v>
      </c>
    </row>
    <row r="533" spans="1:7" x14ac:dyDescent="0.3">
      <c r="A533" s="4">
        <v>534</v>
      </c>
      <c r="B533" s="5">
        <v>43489779</v>
      </c>
      <c r="C533" s="4" t="s">
        <v>508</v>
      </c>
      <c r="D533" s="4" t="s">
        <v>372</v>
      </c>
      <c r="E533" s="4" t="s">
        <v>563</v>
      </c>
      <c r="F533" s="5" t="s">
        <v>574</v>
      </c>
      <c r="G533" t="s">
        <v>565</v>
      </c>
    </row>
    <row r="534" spans="1:7" x14ac:dyDescent="0.3">
      <c r="A534" s="4">
        <v>535</v>
      </c>
      <c r="B534" s="5">
        <v>43533488</v>
      </c>
      <c r="C534" s="4" t="s">
        <v>519</v>
      </c>
      <c r="D534" s="4" t="s">
        <v>372</v>
      </c>
      <c r="E534" s="4" t="s">
        <v>563</v>
      </c>
      <c r="F534" s="5" t="s">
        <v>577</v>
      </c>
      <c r="G534" t="s">
        <v>565</v>
      </c>
    </row>
    <row r="535" spans="1:7" x14ac:dyDescent="0.3">
      <c r="A535" s="4">
        <v>536</v>
      </c>
      <c r="B535" s="5">
        <v>43535348</v>
      </c>
      <c r="C535" s="4" t="s">
        <v>520</v>
      </c>
      <c r="D535" s="4" t="s">
        <v>372</v>
      </c>
      <c r="E535" s="4" t="s">
        <v>563</v>
      </c>
      <c r="F535" s="5" t="s">
        <v>574</v>
      </c>
      <c r="G535" t="s">
        <v>565</v>
      </c>
    </row>
    <row r="536" spans="1:7" x14ac:dyDescent="0.3">
      <c r="A536" s="4">
        <v>537</v>
      </c>
      <c r="B536" s="5">
        <v>43542284</v>
      </c>
      <c r="C536" s="4" t="s">
        <v>521</v>
      </c>
      <c r="D536" s="4" t="s">
        <v>372</v>
      </c>
      <c r="E536" s="4" t="s">
        <v>563</v>
      </c>
      <c r="F536" s="5" t="s">
        <v>571</v>
      </c>
      <c r="G536" t="s">
        <v>565</v>
      </c>
    </row>
    <row r="537" spans="1:7" x14ac:dyDescent="0.3">
      <c r="A537" s="4">
        <v>538</v>
      </c>
      <c r="B537" s="5">
        <v>43566435</v>
      </c>
      <c r="C537" s="4" t="s">
        <v>522</v>
      </c>
      <c r="D537" s="4" t="s">
        <v>372</v>
      </c>
      <c r="E537" s="4" t="s">
        <v>563</v>
      </c>
      <c r="F537" s="5" t="s">
        <v>574</v>
      </c>
      <c r="G537" t="s">
        <v>565</v>
      </c>
    </row>
    <row r="538" spans="1:7" x14ac:dyDescent="0.3">
      <c r="A538" s="4">
        <v>539</v>
      </c>
      <c r="B538" s="5">
        <v>43567075</v>
      </c>
      <c r="C538" s="4" t="s">
        <v>523</v>
      </c>
      <c r="D538" s="4" t="s">
        <v>372</v>
      </c>
      <c r="E538" s="4" t="s">
        <v>563</v>
      </c>
      <c r="F538" s="5" t="s">
        <v>571</v>
      </c>
      <c r="G538" t="s">
        <v>565</v>
      </c>
    </row>
    <row r="539" spans="1:7" x14ac:dyDescent="0.3">
      <c r="A539" s="4">
        <v>540</v>
      </c>
      <c r="B539" s="5">
        <v>43570005</v>
      </c>
      <c r="C539" s="4" t="s">
        <v>524</v>
      </c>
      <c r="D539" s="4" t="s">
        <v>372</v>
      </c>
      <c r="E539" s="4" t="s">
        <v>563</v>
      </c>
      <c r="F539" s="5" t="s">
        <v>574</v>
      </c>
      <c r="G539" t="s">
        <v>565</v>
      </c>
    </row>
    <row r="540" spans="1:7" x14ac:dyDescent="0.3">
      <c r="A540" s="4">
        <v>541</v>
      </c>
      <c r="B540" s="5">
        <v>43582831</v>
      </c>
      <c r="C540" s="4" t="s">
        <v>525</v>
      </c>
      <c r="D540" s="4" t="s">
        <v>372</v>
      </c>
      <c r="E540" s="4" t="s">
        <v>563</v>
      </c>
      <c r="F540" s="5" t="s">
        <v>571</v>
      </c>
      <c r="G540" t="s">
        <v>565</v>
      </c>
    </row>
    <row r="541" spans="1:7" x14ac:dyDescent="0.3">
      <c r="A541" s="4">
        <v>542</v>
      </c>
      <c r="B541" s="5">
        <v>43594778</v>
      </c>
      <c r="C541" s="4" t="s">
        <v>526</v>
      </c>
      <c r="D541" s="4" t="s">
        <v>372</v>
      </c>
      <c r="E541" s="4" t="s">
        <v>563</v>
      </c>
      <c r="F541" s="5" t="s">
        <v>576</v>
      </c>
      <c r="G541" t="s">
        <v>565</v>
      </c>
    </row>
    <row r="542" spans="1:7" x14ac:dyDescent="0.3">
      <c r="A542" s="4">
        <v>543</v>
      </c>
      <c r="B542" s="5">
        <v>43597042</v>
      </c>
      <c r="C542" s="4" t="s">
        <v>527</v>
      </c>
      <c r="D542" s="4" t="s">
        <v>372</v>
      </c>
      <c r="E542" s="4" t="s">
        <v>563</v>
      </c>
      <c r="F542" s="5" t="s">
        <v>576</v>
      </c>
      <c r="G542" t="s">
        <v>565</v>
      </c>
    </row>
    <row r="543" spans="1:7" x14ac:dyDescent="0.3">
      <c r="A543" s="4">
        <v>544</v>
      </c>
      <c r="B543" s="5">
        <v>43600211</v>
      </c>
      <c r="C543" s="4" t="s">
        <v>528</v>
      </c>
      <c r="D543" s="4" t="s">
        <v>372</v>
      </c>
      <c r="E543" s="4" t="s">
        <v>563</v>
      </c>
      <c r="F543" s="5" t="s">
        <v>571</v>
      </c>
      <c r="G543" t="s">
        <v>565</v>
      </c>
    </row>
    <row r="544" spans="1:7" x14ac:dyDescent="0.3">
      <c r="A544" s="4">
        <v>545</v>
      </c>
      <c r="B544" s="5">
        <v>43600567</v>
      </c>
      <c r="C544" s="4" t="s">
        <v>529</v>
      </c>
      <c r="D544" s="4" t="s">
        <v>372</v>
      </c>
      <c r="E544" s="4" t="s">
        <v>563</v>
      </c>
      <c r="F544" s="5" t="s">
        <v>571</v>
      </c>
      <c r="G544" t="s">
        <v>565</v>
      </c>
    </row>
    <row r="545" spans="1:7" x14ac:dyDescent="0.3">
      <c r="A545" s="4">
        <v>546</v>
      </c>
      <c r="B545" s="5">
        <v>43604079</v>
      </c>
      <c r="C545" s="4" t="s">
        <v>530</v>
      </c>
      <c r="D545" s="4" t="s">
        <v>372</v>
      </c>
      <c r="E545" s="4" t="s">
        <v>563</v>
      </c>
      <c r="F545" s="5" t="e">
        <v>#N/A</v>
      </c>
      <c r="G545" t="s">
        <v>565</v>
      </c>
    </row>
    <row r="546" spans="1:7" x14ac:dyDescent="0.3">
      <c r="A546" s="4">
        <v>547</v>
      </c>
      <c r="B546" s="5">
        <v>43605902</v>
      </c>
      <c r="C546" s="4" t="s">
        <v>531</v>
      </c>
      <c r="D546" s="4" t="s">
        <v>372</v>
      </c>
      <c r="E546" s="4" t="s">
        <v>563</v>
      </c>
      <c r="F546" s="5" t="s">
        <v>573</v>
      </c>
      <c r="G546" t="s">
        <v>565</v>
      </c>
    </row>
    <row r="547" spans="1:7" x14ac:dyDescent="0.3">
      <c r="A547" s="4">
        <v>548</v>
      </c>
      <c r="B547" s="5">
        <v>43607068</v>
      </c>
      <c r="C547" s="4" t="s">
        <v>532</v>
      </c>
      <c r="D547" s="4" t="s">
        <v>372</v>
      </c>
      <c r="E547" s="4" t="s">
        <v>563</v>
      </c>
      <c r="F547" s="5" t="s">
        <v>571</v>
      </c>
      <c r="G547" t="s">
        <v>565</v>
      </c>
    </row>
    <row r="548" spans="1:7" x14ac:dyDescent="0.3">
      <c r="A548" s="4">
        <v>549</v>
      </c>
      <c r="B548" s="5">
        <v>43611767</v>
      </c>
      <c r="C548" s="4" t="s">
        <v>533</v>
      </c>
      <c r="D548" s="4" t="s">
        <v>372</v>
      </c>
      <c r="E548" s="4" t="s">
        <v>563</v>
      </c>
      <c r="F548" s="5" t="s">
        <v>571</v>
      </c>
      <c r="G548" t="s">
        <v>565</v>
      </c>
    </row>
    <row r="549" spans="1:7" x14ac:dyDescent="0.3">
      <c r="A549" s="4">
        <v>550</v>
      </c>
      <c r="B549" s="5">
        <v>43613777</v>
      </c>
      <c r="C549" s="4" t="s">
        <v>534</v>
      </c>
      <c r="D549" s="4" t="s">
        <v>372</v>
      </c>
      <c r="E549" s="4" t="s">
        <v>563</v>
      </c>
      <c r="F549" s="5" t="s">
        <v>576</v>
      </c>
      <c r="G549" t="s">
        <v>565</v>
      </c>
    </row>
    <row r="550" spans="1:7" x14ac:dyDescent="0.3">
      <c r="A550" s="4">
        <v>551</v>
      </c>
      <c r="B550" s="5">
        <v>43615569</v>
      </c>
      <c r="C550" s="4" t="s">
        <v>535</v>
      </c>
      <c r="D550" s="4" t="s">
        <v>372</v>
      </c>
      <c r="E550" s="4" t="s">
        <v>563</v>
      </c>
      <c r="F550" s="5" t="s">
        <v>576</v>
      </c>
      <c r="G550" t="s">
        <v>565</v>
      </c>
    </row>
    <row r="551" spans="1:7" x14ac:dyDescent="0.3">
      <c r="A551" s="4">
        <v>552</v>
      </c>
      <c r="B551" s="5">
        <v>43634284</v>
      </c>
      <c r="C551" s="4" t="s">
        <v>536</v>
      </c>
      <c r="D551" s="4" t="s">
        <v>372</v>
      </c>
      <c r="E551" s="4" t="s">
        <v>563</v>
      </c>
      <c r="F551" s="5" t="s">
        <v>573</v>
      </c>
      <c r="G551" t="s">
        <v>565</v>
      </c>
    </row>
    <row r="552" spans="1:7" x14ac:dyDescent="0.3">
      <c r="A552" s="4">
        <v>553</v>
      </c>
      <c r="B552" s="5">
        <v>43639779</v>
      </c>
      <c r="C552" s="4" t="s">
        <v>537</v>
      </c>
      <c r="D552" s="4" t="s">
        <v>372</v>
      </c>
      <c r="E552" s="4" t="s">
        <v>563</v>
      </c>
      <c r="F552" s="5" t="s">
        <v>571</v>
      </c>
      <c r="G552" t="s">
        <v>565</v>
      </c>
    </row>
    <row r="553" spans="1:7" x14ac:dyDescent="0.3">
      <c r="A553" s="4">
        <v>554</v>
      </c>
      <c r="B553" s="5">
        <v>43640603</v>
      </c>
      <c r="C553" s="4" t="s">
        <v>538</v>
      </c>
      <c r="D553" s="4" t="s">
        <v>372</v>
      </c>
      <c r="E553" s="4" t="s">
        <v>563</v>
      </c>
      <c r="F553" s="5" t="s">
        <v>571</v>
      </c>
      <c r="G553" t="s">
        <v>565</v>
      </c>
    </row>
    <row r="554" spans="1:7" x14ac:dyDescent="0.3">
      <c r="A554" s="4">
        <v>555</v>
      </c>
      <c r="B554" s="5">
        <v>43681503</v>
      </c>
      <c r="C554" s="4" t="s">
        <v>539</v>
      </c>
      <c r="D554" s="4" t="s">
        <v>372</v>
      </c>
      <c r="E554" s="4" t="s">
        <v>563</v>
      </c>
      <c r="F554" s="5" t="s">
        <v>576</v>
      </c>
      <c r="G554" t="s">
        <v>565</v>
      </c>
    </row>
    <row r="555" spans="1:7" x14ac:dyDescent="0.3">
      <c r="A555" s="4">
        <v>556</v>
      </c>
      <c r="B555" s="5">
        <v>43750015</v>
      </c>
      <c r="C555" s="4" t="s">
        <v>540</v>
      </c>
      <c r="D555" s="4" t="s">
        <v>372</v>
      </c>
      <c r="E555" s="4" t="s">
        <v>563</v>
      </c>
      <c r="F555" s="5" t="s">
        <v>571</v>
      </c>
      <c r="G555" t="s">
        <v>565</v>
      </c>
    </row>
    <row r="556" spans="1:7" x14ac:dyDescent="0.3">
      <c r="A556" s="4">
        <v>557</v>
      </c>
      <c r="B556" s="5">
        <v>43752818</v>
      </c>
      <c r="C556" s="4" t="s">
        <v>541</v>
      </c>
      <c r="D556" s="4" t="s">
        <v>372</v>
      </c>
      <c r="E556" s="4" t="s">
        <v>563</v>
      </c>
      <c r="F556" s="5" t="s">
        <v>571</v>
      </c>
      <c r="G556" t="s">
        <v>565</v>
      </c>
    </row>
    <row r="557" spans="1:7" x14ac:dyDescent="0.3">
      <c r="A557" s="4">
        <v>558</v>
      </c>
      <c r="B557" s="5">
        <v>43755833</v>
      </c>
      <c r="C557" s="4" t="s">
        <v>542</v>
      </c>
      <c r="D557" s="4" t="s">
        <v>372</v>
      </c>
      <c r="E557" s="4" t="s">
        <v>563</v>
      </c>
      <c r="F557" s="5" t="s">
        <v>571</v>
      </c>
      <c r="G557" t="s">
        <v>565</v>
      </c>
    </row>
    <row r="558" spans="1:7" x14ac:dyDescent="0.3">
      <c r="A558" s="4">
        <v>559</v>
      </c>
      <c r="B558" s="5">
        <v>43905793</v>
      </c>
      <c r="C558" s="4" t="s">
        <v>534</v>
      </c>
      <c r="D558" s="4" t="s">
        <v>372</v>
      </c>
      <c r="E558" s="4" t="s">
        <v>563</v>
      </c>
      <c r="F558" s="5" t="s">
        <v>571</v>
      </c>
      <c r="G558" t="s">
        <v>565</v>
      </c>
    </row>
    <row r="559" spans="1:7" x14ac:dyDescent="0.3">
      <c r="A559" s="4">
        <v>560</v>
      </c>
      <c r="B559" s="5">
        <v>43973029</v>
      </c>
      <c r="C559" s="4" t="s">
        <v>543</v>
      </c>
      <c r="D559" s="4" t="s">
        <v>372</v>
      </c>
      <c r="E559" s="4" t="s">
        <v>563</v>
      </c>
      <c r="F559" s="5" t="s">
        <v>574</v>
      </c>
      <c r="G559" t="s">
        <v>565</v>
      </c>
    </row>
    <row r="560" spans="1:7" x14ac:dyDescent="0.3">
      <c r="A560" s="4">
        <v>561</v>
      </c>
      <c r="B560" s="5">
        <v>44003061</v>
      </c>
      <c r="C560" s="4" t="s">
        <v>544</v>
      </c>
      <c r="D560" s="4" t="s">
        <v>372</v>
      </c>
      <c r="E560" s="4" t="s">
        <v>563</v>
      </c>
      <c r="F560" s="5" t="s">
        <v>571</v>
      </c>
      <c r="G560" t="s">
        <v>565</v>
      </c>
    </row>
    <row r="561" spans="1:7" x14ac:dyDescent="0.3">
      <c r="A561" s="4">
        <v>562</v>
      </c>
      <c r="B561" s="5">
        <v>49670234</v>
      </c>
      <c r="C561" s="4" t="s">
        <v>545</v>
      </c>
      <c r="D561" s="4" t="s">
        <v>372</v>
      </c>
      <c r="E561" s="4" t="s">
        <v>563</v>
      </c>
      <c r="F561" s="5" t="s">
        <v>571</v>
      </c>
      <c r="G561" t="s">
        <v>565</v>
      </c>
    </row>
    <row r="562" spans="1:7" x14ac:dyDescent="0.3">
      <c r="A562" s="4">
        <v>563</v>
      </c>
      <c r="B562" s="5">
        <v>49691954</v>
      </c>
      <c r="C562" s="4" t="s">
        <v>546</v>
      </c>
      <c r="D562" s="4" t="s">
        <v>372</v>
      </c>
      <c r="E562" s="4" t="s">
        <v>563</v>
      </c>
      <c r="F562" s="5" t="s">
        <v>571</v>
      </c>
      <c r="G562" t="s">
        <v>565</v>
      </c>
    </row>
    <row r="563" spans="1:7" x14ac:dyDescent="0.3">
      <c r="A563" s="4">
        <v>564</v>
      </c>
      <c r="B563" s="5">
        <v>50947411</v>
      </c>
      <c r="C563" s="4" t="s">
        <v>547</v>
      </c>
      <c r="D563" s="4" t="s">
        <v>372</v>
      </c>
      <c r="E563" s="4" t="s">
        <v>563</v>
      </c>
      <c r="F563" s="5" t="s">
        <v>577</v>
      </c>
      <c r="G563" t="s">
        <v>565</v>
      </c>
    </row>
    <row r="564" spans="1:7" x14ac:dyDescent="0.3">
      <c r="A564" s="4">
        <v>565</v>
      </c>
      <c r="B564" s="5">
        <v>670254</v>
      </c>
      <c r="C564" s="4" t="s">
        <v>548</v>
      </c>
      <c r="D564" s="4" t="s">
        <v>372</v>
      </c>
      <c r="E564" s="4" t="s">
        <v>563</v>
      </c>
      <c r="F564" s="5" t="s">
        <v>574</v>
      </c>
      <c r="G564" t="s">
        <v>565</v>
      </c>
    </row>
    <row r="565" spans="1:7" x14ac:dyDescent="0.3">
      <c r="A565" s="4">
        <v>566</v>
      </c>
      <c r="B565" s="5">
        <v>70432281</v>
      </c>
      <c r="C565" s="4" t="s">
        <v>549</v>
      </c>
      <c r="D565" s="4" t="s">
        <v>372</v>
      </c>
      <c r="E565" s="4" t="s">
        <v>563</v>
      </c>
      <c r="F565" s="5" t="s">
        <v>571</v>
      </c>
      <c r="G565" t="s">
        <v>565</v>
      </c>
    </row>
    <row r="566" spans="1:7" x14ac:dyDescent="0.3">
      <c r="A566" s="4">
        <v>567</v>
      </c>
      <c r="B566" s="5">
        <v>70540124</v>
      </c>
      <c r="C566" s="4" t="s">
        <v>550</v>
      </c>
      <c r="D566" s="4" t="s">
        <v>372</v>
      </c>
      <c r="E566" s="4" t="s">
        <v>563</v>
      </c>
      <c r="F566" s="5" t="s">
        <v>574</v>
      </c>
      <c r="G566" t="s">
        <v>565</v>
      </c>
    </row>
    <row r="567" spans="1:7" x14ac:dyDescent="0.3">
      <c r="A567" s="4">
        <v>568</v>
      </c>
      <c r="B567" s="5">
        <v>70663173</v>
      </c>
      <c r="C567" s="4" t="s">
        <v>551</v>
      </c>
      <c r="D567" s="4" t="s">
        <v>372</v>
      </c>
      <c r="E567" s="4" t="s">
        <v>563</v>
      </c>
      <c r="F567" s="5" t="s">
        <v>576</v>
      </c>
      <c r="G567" t="s">
        <v>565</v>
      </c>
    </row>
    <row r="568" spans="1:7" x14ac:dyDescent="0.3">
      <c r="A568" s="4">
        <v>569</v>
      </c>
      <c r="B568" s="5">
        <v>70721342</v>
      </c>
      <c r="C568" s="4" t="s">
        <v>552</v>
      </c>
      <c r="D568" s="4" t="s">
        <v>372</v>
      </c>
      <c r="E568" s="4" t="s">
        <v>563</v>
      </c>
      <c r="F568" s="5" t="s">
        <v>574</v>
      </c>
      <c r="G568" t="s">
        <v>565</v>
      </c>
    </row>
    <row r="569" spans="1:7" x14ac:dyDescent="0.3">
      <c r="A569" s="4">
        <v>570</v>
      </c>
      <c r="B569" s="5">
        <v>71276975</v>
      </c>
      <c r="C569" s="4" t="s">
        <v>553</v>
      </c>
      <c r="D569" s="4" t="s">
        <v>372</v>
      </c>
      <c r="E569" s="4" t="s">
        <v>563</v>
      </c>
      <c r="F569" s="5" t="s">
        <v>576</v>
      </c>
      <c r="G569" t="s">
        <v>565</v>
      </c>
    </row>
    <row r="570" spans="1:7" x14ac:dyDescent="0.3">
      <c r="A570" s="4">
        <v>571</v>
      </c>
      <c r="B570" s="5">
        <v>71314870</v>
      </c>
      <c r="C570" s="4" t="s">
        <v>554</v>
      </c>
      <c r="D570" s="4" t="s">
        <v>372</v>
      </c>
      <c r="E570" s="4" t="s">
        <v>563</v>
      </c>
      <c r="F570" s="5" t="s">
        <v>574</v>
      </c>
      <c r="G570" t="s">
        <v>565</v>
      </c>
    </row>
    <row r="571" spans="1:7" x14ac:dyDescent="0.3">
      <c r="A571" s="4">
        <v>572</v>
      </c>
      <c r="B571" s="5">
        <v>71376919</v>
      </c>
      <c r="C571" s="4" t="s">
        <v>555</v>
      </c>
      <c r="D571" s="4" t="s">
        <v>372</v>
      </c>
      <c r="E571" s="4" t="s">
        <v>563</v>
      </c>
      <c r="F571" s="5" t="s">
        <v>571</v>
      </c>
      <c r="G571" t="s">
        <v>565</v>
      </c>
    </row>
    <row r="572" spans="1:7" x14ac:dyDescent="0.3">
      <c r="A572" s="4">
        <v>573</v>
      </c>
      <c r="B572" s="5">
        <v>71645240</v>
      </c>
      <c r="C572" s="4" t="s">
        <v>556</v>
      </c>
      <c r="D572" s="4" t="s">
        <v>372</v>
      </c>
      <c r="E572" s="4" t="s">
        <v>563</v>
      </c>
      <c r="F572" s="5" t="s">
        <v>571</v>
      </c>
      <c r="G572" t="s">
        <v>565</v>
      </c>
    </row>
    <row r="573" spans="1:7" x14ac:dyDescent="0.3">
      <c r="A573" s="4">
        <v>574</v>
      </c>
      <c r="B573" s="5">
        <v>71681839</v>
      </c>
      <c r="C573" s="4" t="s">
        <v>557</v>
      </c>
      <c r="D573" s="4" t="s">
        <v>372</v>
      </c>
      <c r="E573" s="4" t="s">
        <v>563</v>
      </c>
      <c r="F573" s="5" t="s">
        <v>571</v>
      </c>
      <c r="G573" t="s">
        <v>565</v>
      </c>
    </row>
    <row r="574" spans="1:7" x14ac:dyDescent="0.3">
      <c r="A574" s="4">
        <v>575</v>
      </c>
      <c r="B574" s="5">
        <v>71728862</v>
      </c>
      <c r="C574" s="4" t="s">
        <v>558</v>
      </c>
      <c r="D574" s="4" t="s">
        <v>372</v>
      </c>
      <c r="E574" s="4" t="s">
        <v>563</v>
      </c>
      <c r="F574" s="5" t="s">
        <v>577</v>
      </c>
      <c r="G574" t="s">
        <v>565</v>
      </c>
    </row>
    <row r="575" spans="1:7" x14ac:dyDescent="0.3">
      <c r="A575" s="4">
        <v>576</v>
      </c>
      <c r="B575" s="5">
        <v>71763215</v>
      </c>
      <c r="C575" s="4" t="s">
        <v>559</v>
      </c>
      <c r="D575" s="4" t="s">
        <v>372</v>
      </c>
      <c r="E575" s="4" t="s">
        <v>563</v>
      </c>
      <c r="F575" s="5" t="s">
        <v>571</v>
      </c>
      <c r="G575" t="s">
        <v>565</v>
      </c>
    </row>
    <row r="576" spans="1:7" x14ac:dyDescent="0.3">
      <c r="A576" s="4">
        <v>577</v>
      </c>
      <c r="B576" s="5">
        <v>761321</v>
      </c>
      <c r="C576" s="4" t="s">
        <v>560</v>
      </c>
      <c r="D576" s="4" t="s">
        <v>372</v>
      </c>
      <c r="E576" s="4" t="s">
        <v>563</v>
      </c>
      <c r="F576" s="5" t="s">
        <v>571</v>
      </c>
      <c r="G576" t="s">
        <v>565</v>
      </c>
    </row>
    <row r="577" spans="1:7" x14ac:dyDescent="0.3">
      <c r="A577" s="4">
        <v>578</v>
      </c>
      <c r="B577" s="5">
        <v>98638636</v>
      </c>
      <c r="C577" s="4" t="s">
        <v>561</v>
      </c>
      <c r="D577" s="4" t="s">
        <v>372</v>
      </c>
      <c r="E577" s="4" t="s">
        <v>563</v>
      </c>
      <c r="F577" s="5" t="s">
        <v>571</v>
      </c>
      <c r="G577" t="s">
        <v>565</v>
      </c>
    </row>
  </sheetData>
  <autoFilter ref="A1:G577" xr:uid="{C8BF1079-3D9B-4260-B8F0-847600213DE3}"/>
  <conditionalFormatting sqref="A1:F1">
    <cfRule type="containsText" dxfId="1" priority="1" operator="containsText" text="SOSPECHOSO">
      <formula>NOT(ISERROR(SEARCH("SOSPECHOSO",A1)))</formula>
    </cfRule>
    <cfRule type="containsText" dxfId="0" priority="2" operator="containsText" text="CORRECTO">
      <formula>NOT(ISERROR(SEARCH("CORRECTO",A1)))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Mejia Tejada</dc:creator>
  <cp:lastModifiedBy>Daniela Mejia Tejada</cp:lastModifiedBy>
  <dcterms:created xsi:type="dcterms:W3CDTF">2024-02-22T21:19:51Z</dcterms:created>
  <dcterms:modified xsi:type="dcterms:W3CDTF">2024-03-11T20:49:21Z</dcterms:modified>
</cp:coreProperties>
</file>