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jcmunoz/Desktop/hogares-saludables/data/intervention/01_originales/"/>
    </mc:Choice>
  </mc:AlternateContent>
  <xr:revisionPtr revIDLastSave="0" documentId="13_ncr:1_{28CCF66E-BA00-5C4A-8E75-E2EBEC9DCD33}" xr6:coauthVersionLast="47" xr6:coauthVersionMax="47" xr10:uidLastSave="{00000000-0000-0000-0000-000000000000}"/>
  <bookViews>
    <workbookView xWindow="-37760" yWindow="500" windowWidth="36720" windowHeight="19660" activeTab="1" xr2:uid="{0EFCB43F-583B-4F9C-8247-3EABB0267B14}"/>
  </bookViews>
  <sheets>
    <sheet name="Relacion de formatos" sheetId="5" r:id="rId1"/>
    <sheet name="Formato 1 Barranquilla" sheetId="1" r:id="rId2"/>
    <sheet name="Formato 2  Cali" sheetId="3" r:id="rId3"/>
    <sheet name="Hoja2" sheetId="2" state="hidden" r:id="rId4"/>
    <sheet name="Fromato 3 Medellín" sheetId="4" r:id="rId5"/>
    <sheet name="Formato 4 (Control)" sheetId="6" r:id="rId6"/>
  </sheets>
  <externalReferences>
    <externalReference r:id="rId7"/>
  </externalReferences>
  <definedNames>
    <definedName name="_xlnm._FilterDatabase" localSheetId="1" hidden="1">'Formato 1 Barranquilla'!$A$1:$AJ$397</definedName>
    <definedName name="_xlnm._FilterDatabase" localSheetId="2" hidden="1">'Formato 2  Cali'!$A$1:$AG$308</definedName>
    <definedName name="_xlnm._FilterDatabase" localSheetId="5" hidden="1">'Formato 4 (Control)'!$A$1:$AC$600</definedName>
    <definedName name="_xlnm._FilterDatabase" localSheetId="4" hidden="1">'Fromato 3 Medellín'!$A$1:$AF$297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7" i="4" l="1"/>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2" i="4"/>
  <c r="G277" i="1"/>
  <c r="G278" i="1"/>
  <c r="G279" i="1"/>
  <c r="G280" i="1"/>
  <c r="G281" i="1"/>
  <c r="G282" i="1"/>
  <c r="G283" i="1"/>
  <c r="G284" i="1"/>
  <c r="G285" i="1"/>
  <c r="G286" i="1"/>
  <c r="B274" i="1"/>
  <c r="B275" i="1"/>
  <c r="B276" i="1"/>
  <c r="B277" i="1"/>
  <c r="B278" i="1"/>
  <c r="B279" i="1"/>
  <c r="B280" i="1"/>
  <c r="B281" i="1"/>
  <c r="B282" i="1"/>
  <c r="B283" i="1"/>
  <c r="B284" i="1"/>
  <c r="B285" i="1"/>
  <c r="B286" i="1"/>
  <c r="B396" i="1"/>
  <c r="B397" i="1"/>
  <c r="B269" i="1"/>
  <c r="B270" i="1"/>
  <c r="B271" i="1"/>
  <c r="B272" i="1"/>
  <c r="B273" i="1"/>
  <c r="B74" i="3"/>
  <c r="B262" i="1"/>
  <c r="B261" i="1"/>
  <c r="B68" i="3"/>
  <c r="B253" i="1"/>
  <c r="G49" i="3"/>
  <c r="B39" i="3"/>
  <c r="B38" i="3"/>
  <c r="B216" i="1"/>
  <c r="B27" i="3"/>
  <c r="B26" i="3"/>
  <c r="B25" i="3"/>
  <c r="B24" i="3"/>
  <c r="B205" i="1"/>
  <c r="B6" i="3"/>
  <c r="G203" i="1"/>
  <c r="B3" i="3"/>
  <c r="B4" i="3"/>
  <c r="B5" i="3"/>
  <c r="B7" i="3"/>
  <c r="B8" i="3"/>
  <c r="B9" i="3"/>
  <c r="B10" i="3"/>
  <c r="B11" i="3"/>
  <c r="B12" i="3"/>
  <c r="B13" i="3"/>
  <c r="B14" i="3"/>
  <c r="B15" i="3"/>
  <c r="B16" i="3"/>
  <c r="B17" i="3"/>
  <c r="B18" i="3"/>
  <c r="B19" i="3"/>
  <c r="B20" i="3"/>
  <c r="B21" i="3"/>
  <c r="B22" i="3"/>
  <c r="B23" i="3"/>
  <c r="B28" i="3"/>
  <c r="B29" i="3"/>
  <c r="B30" i="3"/>
  <c r="B31" i="3"/>
  <c r="B32" i="3"/>
  <c r="B33" i="3"/>
  <c r="B34" i="3"/>
  <c r="B35" i="3"/>
  <c r="B36" i="3"/>
  <c r="B37"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9" i="3"/>
  <c r="B70" i="3"/>
  <c r="B71" i="3"/>
  <c r="B72" i="3"/>
  <c r="B73"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2" i="3"/>
  <c r="G202" i="1"/>
  <c r="B202" i="1"/>
  <c r="B203" i="1"/>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2" i="3"/>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160" i="1"/>
  <c r="B161" i="1"/>
  <c r="B184" i="1"/>
  <c r="B185" i="1"/>
  <c r="B186" i="1"/>
  <c r="B187" i="1"/>
  <c r="B188" i="1"/>
  <c r="B189" i="1"/>
  <c r="B190" i="1"/>
  <c r="B191" i="1"/>
  <c r="B192" i="1"/>
  <c r="B193" i="1"/>
  <c r="B194" i="1"/>
  <c r="B195" i="1"/>
  <c r="B196" i="1"/>
  <c r="B197" i="1"/>
  <c r="B198" i="1"/>
  <c r="B199" i="1"/>
  <c r="B200" i="1"/>
  <c r="B2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2" i="1"/>
  <c r="B163" i="1"/>
  <c r="B164" i="1"/>
  <c r="B165" i="1"/>
  <c r="B166" i="1"/>
  <c r="B167" i="1"/>
  <c r="B168" i="1"/>
  <c r="B169" i="1"/>
  <c r="B170" i="1"/>
  <c r="B171" i="1"/>
  <c r="B172" i="1"/>
  <c r="B173" i="1"/>
  <c r="B174" i="1"/>
  <c r="B175" i="1"/>
  <c r="B176" i="1"/>
  <c r="B177" i="1"/>
  <c r="B178" i="1"/>
  <c r="B179" i="1"/>
  <c r="B180" i="1"/>
  <c r="B181" i="1"/>
  <c r="B182" i="1"/>
  <c r="B183" i="1"/>
  <c r="B204" i="1"/>
  <c r="B206" i="1"/>
  <c r="B207" i="1"/>
  <c r="B208" i="1"/>
  <c r="B209" i="1"/>
  <c r="B210" i="1"/>
  <c r="B211" i="1"/>
  <c r="B212" i="1"/>
  <c r="B213" i="1"/>
  <c r="B214" i="1"/>
  <c r="B215"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4" i="1"/>
  <c r="B255" i="1"/>
  <c r="B256" i="1"/>
  <c r="B257" i="1"/>
  <c r="B258" i="1"/>
  <c r="B259" i="1"/>
  <c r="B260" i="1"/>
  <c r="B263" i="1"/>
  <c r="B264" i="1"/>
  <c r="B265" i="1"/>
  <c r="B266" i="1"/>
  <c r="B267" i="1"/>
  <c r="B268"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2" i="1"/>
  <c r="G163" i="1"/>
  <c r="G164" i="1"/>
  <c r="G165" i="1"/>
  <c r="G166" i="1"/>
  <c r="G167" i="1"/>
  <c r="G168" i="1"/>
  <c r="G169" i="1"/>
  <c r="G170" i="1"/>
  <c r="G171" i="1"/>
  <c r="G172" i="1"/>
  <c r="G173" i="1"/>
  <c r="G174" i="1"/>
  <c r="G175" i="1"/>
  <c r="G176" i="1"/>
  <c r="G177" i="1"/>
  <c r="G178" i="1"/>
  <c r="G179" i="1"/>
  <c r="G180" i="1"/>
  <c r="G181" i="1"/>
  <c r="G182" i="1"/>
  <c r="G18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D48" i="1"/>
  <c r="E48" i="1"/>
  <c r="C48"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160" i="1"/>
  <c r="G161" i="1"/>
  <c r="G184" i="1"/>
  <c r="G185" i="1"/>
  <c r="G186" i="1"/>
  <c r="G187" i="1"/>
  <c r="G188" i="1"/>
  <c r="G189" i="1"/>
  <c r="G190" i="1"/>
  <c r="G191" i="1"/>
  <c r="G192" i="1"/>
  <c r="G193" i="1"/>
  <c r="G194" i="1"/>
  <c r="G195" i="1"/>
  <c r="G196" i="1"/>
  <c r="G197" i="1"/>
  <c r="G198" i="1"/>
  <c r="G199" i="1"/>
  <c r="G200" i="1"/>
  <c r="G2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alcChain>
</file>

<file path=xl/sharedStrings.xml><?xml version="1.0" encoding="utf-8"?>
<sst xmlns="http://schemas.openxmlformats.org/spreadsheetml/2006/main" count="29380" uniqueCount="2704">
  <si>
    <t>Formato 1 Barranquilla</t>
  </si>
  <si>
    <t>CEDULA</t>
  </si>
  <si>
    <t>CONSECUTIVO</t>
  </si>
  <si>
    <t>NOMBRE COMPLETO</t>
  </si>
  <si>
    <t>CELULAR</t>
  </si>
  <si>
    <t>DIRECCIÓN</t>
  </si>
  <si>
    <t>OPERADOR TÉCNICO</t>
  </si>
  <si>
    <t>DEPARTAMENTO</t>
  </si>
  <si>
    <t>MUNICIPIO</t>
  </si>
  <si>
    <t>BARRIO</t>
  </si>
  <si>
    <t>PISOS DEMOLICIONES</t>
  </si>
  <si>
    <t>PISOS MORTERO DE NIVELACION</t>
  </si>
  <si>
    <t>BAÑO REVOQUES</t>
  </si>
  <si>
    <t>BAÑO ENCHAPE PISO Y MUROOS</t>
  </si>
  <si>
    <t>BAÑO GRIFERIA-DUCHA</t>
  </si>
  <si>
    <t>COCINA REVOQUES EN PARED</t>
  </si>
  <si>
    <t>COCINA ENCHAPE PARED, SALPICADERO</t>
  </si>
  <si>
    <t>COCINA MESON EN CONCRETO, POZUELO Y GRIFERIA</t>
  </si>
  <si>
    <t>MURO EN LADRILLO/BLOQUE</t>
  </si>
  <si>
    <t>MURO EN SUPERBOARD 2 CARAS</t>
  </si>
  <si>
    <t>MUROS REVOQUE</t>
  </si>
  <si>
    <t xml:space="preserve">MUROS PINTURA </t>
  </si>
  <si>
    <t>ESTRUCTURA PARA MUROS COLUMNETAS CON REFUERZOS ESTRUCTURALES</t>
  </si>
  <si>
    <t>ESTRUCTURA PARA MUROS VIGAS DE CIMENTACIÓN</t>
  </si>
  <si>
    <t>ESTRUCTURA PARA MUROS VIGAS DE AMARRE SUPERIOR</t>
  </si>
  <si>
    <t>PUERTAS</t>
  </si>
  <si>
    <t>VENTANAS</t>
  </si>
  <si>
    <t>RED ELECTRICA TUBERIA Y CABLEADO</t>
  </si>
  <si>
    <t>RED ELECTRICA APARATOS</t>
  </si>
  <si>
    <t>RED ELECTRICA CAJA DE BREAKERS</t>
  </si>
  <si>
    <t>RED HIDROSANITARIA TUBERIA ABASTOS</t>
  </si>
  <si>
    <t>RED HIDROSANITARIA TUBERIA DESAGUES</t>
  </si>
  <si>
    <t>RED HIDROSANITARIA SALIDAS ABASTOS</t>
  </si>
  <si>
    <t>RED HIDROSANITARIA SALIDAS SANITARIAS</t>
  </si>
  <si>
    <t>Formato 2: Cali</t>
  </si>
  <si>
    <t>PISOS LOSA DE PISO</t>
  </si>
  <si>
    <t>BAÑO MORTERO DE NIVELACION</t>
  </si>
  <si>
    <t>BAÑO MUROS EN LADRILLO</t>
  </si>
  <si>
    <t>BAÑO ESTUCO</t>
  </si>
  <si>
    <t>BAÑO PINTURA</t>
  </si>
  <si>
    <t>BAÑO ENCHAPES PISO Y MUROS</t>
  </si>
  <si>
    <t>BAÑO COMBO SANITARIO</t>
  </si>
  <si>
    <t>BAÑO LAVAMANOS</t>
  </si>
  <si>
    <t>BAÑO SANITARIO</t>
  </si>
  <si>
    <t>BAÑO SALIDAS HIDROSANITARIAS</t>
  </si>
  <si>
    <t>BAÑO GRIFERIAS DUCHA</t>
  </si>
  <si>
    <t>COCINA REVOQUES</t>
  </si>
  <si>
    <t>COCINA ESTUCO</t>
  </si>
  <si>
    <t>COCINA PINTURA</t>
  </si>
  <si>
    <t>COCINA POZUELO Y GRIFERIA</t>
  </si>
  <si>
    <t>COCINA ENCHAPE EN PARED, SALPICADERO O MESON EN CONCRETO</t>
  </si>
  <si>
    <t>COCINA MESON EN CONCRETO</t>
  </si>
  <si>
    <t>COCINA SALIDAS HIDROSANITARIAS</t>
  </si>
  <si>
    <t>Fromato 3: Medellín</t>
  </si>
  <si>
    <t>COCINA SALIDAS ELECTRICAS</t>
  </si>
  <si>
    <t>PRIORIZACION DE ACTIVIDADES PARA EL MEJORAMIENTO</t>
  </si>
  <si>
    <t>Formato control</t>
  </si>
  <si>
    <t>ETAPA</t>
  </si>
  <si>
    <t>BAÑO ESTUCO, FUERA DE ZONA DE DUCHA</t>
  </si>
  <si>
    <t>BAÑO PINTURA, FUERA DE ZONA DE DUCHA</t>
  </si>
  <si>
    <t>BAÑO ENCHAPES PISO</t>
  </si>
  <si>
    <t>BAÑO ENCHAPES MUROS</t>
  </si>
  <si>
    <t>COCINA ENCHAPE DE SALPICADERO Y MESON EN CONCRETO</t>
  </si>
  <si>
    <r>
      <rPr>
        <b/>
        <sz val="8"/>
        <rFont val="Aptos Narrow"/>
        <family val="2"/>
        <scheme val="minor"/>
      </rPr>
      <t>MEDIDA DE CALIDAD</t>
    </r>
    <r>
      <rPr>
        <sz val="8"/>
        <rFont val="Aptos Narrow"/>
        <family val="2"/>
        <scheme val="minor"/>
      </rPr>
      <t xml:space="preserve">
PRIORIZACION DE ACTIVIDADES PARA EL MEJORAMIENTO</t>
    </r>
  </si>
  <si>
    <t>PRIORIZACIÓN DE ACTIVIDADES PARA EL MEJORAMIENTO</t>
  </si>
  <si>
    <t>Categoría</t>
  </si>
  <si>
    <t>Hilde Cecilia Bellio De Las Salas</t>
  </si>
  <si>
    <t>Cl 72#8c-113</t>
  </si>
  <si>
    <t>ECO-INCO S.A.S.</t>
  </si>
  <si>
    <t>BARRANQUILLA</t>
  </si>
  <si>
    <t>EL BOSQUE</t>
  </si>
  <si>
    <t>NO NECESITA INTERVENCION</t>
  </si>
  <si>
    <t>INTERVENCION TOTAL</t>
  </si>
  <si>
    <t>MEJORAMIENTO PISO</t>
  </si>
  <si>
    <t>Edgar Junior Arrieta Ortega</t>
  </si>
  <si>
    <t>Cr6b#73-66</t>
  </si>
  <si>
    <t>INTERVENCION PARCIAL</t>
  </si>
  <si>
    <t>MEJORAMIENTO PISO COCINA</t>
  </si>
  <si>
    <t>Monica Mercedes Trigos de la Hoz</t>
  </si>
  <si>
    <t>KR 9 # 60 - 58</t>
  </si>
  <si>
    <t>MEJORAMIENTO BAÑO COCINA</t>
  </si>
  <si>
    <t>Brayan Jose Llerena Pardo</t>
  </si>
  <si>
    <t>KR 8G # 87 - 20 APTO 3</t>
  </si>
  <si>
    <t>Andres Felipe Dominguez Benavides</t>
  </si>
  <si>
    <t>KR 9 # 58 - 44</t>
  </si>
  <si>
    <t>MEJORAMIENTO PISO BAÑO</t>
  </si>
  <si>
    <t>Karina Maria Figueroa Ortiz</t>
  </si>
  <si>
    <t>KR 8C # 74A - 39</t>
  </si>
  <si>
    <t>Jairo Antonio Echeverri Orozco</t>
  </si>
  <si>
    <t>3146551197-3116745408</t>
  </si>
  <si>
    <t>CL 77 # 6E - 52</t>
  </si>
  <si>
    <t>MEJORAMIENTO PISO BAÑO COCINA</t>
  </si>
  <si>
    <t>Greisy Patricia Ojeda Martinez</t>
  </si>
  <si>
    <t>CL 60 # 8A - 106</t>
  </si>
  <si>
    <t>Paula Andra Sara Lenis</t>
  </si>
  <si>
    <t>KR 8G # 60B - 159 APTO 1</t>
  </si>
  <si>
    <t>Edgardo De Jesus Alvarez Lozano</t>
  </si>
  <si>
    <t>KR 9 # 87 - 27</t>
  </si>
  <si>
    <t>Francisco Javier Herrera Villadiego</t>
  </si>
  <si>
    <t>KR 7C # 74 - 79</t>
  </si>
  <si>
    <t>Erides Maria Salcedo Rodriguez</t>
  </si>
  <si>
    <t>3022741473- 3022741973</t>
  </si>
  <si>
    <t>CL 72A # 9D - 32</t>
  </si>
  <si>
    <t>Holadys Maria Roa Rodriguez</t>
  </si>
  <si>
    <t>DG 64A # 9 - 88 APTO 1</t>
  </si>
  <si>
    <t>Yurany Patricia Salas Camacho</t>
  </si>
  <si>
    <t>KR 7C # 77 - 26</t>
  </si>
  <si>
    <t>Lizeth Esperanza Severiche Iglesias</t>
  </si>
  <si>
    <t>Cra 6a#58a-196</t>
  </si>
  <si>
    <t>Alidis Esther Cabarcas Martinez</t>
  </si>
  <si>
    <t>KR 7D # 76 - 64 APTO 5</t>
  </si>
  <si>
    <t>Gabriel Angel Diaz Camacho</t>
  </si>
  <si>
    <t>Cra9k#60b-13.</t>
  </si>
  <si>
    <t>Julith Vanessa Morron Tapia</t>
  </si>
  <si>
    <t>KR 8G # 93 - 105</t>
  </si>
  <si>
    <t>Yuranis Echeverria Ayala</t>
  </si>
  <si>
    <t>3046435331- 3247505798</t>
  </si>
  <si>
    <t>KR 8A # 73C - 100</t>
  </si>
  <si>
    <t>Elizabeth Tapia Yance</t>
  </si>
  <si>
    <t>KR 8G # 60 - 83</t>
  </si>
  <si>
    <t>Laury Esther Contreras Santamaria</t>
  </si>
  <si>
    <t>Cra 6b#73c-50</t>
  </si>
  <si>
    <t>Ivan alberto</t>
  </si>
  <si>
    <t>Lainys Arleth Escudero Garcia</t>
  </si>
  <si>
    <t>DG 64 # 9K - 07</t>
  </si>
  <si>
    <t>América Mercedes Ruiz</t>
  </si>
  <si>
    <t>CL 72A # 9D - 55</t>
  </si>
  <si>
    <t>Cristina Paola Diaz Hernandez</t>
  </si>
  <si>
    <t>KR 8G # 94 - 72</t>
  </si>
  <si>
    <t>Jose Gregorio Barrios Cabarcas</t>
  </si>
  <si>
    <t>3243199230-3116553092</t>
  </si>
  <si>
    <t>KR 7C # 76 - 84</t>
  </si>
  <si>
    <t>Yenis Patricia Pacheco Pantoja</t>
  </si>
  <si>
    <t>3206846389-3001521274</t>
  </si>
  <si>
    <t>CL 88 # 7 - 54</t>
  </si>
  <si>
    <t>EDINSON D JESUS BARBOSA VILORIA</t>
  </si>
  <si>
    <t>Cr6b#72-135</t>
  </si>
  <si>
    <t>La cédula corresponde a Geny del Toro</t>
  </si>
  <si>
    <t>Miguel Angel Miranda Cardona</t>
  </si>
  <si>
    <t>Cra9#61-54</t>
  </si>
  <si>
    <t>Nancy Isabel Narvaez Suarez</t>
  </si>
  <si>
    <t>KR 7D # 76 - 58</t>
  </si>
  <si>
    <t>Maribel Esther Estrada Tesillo</t>
  </si>
  <si>
    <t>KR 9 # 93 - 18</t>
  </si>
  <si>
    <t>Silvia Elena Rada De Los Reyes</t>
  </si>
  <si>
    <t>DG 64B # 9K - 103</t>
  </si>
  <si>
    <t>Islena Aguas Guzman</t>
  </si>
  <si>
    <t>Cra 6b#72-113</t>
  </si>
  <si>
    <t>Katherine Paola Laguna Marquez</t>
  </si>
  <si>
    <t>CL 63A # 9K - 37</t>
  </si>
  <si>
    <t>Leidis Paola Moreno Blanco</t>
  </si>
  <si>
    <t>Cl 62a#9k-85</t>
  </si>
  <si>
    <t>La cédula corresponde a Judith Maria Estrada en Arcoíris</t>
  </si>
  <si>
    <t>Juldo Emrriquel Muñoz Pajaro</t>
  </si>
  <si>
    <t>Cra9k#61-25</t>
  </si>
  <si>
    <t>Sivirley Elena Fonseca Florian</t>
  </si>
  <si>
    <t>KR 8B # 93 - 34</t>
  </si>
  <si>
    <t>Olga Lucia Barreto Mendoza</t>
  </si>
  <si>
    <t>3045256769-3239198265</t>
  </si>
  <si>
    <t>CL 88 # 7C - 33 APTO 1</t>
  </si>
  <si>
    <t>Efigenia Navarro Solano</t>
  </si>
  <si>
    <t>KR 78 # 71-02</t>
  </si>
  <si>
    <t>KELLY JOHANA VASQUEZ PACHECO</t>
  </si>
  <si>
    <t>Cra 9a # 80- 39 apto 3</t>
  </si>
  <si>
    <t>Juan Carlos Cantillo Oliveros</t>
  </si>
  <si>
    <t>Cl 63a# 9k-25 Apto 1</t>
  </si>
  <si>
    <t>CARMEN PATRICIA PINEDI REALES</t>
  </si>
  <si>
    <t>Miryan Rosa Pacheco Pantoja</t>
  </si>
  <si>
    <t>CL 88 # 7A - 19</t>
  </si>
  <si>
    <t>Rocio Del Carmen Blanco Arroyo</t>
  </si>
  <si>
    <t>CL 73B # 7B - 07</t>
  </si>
  <si>
    <t>YENIFER PAOLA SANDOVAL LOPEZ</t>
  </si>
  <si>
    <t>KR 8A 73 32</t>
  </si>
  <si>
    <t>Jose Maria Bertel Torregrosa</t>
  </si>
  <si>
    <t>3103454151-3244687312</t>
  </si>
  <si>
    <t>KR 8B # 60B - 141</t>
  </si>
  <si>
    <t>La cédula corresponde a Jose Maria Bertel</t>
  </si>
  <si>
    <t>Rodulfo Garcia Ruidiaz</t>
  </si>
  <si>
    <t>KR 8G # 93 - 62</t>
  </si>
  <si>
    <t>MEJORAMIENTO COCINA</t>
  </si>
  <si>
    <t>Luis Alberto Becerra</t>
  </si>
  <si>
    <t>Jose Pedro Martinez Esalas</t>
  </si>
  <si>
    <t>Cra 6b#73c-41</t>
  </si>
  <si>
    <t xml:space="preserve">MARTÍN RAFAEL </t>
  </si>
  <si>
    <t>CL 77 6E 77</t>
  </si>
  <si>
    <t>Reginaldo Enrique Galvan Jimenez</t>
  </si>
  <si>
    <t>CL 60 # 8A - 96</t>
  </si>
  <si>
    <t>Manuel Calixto De Avila Bermudez</t>
  </si>
  <si>
    <t>Cr8a#73c-19</t>
  </si>
  <si>
    <t>Lucila Angarita De Pertuz</t>
  </si>
  <si>
    <t>KR 8G # 60B - 53</t>
  </si>
  <si>
    <t>Maria Del Cristo Arcon Ojeda</t>
  </si>
  <si>
    <t>KR 7B # 74 - 24</t>
  </si>
  <si>
    <t>Merida Del Carmen Mercado Pacheco</t>
  </si>
  <si>
    <t>CL 73C # 7E - 35</t>
  </si>
  <si>
    <t>Elena Hortensia De Avila Guerra</t>
  </si>
  <si>
    <t>KR 8C # 74 - 75</t>
  </si>
  <si>
    <t>Luz Maria Gonzalez Stevenson</t>
  </si>
  <si>
    <t>CL 76 # 7B - 03</t>
  </si>
  <si>
    <t>CONCEPCION ELVIRA CUESTA ACOSTA</t>
  </si>
  <si>
    <t>Etilvia Altamar De Redondo</t>
  </si>
  <si>
    <t>KR 8C # 73C - 36</t>
  </si>
  <si>
    <t>BLANCA YOLANDA MEJíA GUZMáN</t>
  </si>
  <si>
    <t>Nidia Del Carmen Castro Tapia</t>
  </si>
  <si>
    <t>Cl 72#78-10</t>
  </si>
  <si>
    <t>Josefa Maria San Martin De Villa</t>
  </si>
  <si>
    <t>DG 65 # 9K - 55</t>
  </si>
  <si>
    <t>Saray Maria Cervantes De Vazquez</t>
  </si>
  <si>
    <t>Cr6b#73-56</t>
  </si>
  <si>
    <t>Maria Policarpa Porto de Díaz</t>
  </si>
  <si>
    <t>Cl 61#9-04</t>
  </si>
  <si>
    <t>Mercedes Marriaga De Laguna</t>
  </si>
  <si>
    <t>KR 8C # 74 - 26</t>
  </si>
  <si>
    <t>Ruth Mercedes Asensio Ferrer</t>
  </si>
  <si>
    <t>KR 8C # 73D - 86</t>
  </si>
  <si>
    <t>Angélica Maria Jinete Hernandez</t>
  </si>
  <si>
    <t>Cra 6e#74-12</t>
  </si>
  <si>
    <t>Yomaira Socorro De La Hoz Solano</t>
  </si>
  <si>
    <t>KR 7D # 76 - 64 APTO 1</t>
  </si>
  <si>
    <t>Dora Isabel Parejo Orozco</t>
  </si>
  <si>
    <t>KR 8G # 87 - 40 APTO 1</t>
  </si>
  <si>
    <t>Ines Del Rocio De La Rosa Ricardo</t>
  </si>
  <si>
    <t>3025902878-3205717986</t>
  </si>
  <si>
    <t>KR 9E # 75 - 45</t>
  </si>
  <si>
    <t>Elizabeth Maria Redondo Sandoval</t>
  </si>
  <si>
    <t>KR 8C # 73D - 72</t>
  </si>
  <si>
    <t>Gloria Maria Meza Jaimes</t>
  </si>
  <si>
    <t>KR 9 # 60 - 27</t>
  </si>
  <si>
    <t>Karen Johana Camargo Rodriguez</t>
  </si>
  <si>
    <t>DG 64B # 9D - 54</t>
  </si>
  <si>
    <t>Milagro Del Socorro Molinares Causado</t>
  </si>
  <si>
    <t>CL 77 # 6B - 64</t>
  </si>
  <si>
    <t>Miladis Del Carmen Redondo Patiño</t>
  </si>
  <si>
    <t>KR 8C # 73C - 101 APTO</t>
  </si>
  <si>
    <t>Enys Yojana Cassiani Valdez</t>
  </si>
  <si>
    <t>KR 8G # 60B - 58</t>
  </si>
  <si>
    <t>Rosalba Maria Moreira Solano</t>
  </si>
  <si>
    <t>KR 7B#80-10</t>
  </si>
  <si>
    <t>Diana Patricia Herrera Bonett</t>
  </si>
  <si>
    <t>CL 88 # 7E - 14</t>
  </si>
  <si>
    <t>LIZBETH SANDOVAL ORTEGA</t>
  </si>
  <si>
    <t>Heidy Yomaira Valdez Salgado</t>
  </si>
  <si>
    <t>KR 8A1 # 60B - 106</t>
  </si>
  <si>
    <t>Rosiris Concepcion Castro Berrio</t>
  </si>
  <si>
    <t>CL 87 # 9 - 11</t>
  </si>
  <si>
    <t>Yolima Isabel Obeso Torres</t>
  </si>
  <si>
    <t>KR 8G # 60 - 21</t>
  </si>
  <si>
    <t>Amalia De Jesus Blanco Castillo</t>
  </si>
  <si>
    <t>KR 9 # 87 - 96</t>
  </si>
  <si>
    <t>Monica Lopez Liliana Camargo</t>
  </si>
  <si>
    <t>KR 7B # 73 - 106</t>
  </si>
  <si>
    <t>Karolay</t>
  </si>
  <si>
    <t>KR 8C # 87 - 16</t>
  </si>
  <si>
    <t>La cédula corresponde a Rosina Martinez</t>
  </si>
  <si>
    <t>Maria Esther Ojeda Vanegas</t>
  </si>
  <si>
    <t xml:space="preserve">KR 7E # 75 - 48 </t>
  </si>
  <si>
    <t>MEJORAMIENTO BAÑO</t>
  </si>
  <si>
    <t>Ana Delia Ortiz De Ospino</t>
  </si>
  <si>
    <t>CL 93 # 8C - 24</t>
  </si>
  <si>
    <t>Manuela Salgado Cañate</t>
  </si>
  <si>
    <t>KR 8G # 60B - 131</t>
  </si>
  <si>
    <t>Ilba Tereza Villa Maza</t>
  </si>
  <si>
    <t>Cl 61#9-61</t>
  </si>
  <si>
    <t>Emelina Rosa Pajaro Cardenas</t>
  </si>
  <si>
    <t>KR 9 # 60 - 78</t>
  </si>
  <si>
    <t>Edith del Carmen Mendoza Sanchez</t>
  </si>
  <si>
    <t xml:space="preserve">CL 88 # 7C - 33 </t>
  </si>
  <si>
    <t>Aura Elena Torregrosa De Charrys</t>
  </si>
  <si>
    <t>3006712521 -3013115123</t>
  </si>
  <si>
    <t>KR 7C # 75 - 27</t>
  </si>
  <si>
    <t>Jeidys Maria Torres Santiago</t>
  </si>
  <si>
    <t>KR 9 # 73D - 7</t>
  </si>
  <si>
    <t>Yarlenis Santa Cruz Florez</t>
  </si>
  <si>
    <t>Cra 7D#75-27</t>
  </si>
  <si>
    <t>Nubia Luz Valverde Maldonado</t>
  </si>
  <si>
    <t>KR 9 # 93 - 20</t>
  </si>
  <si>
    <t>Luisa Julio Gomez</t>
  </si>
  <si>
    <t>CL 80 # 7C - 42</t>
  </si>
  <si>
    <t>Ana Isabel Obezo Sanchez</t>
  </si>
  <si>
    <t>Cl 61#9-31</t>
  </si>
  <si>
    <t>ANA DELIA MONTERO</t>
  </si>
  <si>
    <t>MARIA CONCEPCION AREVALO</t>
  </si>
  <si>
    <t>Maria Ernestina De La Hoz Galvis</t>
  </si>
  <si>
    <t>cL 75 # 7C - 18</t>
  </si>
  <si>
    <t>BERTHA JIMENEZ</t>
  </si>
  <si>
    <t>Mara Isabel Hernandez Diaz</t>
  </si>
  <si>
    <t>CL 77 # 6E - 71 APTO 1</t>
  </si>
  <si>
    <t>Alis Margoth Sarmiento Ramos</t>
  </si>
  <si>
    <t>Cl 74#6e-36</t>
  </si>
  <si>
    <t>Maria Mercedes Guzman Prado</t>
  </si>
  <si>
    <t>CL 87 # 9 - 06</t>
  </si>
  <si>
    <t>Irene Sanjuan Castro</t>
  </si>
  <si>
    <t>KR 8G # 93 - 187</t>
  </si>
  <si>
    <t>Ana María Oliveros De Cantillo</t>
  </si>
  <si>
    <t>Maribel De Los Santos Castro Esparragoza</t>
  </si>
  <si>
    <t>KR 7H # 77 - 39</t>
  </si>
  <si>
    <t>Luz Elena Ruiz Gonzales</t>
  </si>
  <si>
    <t>KR 8G # 60B - 63</t>
  </si>
  <si>
    <t>Juana Bautista Orozco Ortega</t>
  </si>
  <si>
    <t>3022926689-3145579661</t>
  </si>
  <si>
    <t>CL 88 # 7E - 100</t>
  </si>
  <si>
    <t>Sol Teresa Ortega Aguilar</t>
  </si>
  <si>
    <t>DG 65C # 9R - 81</t>
  </si>
  <si>
    <t>Lia Esther De La Torre Araujo</t>
  </si>
  <si>
    <t>Cr6e#73c-20</t>
  </si>
  <si>
    <t>Vilma Isabel Diaz Ortega</t>
  </si>
  <si>
    <t>KR 9 # 87 - 35</t>
  </si>
  <si>
    <t>Miladis Esther Better Gutierrez</t>
  </si>
  <si>
    <t>DG 64B # 9J1 - 13</t>
  </si>
  <si>
    <t>Gloria Ester Laguna Marriaga</t>
  </si>
  <si>
    <t>KR 8C # 74A - 32</t>
  </si>
  <si>
    <t>Carmen Maria Redondo Sandoval</t>
  </si>
  <si>
    <t>KR 8C # 73C - 101</t>
  </si>
  <si>
    <t>Judith Cecilia Rodriguez Escobar</t>
  </si>
  <si>
    <t>DG 64A # 9 - 88</t>
  </si>
  <si>
    <t>Enilda Isabel Manga Altamar</t>
  </si>
  <si>
    <t>3136388637 - 3196996958</t>
  </si>
  <si>
    <t>CL 73B # 7E - 54</t>
  </si>
  <si>
    <t>Yudys Isabel Mendoza Montero</t>
  </si>
  <si>
    <t>KR 8G # 94 - 38</t>
  </si>
  <si>
    <t>Teresa Rosa Martinez Cárdenas</t>
  </si>
  <si>
    <t>KR 9 # 60 - 66</t>
  </si>
  <si>
    <t>Elsa Regina Reales Pajaro</t>
  </si>
  <si>
    <t>Ofelia Guerrero Torres</t>
  </si>
  <si>
    <t>KR 8G # 60B - 89</t>
  </si>
  <si>
    <t>Mara Judith Ahumada Lopez</t>
  </si>
  <si>
    <t>3002594926-3242355015</t>
  </si>
  <si>
    <t>DG 64B # 95 - 05</t>
  </si>
  <si>
    <t>Manuela Ester Blanco De La Rosa</t>
  </si>
  <si>
    <t>KR 7E # 73 - 20</t>
  </si>
  <si>
    <t>INGRIS ENID RODRIGUEZ MARTINEZ</t>
  </si>
  <si>
    <t>ENEDITH DEL ORTEGA ZUÑIGA</t>
  </si>
  <si>
    <t>Cra 9 # 58-26</t>
  </si>
  <si>
    <t>Dalys Esther Muñoz Torres</t>
  </si>
  <si>
    <t>Cl 61#9-62</t>
  </si>
  <si>
    <t>Patricia Yaneth Rojas Gutierrez</t>
  </si>
  <si>
    <t>KR 9 # 58 - 34</t>
  </si>
  <si>
    <t>Piedad Isabel Escorcia Barros</t>
  </si>
  <si>
    <t>KR 8C # 93 - 57 APTO 1</t>
  </si>
  <si>
    <t>Eufemia Hernandez Saenz</t>
  </si>
  <si>
    <t>Cr 9#72a-68 Apto 1</t>
  </si>
  <si>
    <t>Galina Isabel mendoza Alemán</t>
  </si>
  <si>
    <t>DG 65 # 9K - 58</t>
  </si>
  <si>
    <t>Yolanda Maria Orozco Murillo</t>
  </si>
  <si>
    <t>KR 8G # 87 - 40</t>
  </si>
  <si>
    <t>Virina Del Carmen Rocha Camacho</t>
  </si>
  <si>
    <t>Doris Marina Barrios Polo</t>
  </si>
  <si>
    <t>CL 77 # 7B - 59</t>
  </si>
  <si>
    <t>Gilma Rosa Torres Santiago</t>
  </si>
  <si>
    <t>KR 8C # 73D - 26</t>
  </si>
  <si>
    <t>Nelsi Beatriz Gonzalez Suarez</t>
  </si>
  <si>
    <t>KR 7D # 76 - 48</t>
  </si>
  <si>
    <t>LUISA BASTIDAS ROMERO</t>
  </si>
  <si>
    <t>Tulia Ines Pardo Diaz</t>
  </si>
  <si>
    <t>KR 8G # 87 - 20 APTO 1</t>
  </si>
  <si>
    <t>Carolina Esther Martinez Arevalo</t>
  </si>
  <si>
    <t>KR 8G # 94 - 50</t>
  </si>
  <si>
    <t>Sonia Isabel Martinez Santos</t>
  </si>
  <si>
    <t>CL 77 # 7C - 44</t>
  </si>
  <si>
    <t>Fidelina Maria Perez Barragán</t>
  </si>
  <si>
    <t>Cra 6e#74-16</t>
  </si>
  <si>
    <t>Diana Esther Escorcia Gonzalez</t>
  </si>
  <si>
    <t>Cl 71#7b-14</t>
  </si>
  <si>
    <t>Rosalba Florez Barreto</t>
  </si>
  <si>
    <t>KR 7D # 75 - 27</t>
  </si>
  <si>
    <t>Ingris Esther Dita Caballero</t>
  </si>
  <si>
    <t xml:space="preserve">KKR 8C # 93 - 69 APTO </t>
  </si>
  <si>
    <t>Esperanza Vanegas Ruiz</t>
  </si>
  <si>
    <t>KR 8G # 60B - 73</t>
  </si>
  <si>
    <t>Elena</t>
  </si>
  <si>
    <t>Monica Patricia Garcia Imitola</t>
  </si>
  <si>
    <t xml:space="preserve">DG 64 # 9K - 07 </t>
  </si>
  <si>
    <t>Mabel Esther Pacheco Pantoja</t>
  </si>
  <si>
    <t>3104403702-3242644919</t>
  </si>
  <si>
    <t>CL 88 # 7A - 54 APTO 1</t>
  </si>
  <si>
    <t>Francia Elena Urina Figueroa</t>
  </si>
  <si>
    <t>CL 60E # 8A - 17</t>
  </si>
  <si>
    <t>Aida Luz Ortega Jimenez</t>
  </si>
  <si>
    <t>KR 8C # 74 - 88</t>
  </si>
  <si>
    <t>Dilsa Maria Zuares Anaya</t>
  </si>
  <si>
    <t>Cra 8c#74a-22</t>
  </si>
  <si>
    <t>Felix Quintero</t>
  </si>
  <si>
    <t>KR 9 # 60 - 24</t>
  </si>
  <si>
    <t>Maria De Las Mercedes Orozco Ortega</t>
  </si>
  <si>
    <t>CL 88 # 7E - 92</t>
  </si>
  <si>
    <t>Jhoel Adolfo Caballero Solano</t>
  </si>
  <si>
    <t>3058031075- 3175350910</t>
  </si>
  <si>
    <t>KR 8C # 74A - 57</t>
  </si>
  <si>
    <t>Farina Ester Suarez Carvajal</t>
  </si>
  <si>
    <t>KR 8G # 60B - 80</t>
  </si>
  <si>
    <t xml:space="preserve">Danith Esther Marbello Medina </t>
  </si>
  <si>
    <t>Cl 72a #8a-09</t>
  </si>
  <si>
    <t>Argemiro Manuel Peña Palacin</t>
  </si>
  <si>
    <t>kR 7D # 76 - 67</t>
  </si>
  <si>
    <t>XIOMARA</t>
  </si>
  <si>
    <t>Luz Aida Albis Tapias</t>
  </si>
  <si>
    <t>KR 9 # 58 - 14</t>
  </si>
  <si>
    <t>DANI PATIÑO</t>
  </si>
  <si>
    <t>KR 7E # 75 - 48 APTO 1</t>
  </si>
  <si>
    <t>CLAUDIA ESTELA TERNERA RUA</t>
  </si>
  <si>
    <t>Rosalba del Carmen Sandoval</t>
  </si>
  <si>
    <t>KR 7 # 80 -23</t>
  </si>
  <si>
    <t>MARYURIS OTERO</t>
  </si>
  <si>
    <t>CL 76 # 7C - 54</t>
  </si>
  <si>
    <t>Jose Domingo Trigo Pineda</t>
  </si>
  <si>
    <t>KR 9 # 60 - 54</t>
  </si>
  <si>
    <t>Francisco Javier Charris Salas</t>
  </si>
  <si>
    <t xml:space="preserve">CL 88 # 7 - 38 </t>
  </si>
  <si>
    <t>ERLEN MUÑOZ TORRES</t>
  </si>
  <si>
    <t>Javier Jesus Ortega De Las Salas</t>
  </si>
  <si>
    <t>Cl 72a # 9c - 122</t>
  </si>
  <si>
    <t>Marcelino De Jesus Santiago Arrieta</t>
  </si>
  <si>
    <t>KR 9B # DG 46B - 50</t>
  </si>
  <si>
    <t>Yofay Luis Sanmartin Valdez</t>
  </si>
  <si>
    <t>Cra8g#60b-120.</t>
  </si>
  <si>
    <t>Rafael Tinoco Mendoza</t>
  </si>
  <si>
    <t>3046413856 - 3127876409</t>
  </si>
  <si>
    <t>KR 7C # 73C - 07</t>
  </si>
  <si>
    <t>Adolfo Enrique Cabrera Suarez</t>
  </si>
  <si>
    <t>Cra9k#61-48</t>
  </si>
  <si>
    <t>Wilmer José Suárez Laguna</t>
  </si>
  <si>
    <t>kR 8C # 73D - 96</t>
  </si>
  <si>
    <t>Tony Anibal Hernández Julio</t>
  </si>
  <si>
    <t>KR 8C # 74 - 53</t>
  </si>
  <si>
    <t>Cesar Gonzalez Gomez</t>
  </si>
  <si>
    <t>Cl 73c#7e-27</t>
  </si>
  <si>
    <t>Luis Daniel Pacheco Fernandez</t>
  </si>
  <si>
    <t>KR 8G # 93 - 127 APTO 2</t>
  </si>
  <si>
    <t>Jesus Rafael De Avila Bermudez</t>
  </si>
  <si>
    <t>CL 73C # 7E - 93</t>
  </si>
  <si>
    <t>Rodolfo Rafael De Avila Pacheco</t>
  </si>
  <si>
    <t>KR 8G # 60 - 17</t>
  </si>
  <si>
    <t>Cesar Cristobal Colon Saltarin</t>
  </si>
  <si>
    <t>CL 73D # 8G - 15</t>
  </si>
  <si>
    <t>Ostasiano Peña Conde</t>
  </si>
  <si>
    <t>Cra 6b#72-63</t>
  </si>
  <si>
    <t>Juan José Torres Moreno</t>
  </si>
  <si>
    <t>Cl 63a# 9k-223</t>
  </si>
  <si>
    <t>Victor Jose Rivera Acosta</t>
  </si>
  <si>
    <t>Cra 7b#72-04</t>
  </si>
  <si>
    <t>Hugo Alfredo Viloria Corro</t>
  </si>
  <si>
    <t>KR 8C # 87 - 26</t>
  </si>
  <si>
    <t>Cristobal Maria Rubio Montier</t>
  </si>
  <si>
    <t>CR 6e#73c-71</t>
  </si>
  <si>
    <t>Lacides Alfonso Pedroza Mendoza</t>
  </si>
  <si>
    <t>KR 8B # 93 - 43 APTO 1</t>
  </si>
  <si>
    <t>Alvaro Enrique Suarez Segura</t>
  </si>
  <si>
    <t>Cr6b#73-50</t>
  </si>
  <si>
    <t>LUIS MANUEL OJEDA ALVAREZ</t>
  </si>
  <si>
    <t>SERGIO</t>
  </si>
  <si>
    <t>Abimael Mendoza Medrano</t>
  </si>
  <si>
    <t>KR 9A # 75 - 112</t>
  </si>
  <si>
    <t>Ivan Enrique Tovar Aragon</t>
  </si>
  <si>
    <t>KR 7H # 77 - 51</t>
  </si>
  <si>
    <t>Agustin Anselmo Escorcia Villa</t>
  </si>
  <si>
    <t>CL 77 # 7C - 40</t>
  </si>
  <si>
    <t>Juan Perez Villa</t>
  </si>
  <si>
    <t>3216974061- 3128687354</t>
  </si>
  <si>
    <t>CL 73 # 7E 67</t>
  </si>
  <si>
    <t>Celso Sampayo</t>
  </si>
  <si>
    <t>DG 64B # 9J1 - 14</t>
  </si>
  <si>
    <t>Ricardo Alfredo Conrado Perez</t>
  </si>
  <si>
    <t>Cl 61#9k-21</t>
  </si>
  <si>
    <t>PEDRO DE JESUS HERNANDEZ NOVOA</t>
  </si>
  <si>
    <t>DDG 64B # 9J1 - 14</t>
  </si>
  <si>
    <t>Apolinar Alfaro Hernandez</t>
  </si>
  <si>
    <t>KR 9E # 75 - 18</t>
  </si>
  <si>
    <t>Wilfrido Rafael Ortega Ruiz</t>
  </si>
  <si>
    <t>KR 8C # 87 - 70</t>
  </si>
  <si>
    <t>Rafael Alberto Carrillo Villa</t>
  </si>
  <si>
    <t>KR 7D # 74 - 45</t>
  </si>
  <si>
    <t>Jose Luis Torres Rivera</t>
  </si>
  <si>
    <t>CL 77 # 6E - 64</t>
  </si>
  <si>
    <t>YAMILE BAHOS BELTRAN</t>
  </si>
  <si>
    <t>CALLE 4C OESTE # 76BIS-33</t>
  </si>
  <si>
    <t>ECC</t>
  </si>
  <si>
    <t>CALI</t>
  </si>
  <si>
    <t>CESOLES</t>
  </si>
  <si>
    <t>LAURA NATALY JOJOHA</t>
  </si>
  <si>
    <t>CALLE 3F OESTE # 66B1-27</t>
  </si>
  <si>
    <t>LA CRUZ</t>
  </si>
  <si>
    <t>LUZ DARY HINESTROZA</t>
  </si>
  <si>
    <t>CRA 76B OESTE # 4C-33</t>
  </si>
  <si>
    <t>SORAIDA ARCOS</t>
  </si>
  <si>
    <t>CALLE 4D OESTE # 72-24</t>
  </si>
  <si>
    <t>MAYRA ALEJANDRA MUÑOZ</t>
  </si>
  <si>
    <t>CALLE 4C OESTE # 76CBIS-19</t>
  </si>
  <si>
    <t>YORLEINY BELTRAN</t>
  </si>
  <si>
    <t>CALLE 4D OESTE # 70A-38</t>
  </si>
  <si>
    <t>LUIS ANGEL GARZON BARONA</t>
  </si>
  <si>
    <t>CRA 76D OESTE #3A-75</t>
  </si>
  <si>
    <t>FRANCELINE MOJOMBOY</t>
  </si>
  <si>
    <t>ELIANA VANEGAS</t>
  </si>
  <si>
    <t>CRA 76B1OESTE#4C-13</t>
  </si>
  <si>
    <t>LICETH PALECHOR</t>
  </si>
  <si>
    <t>ALTO LOS CHORROS CASA 673</t>
  </si>
  <si>
    <t>JULY GIRALDO</t>
  </si>
  <si>
    <t>CRA 76D OESTE #2-47</t>
  </si>
  <si>
    <t>JESSICA ANDREA JARAMILLO</t>
  </si>
  <si>
    <t>FABIO NELSON FAJARDO</t>
  </si>
  <si>
    <t>3165405632-3106546523</t>
  </si>
  <si>
    <t>CALLE 4D OESTE # 70A-19</t>
  </si>
  <si>
    <t>WILLIAM ESTEBAN DELGADO</t>
  </si>
  <si>
    <t>CALLE 4 OESTE # MANZANA 3 CASA 132</t>
  </si>
  <si>
    <t>NANCY MARALLINO</t>
  </si>
  <si>
    <t>CALLE 4D # 76A-28</t>
  </si>
  <si>
    <t>WALTER JIMENEZ</t>
  </si>
  <si>
    <t>MANZANA 4A CASA 17</t>
  </si>
  <si>
    <t>DAVID MARIN</t>
  </si>
  <si>
    <t>LUZ DEI CAÑA</t>
  </si>
  <si>
    <t>CALLEJON SOPOTE CASA 701</t>
  </si>
  <si>
    <t>ANGIE ALARCON</t>
  </si>
  <si>
    <t>CALLE 4C OESTE # 76C-31</t>
  </si>
  <si>
    <t>LA ESPERANZA</t>
  </si>
  <si>
    <t>YOHANA CORREA</t>
  </si>
  <si>
    <t>ALTO NAPOLES CASA 306</t>
  </si>
  <si>
    <t>DIANA MARCELA HOYOS</t>
  </si>
  <si>
    <t>CRA 76 C OESTE # 3BO-26</t>
  </si>
  <si>
    <t>ELIANA PILLIMUE</t>
  </si>
  <si>
    <t>CRA 76B OESTE # 4C-56</t>
  </si>
  <si>
    <t>ESTEFANIA HIDALGO</t>
  </si>
  <si>
    <t>calle 4d oeste # 7a-11</t>
  </si>
  <si>
    <t>JORGE ISMAEL TRUQUE</t>
  </si>
  <si>
    <t>CALLE 4C BIS OESTE # 76CBIS-04</t>
  </si>
  <si>
    <t>MIGUEL ANGEL MUÑOZ</t>
  </si>
  <si>
    <t>MANZANA 4 CASA 153</t>
  </si>
  <si>
    <t>OMAR ANDES ZUÑIGA</t>
  </si>
  <si>
    <t>CALLE 4DBIS OESTE # 71A-21</t>
  </si>
  <si>
    <t>GILBERTO BERRIO</t>
  </si>
  <si>
    <t>CALLE 40 OESTE # 76A-11</t>
  </si>
  <si>
    <t>HECTOR FABIO GARCIA</t>
  </si>
  <si>
    <t>CRA 76 B OESTE # 4C-57</t>
  </si>
  <si>
    <t>JOSE WILSON NARVAEZ</t>
  </si>
  <si>
    <t>CALLE 4DBIS OESTE # 76-13</t>
  </si>
  <si>
    <t>JOSE MAURO LANDASURI</t>
  </si>
  <si>
    <t>ALTOS LOS CHORROS SECTOR LAS MINAS CASA 199</t>
  </si>
  <si>
    <t>EDUARDO TOVAR</t>
  </si>
  <si>
    <t>CALLE 4D OESTE # 76-16</t>
  </si>
  <si>
    <t>ELENA CATAÑO</t>
  </si>
  <si>
    <t>ALTO NAPOLES</t>
  </si>
  <si>
    <t>LUCIA MENDOZA RUIZ</t>
  </si>
  <si>
    <t>CALLE 4D OESTE # 70A-44</t>
  </si>
  <si>
    <t>MARIA ISMENA VALENCIA</t>
  </si>
  <si>
    <t>CRA 70A OESTE # 4D-28</t>
  </si>
  <si>
    <t>ROSA MARIA RIOS</t>
  </si>
  <si>
    <t>CALLE 4C OESTE # 76B BIS-03</t>
  </si>
  <si>
    <t>GRACIELA PAZ</t>
  </si>
  <si>
    <t>CALLE 4C ESTE # 74G-05</t>
  </si>
  <si>
    <t>ANA  CECILIA USSA</t>
  </si>
  <si>
    <t>CASA 639</t>
  </si>
  <si>
    <t>MARINA CONEJO</t>
  </si>
  <si>
    <t>CRA 76B1 OESTE # 4A-30</t>
  </si>
  <si>
    <t>RENUNCIO AL PROGRAMA</t>
  </si>
  <si>
    <t xml:space="preserve">MARLENY LONDOÑO </t>
  </si>
  <si>
    <t>CLL 4 D OESTE # 76BIS-21</t>
  </si>
  <si>
    <t>GILBERTO LONDOÑO BERNAL</t>
  </si>
  <si>
    <t>CRA 76A OESTE # 46-48</t>
  </si>
  <si>
    <t>BELLA NELY CAPOTE</t>
  </si>
  <si>
    <t>CRA 71A OESTE # 4C-47</t>
  </si>
  <si>
    <t>ROSMIRA CARDENAS OCAMPO</t>
  </si>
  <si>
    <t>CRA 76 D OESTE # 4C-104</t>
  </si>
  <si>
    <t>PROQUING SAS</t>
  </si>
  <si>
    <t>ANA CENEIDA ESCOBAR</t>
  </si>
  <si>
    <t>CALLE 2F OESTE # 76C - 21</t>
  </si>
  <si>
    <t>GREGORIA ORJUELA VALLE</t>
  </si>
  <si>
    <t>CRA 76 OESTE # 4C - 136</t>
  </si>
  <si>
    <t>MARIA ELENA MELENDEZ</t>
  </si>
  <si>
    <t>CALLE 4D OESTE # 76 BIS 1-16</t>
  </si>
  <si>
    <t>MARIA SANDOVAL</t>
  </si>
  <si>
    <t>CALLE 4 OESTE 76-40</t>
  </si>
  <si>
    <t>SANDRA MILENA TORO</t>
  </si>
  <si>
    <t>KR 76 DBIS 4C BIS 28</t>
  </si>
  <si>
    <t>LUZ ENEIDA BERMUDEZ</t>
  </si>
  <si>
    <t>CRA 74 4 BIS 05</t>
  </si>
  <si>
    <t>MARLENE BONILLA AGRADO</t>
  </si>
  <si>
    <t>CRA 76 D OESTE # 4C-126</t>
  </si>
  <si>
    <t>FANNY CABEZA IBORRA</t>
  </si>
  <si>
    <t>CALLE 4D OESTE # 76-26</t>
  </si>
  <si>
    <t>MARIA MILLER MONSALVE</t>
  </si>
  <si>
    <t>CALLE 4E OESTE # 76 BIS - 12</t>
  </si>
  <si>
    <t>GLORIA AMPARO PALACIOS</t>
  </si>
  <si>
    <t>CALLE 4D OESTE # 76DBIS-32</t>
  </si>
  <si>
    <t>LUZ MARINA SALDARRIAGA</t>
  </si>
  <si>
    <t>CALLE 3C BIS OESTE #76 C - 27</t>
  </si>
  <si>
    <t>LEONOR RUIZ</t>
  </si>
  <si>
    <t>CRA 76 A OESTE # 4B BIS - 09</t>
  </si>
  <si>
    <t>BLANCA INES MENA</t>
  </si>
  <si>
    <t>CALLE 4C OESTE # 76 B 1 - 10</t>
  </si>
  <si>
    <t>MARIA LUCILDA RINCON</t>
  </si>
  <si>
    <t>CRA 75A # 5BIS - 15</t>
  </si>
  <si>
    <t>ELIDA ROSA RODRIGUEZ</t>
  </si>
  <si>
    <t>CRA 76E OESTE # 4C BIS - 38</t>
  </si>
  <si>
    <t>MARIA ISABELINA DAVID</t>
  </si>
  <si>
    <t>CALLE 4D OESTE # 70A - 50</t>
  </si>
  <si>
    <t>LUIS MIGUEL POTOSI</t>
  </si>
  <si>
    <t>CRA 76B #  45 CASA 663</t>
  </si>
  <si>
    <t>MONICA REBOLLEDO</t>
  </si>
  <si>
    <t xml:space="preserve">CALLE 4D OESTE # 76 - </t>
  </si>
  <si>
    <t>STELLA GUTIERREZ</t>
  </si>
  <si>
    <t>CALLE 4D OESTE # 76B - 34</t>
  </si>
  <si>
    <t>ASUNCION ORTEGA</t>
  </si>
  <si>
    <t>CALLE 4D OESTE # 72 - 28</t>
  </si>
  <si>
    <t>MARIA JESUS CORDOBA</t>
  </si>
  <si>
    <t>CALLE 4E OESTE # 76BIS - 05</t>
  </si>
  <si>
    <t>MARIA LUZ GONZALEZ MENDOZA</t>
  </si>
  <si>
    <t>OBDULIA CABEZAS IBARRA</t>
  </si>
  <si>
    <t>MANZANA 4 CASA 155</t>
  </si>
  <si>
    <t>SANDRA MONSALVE</t>
  </si>
  <si>
    <t>CRA 70A OESTE # 4B - 04</t>
  </si>
  <si>
    <t>RUSBITA JIMÉNEZ GARZON</t>
  </si>
  <si>
    <t>MANZANA 4 CASA 177</t>
  </si>
  <si>
    <t>ASCENETH GIL DUARTE</t>
  </si>
  <si>
    <t>CRA 76B OESTE # 64C - 62</t>
  </si>
  <si>
    <t>PASTORA ERAZO</t>
  </si>
  <si>
    <t>CRA 80 # 3G - 55</t>
  </si>
  <si>
    <t>PROQUING</t>
  </si>
  <si>
    <t>MARIA QUINTERO GRISALES</t>
  </si>
  <si>
    <t>CRA 70A OESTE # 4D - 04</t>
  </si>
  <si>
    <t>BOLIVAR CORREA</t>
  </si>
  <si>
    <t>ALTONAPOLES CASA 307</t>
  </si>
  <si>
    <t>GERARDO GUETIO</t>
  </si>
  <si>
    <t>CALLE 4 D OESTE # 71 -32</t>
  </si>
  <si>
    <t>BERNARDITA CORDOBA</t>
  </si>
  <si>
    <t>CALLE 4E # 76 - 04 BIS</t>
  </si>
  <si>
    <t>PASTORA MARTINEZ</t>
  </si>
  <si>
    <t>CRA 76B OESTE # 46 - 06</t>
  </si>
  <si>
    <t>CECILIA JASMIN ARROYO</t>
  </si>
  <si>
    <t>CALLE 4E OESTE# 76 -21</t>
  </si>
  <si>
    <t>ARGENIS MUÑOZ</t>
  </si>
  <si>
    <t>MANZANA 5 CASA # 195</t>
  </si>
  <si>
    <t>DILÍA FRANKY VALENCIA FERNÁNDEZ</t>
  </si>
  <si>
    <t>CALLE 4C OESTE #76C - 61</t>
  </si>
  <si>
    <t>GLORIA DE JESUS TELAG</t>
  </si>
  <si>
    <t>CALLE 4D BIS OESTE # 76A - 21</t>
  </si>
  <si>
    <t>MARTHA CECILIA LOPEZ</t>
  </si>
  <si>
    <t>CALLE 4E OESTE # 76 - 17</t>
  </si>
  <si>
    <t>CARMEN ALICIA ARMERO</t>
  </si>
  <si>
    <t>CRA74G OESTE # 4B - 86</t>
  </si>
  <si>
    <t>ERMILA HOYOS</t>
  </si>
  <si>
    <t>CRA 76 A BIS OESTE # 4E - 07</t>
  </si>
  <si>
    <t xml:space="preserve">AURA ELENA ARCOS </t>
  </si>
  <si>
    <t>CALLE 4D OESTE # 72 - 08</t>
  </si>
  <si>
    <t>SANDRA MARLEN TOVAR</t>
  </si>
  <si>
    <t>CRA 76C OESTE # 3BIS - 08</t>
  </si>
  <si>
    <t>JESUS FRANCO GUERRA</t>
  </si>
  <si>
    <t>CRA 76 OESTE # 43-35</t>
  </si>
  <si>
    <t>CESAR AUGUSTO PERDOMO</t>
  </si>
  <si>
    <t>CALLE 4C OESTE # 76C BIS - 15</t>
  </si>
  <si>
    <t>OBSERVACIONES</t>
  </si>
  <si>
    <t>JENNIFER VICTORIA LEON</t>
  </si>
  <si>
    <t>CALLE 4 B OESTE # 73 - 55</t>
  </si>
  <si>
    <t>LAS MINAS/LOS CHORROS</t>
  </si>
  <si>
    <t>La zona de mejoramiento del piso, se contempla toda la casa
La zona de la cocina no cuenta con un meson acto para realizar las actividades, 
cuenta con un punto hidraulico cerca a la cocina</t>
  </si>
  <si>
    <t>JOSE NAIN MOSQUERA CHICO</t>
  </si>
  <si>
    <t>MANZANA 5 CASA 227</t>
  </si>
  <si>
    <t>La zona de intervencion del baño solo se le realizaria la parte del lava manos 
y ducha, el espacio cuenta con enchape
La zona de mejoramiento de la cocina se encuentra en mal estado el meson 
donde se le planteara un meson nuevo tipo L</t>
  </si>
  <si>
    <t>REINALDO LUCUMI</t>
  </si>
  <si>
    <t>CLL 4B OESTE #73-74</t>
  </si>
  <si>
    <t>El baño no cuenta con lavamanos ni espacio para ello, por las 
dimenciones del espacio de la vivienda
 La cocina esta en muy malas condiciones (meson agrietado y 
pandeado por el grosor de la superficie)</t>
  </si>
  <si>
    <t>NILSEN YANE ANGULO ANGULO</t>
  </si>
  <si>
    <t>MANZANA 8 CASA 5</t>
  </si>
  <si>
    <t>La zona a intervenir (el baño), cuenta ya con el revoque pero esta deteriorado y en algunos pedasos undido. *El baño esta levantado (nv+0.10m)</t>
  </si>
  <si>
    <t>JANIA PAOLA CAICEDO CUERO</t>
  </si>
  <si>
    <t>CRA 74G OESTE #4B 80</t>
  </si>
  <si>
    <t>El baño se encuentra en muy mala condicion, por que la ducha tambien sirve 
como sifon del lavaplatos de la cocina
La cocina se encuentra en malas condiciones por que el meson esta 
totalmente pandeado y fracturado por unos laterales</t>
  </si>
  <si>
    <t>LUZ ESTRELLA GUETIO ZETTY</t>
  </si>
  <si>
    <t>MANZANA 1 CASA 75</t>
  </si>
  <si>
    <t>El baño cuenta con una limitante y es que sus muros que confinan el baño son 
bajos  a comparicon del muro perimetral de la casa, tambien presenta 
problemas de humedad en la parte inferior de los muros
La cocina cuenta con un buen meson en buen estado, el muro de atrás es mas 
bajo de los laterales</t>
  </si>
  <si>
    <t>HELY JOHANNA ZUÑIGA HUILA</t>
  </si>
  <si>
    <t>CR 71 A BIS OESTE 4B - 05</t>
  </si>
  <si>
    <t>La zona de mejoramiento de la cocina uno de sus muros es bajo, es 
necesario continuarlo hasta llegar al techo para confinar el lado de la 
medida del meson de 0.60
La zona de mejoramiento del baño, el espacio esta compartido con el 
tanque de lavado de ropas</t>
  </si>
  <si>
    <t>CLAUDIA MILENA SABOGAL YANTEN</t>
  </si>
  <si>
    <t>CALLE 4 B OESTE # 73 -18</t>
  </si>
  <si>
    <t>El baño cuenta con un enchape de piso solo en la ducha pero en malas 
condiciones</t>
  </si>
  <si>
    <t>DIANA LUCERO BELALCÁZAR PECHENE</t>
  </si>
  <si>
    <t>CALLE 4 B OESTE # 74 -76</t>
  </si>
  <si>
    <t>La zona de mejoramiento se encuentra en la habitacion y en la zona de cocina 
se encuentran en piso en tierra y partes de un mortero en mal estado 
El baño cuenta con un encghape de piso en mal estado, tambien el bañño se 
encuentra dividido en dos modeluos
La cocina cuenta con un meson en muy malas condiciones</t>
  </si>
  <si>
    <t>MILTON JAVIER SABOGAL YANTEN</t>
  </si>
  <si>
    <t>CL4B BIS OESTE 73A- 33</t>
  </si>
  <si>
    <t>La zona de mejoramiento del piso se encuentra entre el volumen de la casa y 
el volumen del baño, toca realizar demolicion para poder instalar el piso
La zona de mejoramiento del baño es compartido con la zona de ropas y es 
un volumen que no tienen muros si no de latas y esterilla
La zona de mejoramiento de la cocina, la intervencion solo se realizaria en el 
meson que esta un mul mal estado y la zona no tiene muros los cual es una 
limitante para el enchape y revestimiento</t>
  </si>
  <si>
    <t>MARIA MAGOLA MESA CASTILLO</t>
  </si>
  <si>
    <t>CR 74G BIS OESTE 4-23</t>
  </si>
  <si>
    <t xml:space="preserve"> El baño ya cuenta con enchape en el piso pero muy deteriorado 
(quebrada las fichas)</t>
  </si>
  <si>
    <t>ANDERSON TORRES LUCUMI</t>
  </si>
  <si>
    <t>CR 74G OESTE 4B-19</t>
  </si>
  <si>
    <t>ANDRES FELIPE GONZALEZ ESPINOSA</t>
  </si>
  <si>
    <t>CR 74G OESTE 4 37 ESCUELA LAS MINAS</t>
  </si>
  <si>
    <t xml:space="preserve">El baño no cuenta con ducha, se encuentra enchapado pero el enchape del 
piso esta muy deteriorado (fichas quebradas)
La cocina no cuenta con un meson si no con una mesa de madera </t>
  </si>
  <si>
    <t>LORENA CAICEDO CAICEDO</t>
  </si>
  <si>
    <t>CRA 74G OESTE #4B 62</t>
  </si>
  <si>
    <t>La zona de mejoramiento del piso se encuentra en el acceso a la casa 
La casa no cuenta con una zona propicia para la cocina, solo tiene una mesa 
que usan como meson de medidas reducidas
El baño no cuenta con muros divisorios de delimiten el espacio</t>
  </si>
  <si>
    <t>DIANA PATRICIA TORRES HOYOS</t>
  </si>
  <si>
    <t>3163983902-3160525170</t>
  </si>
  <si>
    <t>CL 4B OESTE 73-10</t>
  </si>
  <si>
    <t>*La zona de mejoramiento se encuentra en el sitio de la circulacion y cocina 
(piso en tierra actualmente)
La zona de mejoramiento del baño cuenta con muros con una altura muy 
baja y no cuenta con cielo falso si no tablas para almacenar cosas arriba
La cocina cuenta con un meson en asero inoxidable que esta en la propiedad 
pero le pertenece a un familiar, pendiente a confirmacion de usarlo</t>
  </si>
  <si>
    <t>PAOLA CRUZ</t>
  </si>
  <si>
    <t>MANZANA 1 CASA 72</t>
  </si>
  <si>
    <t>La zona de mejoramiento en el piso se contempla toda la casa 8nv inferio), se 
encuentra en tierra en este momento
La cocina no cuenta con un meson para realizar el trabajo, no cuenta con 
lavaplatos</t>
  </si>
  <si>
    <t>ARGENIS FAJARDO FLOREZ</t>
  </si>
  <si>
    <t>CARRERA 74 G OESTE # 4-35</t>
  </si>
  <si>
    <t xml:space="preserve">El baño se encuentra con repello, y los aparatos sanitarios en buen 
estado 
La cocina cuenta con un meson en buen estado y enchapado </t>
  </si>
  <si>
    <t>GLEISY ELENA GONZALEZ</t>
  </si>
  <si>
    <t>CALLE 4 OESTE #72B 73</t>
  </si>
  <si>
    <t xml:space="preserve">*El baño comparte espacio junto a la cocina, no cuenta con ducha ni 
lavamanos
La cocina cuenta con un buen meson en granito </t>
  </si>
  <si>
    <t>DIANA MARCELA REZA CAÑARTE</t>
  </si>
  <si>
    <t>CRA 74G OESTE #4B 38</t>
  </si>
  <si>
    <t>La zona de mejoramiento en piso se encuentra en las habitaciones y con base a la placa ya preexistente tiene un desfase de 0.15 en nivel</t>
  </si>
  <si>
    <t>MARLEN BRAVO MILLÁN</t>
  </si>
  <si>
    <t>CARRERA 76 B OESTE N 4 -25</t>
  </si>
  <si>
    <t>El baño no cuenta con un espacio amplio, el baño no cuenta con aparatos 
sanitarios, en/ esta momento esta como bodega 
La cocina cuenta con un meson nuevo en buen estado y lavaplatos</t>
  </si>
  <si>
    <t>SONIA YANETH ORTEGA ARCOS</t>
  </si>
  <si>
    <t>CLL 4B OESTE #73-79</t>
  </si>
  <si>
    <t>La zona de intervencion del baño se encuentra en el nivel inferior de la casa 
donde actualmente se usa como bodega de materiales
la cocina en las fotos aparenta ser tipo"L" pero es lineal y la otra parte es un 
mueble que contiene el lavaplatos. El estado del mesón está deficiente</t>
  </si>
  <si>
    <t>FRAN MARDEN GALLEGO YANGUATIN</t>
  </si>
  <si>
    <t>KR 74G OESTE 4B44 CASA 1</t>
  </si>
  <si>
    <t>*La zona de mejoramiento del piso se encuentra en la parte de la casa donde 
actualmente esta la cocina y el baño
*La cocina actualmente es un meson en madera muy pequeño que no da 
respuesta a la actividad</t>
  </si>
  <si>
    <t>PAOLA ANDREA DIAZ ZAMORA</t>
  </si>
  <si>
    <t>KR 74# 4B-45</t>
  </si>
  <si>
    <t xml:space="preserve">*En la zona de mejoramiento en la cocina tener encuenta de que el espacio se 
eleva en comparacion al acceso 0.10m a 0.15m.   *tambien la zona cuenta con 
cables electricos atravezados por el espacio
En la zona de mejoramiento del baño, tener encuenta de que no tiene cielo si 
no unas tablas donde *ponen cosas para guardar </t>
  </si>
  <si>
    <t>LUIS ANTONIO RENGIFO POSSO</t>
  </si>
  <si>
    <t>3113088271-3213071099</t>
  </si>
  <si>
    <t>CLL 3 C OESTE 92-87</t>
  </si>
  <si>
    <t>En el sector del baño, donde esta ubicada la ducha el techo esta un poquito corrido</t>
  </si>
  <si>
    <t>ISABEL CRISTINA ELEJALDE</t>
  </si>
  <si>
    <t xml:space="preserve">El baño cuenta con una limitante y es el tamaño, es un espacio muy reducido y 
mover el muro no es una opcion por que esta el tablero de breakets 
La cocina se encuentra en muy buenas condiciones, la limitante es de 
que no cuenta con salida de agua </t>
  </si>
  <si>
    <t>YESICA ANACONA ZAMORA</t>
  </si>
  <si>
    <t>KR 74G #49</t>
  </si>
  <si>
    <t xml:space="preserve">La zona de mejoramiento del baño tiene tuberia hidraulica a la vista, para tener encuenta en la ejecucion de obra
La zona de mejoramiento de la cocina esta ubicada de frente al acceso, 
actualmente esta en una habitacion </t>
  </si>
  <si>
    <t>LEIDY VIVIANA LLANOS ANGULO</t>
  </si>
  <si>
    <t>CRA 74G OESTE #4B 32</t>
  </si>
  <si>
    <t xml:space="preserve">El baño en este momento no esta en uso, por que esta incompleto y 
falta apartos
La cocina cuenta con un buen meson en longitud y cuenta con 
lavaplatos </t>
  </si>
  <si>
    <t>HELDA LIBEY LUCUMI LUCUMI</t>
  </si>
  <si>
    <t>CRA 71B OESTE #4B 1MANZANA 1 CASA 80</t>
  </si>
  <si>
    <t>*El baño cuenta con uno de los muros en mal estada (rotos), para el paso de la 
tuberia   *Uno de los muros cuenta con una altura inferior a las demas 
La cocina cuenta con un meson grande en longitud pero muy pandeado por 
que no tiene el grosor minimo para soportar el peso de la actividad</t>
  </si>
  <si>
    <t>JESSICA ANDREA LLANOS RODRIGUEZ</t>
  </si>
  <si>
    <t>CALLE 4 OESTE #74G 22</t>
  </si>
  <si>
    <t xml:space="preserve">La zona de mejoramiento de piso se encuentra en dos zonas, la primera 
en la sala comedor y la cocina </t>
  </si>
  <si>
    <t>JOSE ARBEY ZUÑIGA FERNANDEZ</t>
  </si>
  <si>
    <t>CRA 74G #4 17</t>
  </si>
  <si>
    <t>La zona de mejoramiento del piso son las habitaciones 01 y 02
*La cocina no cuenta con meson si no un amesa donde realizan la actividad de 
cocina 
*El baño cuenta con un amedida amplia, pero no tienen muros divisorios y 
cuenta con una ventana longitudinal superior del muro</t>
  </si>
  <si>
    <t>LEIDY TATIANA CAMILO MUÑOZ</t>
  </si>
  <si>
    <t>CRA 74G OESTE #4B 44</t>
  </si>
  <si>
    <t xml:space="preserve"> La cocina cuenta con un meson muy pandeado y dañado, cuenta con 
lavaplatos pero sin punto hidraulico y sanitario
 El baño cuenta con un muro divisorio bajo que se espera continuar para 
confinar el area de la ducha</t>
  </si>
  <si>
    <t>CINDY KATHERINE ORTEGA NIÑO</t>
  </si>
  <si>
    <t>CALLE 4 B OESTE # 73D BIS 68</t>
  </si>
  <si>
    <t xml:space="preserve">La zona de mejoramiento se encuentra en la habitacion y en la zona de la 
cocina que esta en el exterior
La cocina cuenta con meson de madera tipo mesas y no cuenta con suministro 
de agua en esa zona
*El baño cuenta con encha de piso(en mal estado), y parcialmente enchape en 
paredes </t>
  </si>
  <si>
    <t>NORMAN MONTAÑO SATIZABAL</t>
  </si>
  <si>
    <t>MARIO DE JESUS ZAMORA DIAZ</t>
  </si>
  <si>
    <t>CRA 74G OESTE #4B 59</t>
  </si>
  <si>
    <t xml:space="preserve">*La zona de mejoramiento del piso se encuentra en la zona de baño y ropas en 
el nivel inferior
*El baño no cuenta con ducha ni lavamanos solo sanitario, tambien tienen el 
terreno de la montaña dentro del espacio </t>
  </si>
  <si>
    <t>GUILLERMO RIVAS</t>
  </si>
  <si>
    <t>CALLE 4 OESTE #73D BIS 86</t>
  </si>
  <si>
    <t>La zona de mejoramiento en el piso es en la zona de la cocina
La cocina no cuenta con un meson para realizar las actividades de cocina, no 
cuenta con lavaplatos
*El baño es un modulo exento de la casa dividido por el sanitario y la ducha, del 
cual el sanitario se encuentra enchapado los muros y el piso(el enchape del piso 
esta deteriorado)</t>
  </si>
  <si>
    <t>YULEYDY SUHEY OCHOA FREITES</t>
  </si>
  <si>
    <t>CL 4B OESTE 73DBIS-81</t>
  </si>
  <si>
    <t>En la zona del mejoramiento del baño por su dimencion en el area 
destinada y en general en la propiedad no se le puede suministrar 
lavamanos 
Se realiza el cambio de la zona de cocina por que actualmente esta 
apoyada en una pared de mamposteria que no esta firme y diende a 
moverse con la presion</t>
  </si>
  <si>
    <t>OMAR CORREA GARRIDO</t>
  </si>
  <si>
    <t>CALLE 4 OESTE #73D BIS 102</t>
  </si>
  <si>
    <t xml:space="preserve">La zona de mejoramiento en el piso se encuentra en la cocina 
El baño cuenta con alturas muy bajas por que la zona donde esta el baño se 
eleva mas que el nivel de la casa 
*La cocina cuenta con un meson enchapado en mal estado las baldosas, 
pandeado y al eje del meson </t>
  </si>
  <si>
    <t>HEBER MOSQUERA GUE</t>
  </si>
  <si>
    <t>CL 4B OESTE #71-25</t>
  </si>
  <si>
    <t xml:space="preserve">La zona de intervencion de piso es en la habitacion 03 de la casa, donde en 
este momento es de tierra
La zona de intervencion del baño esta junto a la zona de ropas por eso se 
plante un muro que tanto ayude a confinar la ducha como a dividir el espacio </t>
  </si>
  <si>
    <t>JORGE ENRIQUE LLANOS HERNANDEZ</t>
  </si>
  <si>
    <t>CRA 74G OESTE #4B 67</t>
  </si>
  <si>
    <t xml:space="preserve">*La zona del mejoramiento en baño se encuentra atrás junto al baño, se 
encuentra un piso desnivelado
El baño cuenta solo con un sanitario que por los lados esta golpeado, el baño 
se encuentra a un nevel diferente que el acceso a la casa
*La cocina cuenta con un meson en buenas condiciones y una parte esta en 
aceso inoxidable </t>
  </si>
  <si>
    <t>JHON JAIVER GUZMAN CHOCUE</t>
  </si>
  <si>
    <t>CALLE 4 OESTE #74G 72</t>
  </si>
  <si>
    <t>El baño no cuenta con una parte de cerramiento que confine el espacio 
destinado, se encuentra en mal estado el sanitario 
*La cocina cuenta con un meson en buen estado enchapado</t>
  </si>
  <si>
    <t>NELCY MOLINA GARCIA</t>
  </si>
  <si>
    <t>CR 74B OESTE 4B -26 PISO 1</t>
  </si>
  <si>
    <t xml:space="preserve">La zona de mejoramiento del baño cuenta con un techo de lata
La cocina no cuenta con meson ni con lava platos </t>
  </si>
  <si>
    <t>TERESA GONZALES PECHENE</t>
  </si>
  <si>
    <t>CL 4B OESTE 71-19 APTO 101</t>
  </si>
  <si>
    <t xml:space="preserve">*En la zona de intervencion de la cocina tener encuenta unas muelas que se 
forman por la columnas que sobre salen al interior del espacio
*En la zona de intervencion del baño en la parte del sanitario cuenta con 
enchape de piso pero en muy mal estado </t>
  </si>
  <si>
    <t>CARMEN ROSA TORRES ARBOLEDA</t>
  </si>
  <si>
    <t xml:space="preserve">El baño no cuenta con muros divisorios para confinar el espacio 
destinado
La cocina cuenta con mesones entablas y retirado del muro por que 
hay un apoyo vertical </t>
  </si>
  <si>
    <t>SANDRA MILENA GARZON</t>
  </si>
  <si>
    <t>La cocina no tiene un espacio destinado solo se encuentra un pequeño meson 
en madera donde prepara y cocina los alimentos
En la zona del baño uno de los muros que confinan el espacio no es de la 
misma altura que maneja la casa</t>
  </si>
  <si>
    <t>HARLEM BUITRAGO BALANTA</t>
  </si>
  <si>
    <t>CRA 71B OESTE #4B 18</t>
  </si>
  <si>
    <t>La zona de mejoramiento es un rectanguro donde esta ubicado la cocina y el 
acceso del baño
*El baño no cuenta con muros perimetrales que confinen el espacio
*La cocina no cuenta con un meson si no con una pequeña mesa donde se 
realiza la actividad de cocina</t>
  </si>
  <si>
    <t>AURA MARIA SANDOVAL DE FLOREZ</t>
  </si>
  <si>
    <t>CR 4B OESTE #73 D BIS -03</t>
  </si>
  <si>
    <t xml:space="preserve">La zona de mejoramiento del baño actualmente es un espacio muy pequeño porque a 
los usuarios les toco poner rápidamente un baño para suplir la necesidad de una persona 
de edad que se mueve muy lento   
La zona de mejoramiento de la cocina actualmente cuenta con un mesón picado en 
mucho de sus bordes, se encuentra pandeado y fisurado en la junta de las dos 
intercepciones  </t>
  </si>
  <si>
    <t>ANA SOFIA FLOREZSANDOVAL</t>
  </si>
  <si>
    <t>CLL 4B OESTE #73-103</t>
  </si>
  <si>
    <t xml:space="preserve">La zona de mejoramiento del piso se encuentra en toda la zona social 
de la casa
La cocina cuenta con meson en madera, compartido con el espacio de 
ropas para poder lavar los platos 
*El baño cuenta con muros divisorios muy bajos </t>
  </si>
  <si>
    <t>DEIFILIA DE JESUS CAICEDO PANTOJA</t>
  </si>
  <si>
    <t>3103551931- 3225399989</t>
  </si>
  <si>
    <t>CL4B OESTE 71ABIS-08</t>
  </si>
  <si>
    <t xml:space="preserve">En la zona donde se va a realizar el mejoramiento actualmente (dia de la 
visita de la fase de diagnostico), estaban en ejecucion de la obra del 
baño, donde el usuario me compartio las medidas libres al interior del </t>
  </si>
  <si>
    <t>MARIA NUBIA FLOREZ SANDOVAL</t>
  </si>
  <si>
    <t>CR 72 OESTE #3A -64</t>
  </si>
  <si>
    <t>El baño se encuentra con isntalaciones hidraulicas a la vista del baño 
(tener encuenta en el revoque, pintura y enchape)
 La zona del mejoramiento es en la parte continua al baño(zona de 
ropas)</t>
  </si>
  <si>
    <t>AIXA MARÍA GASCA DOMÍNGUEZ</t>
  </si>
  <si>
    <t>CALLE 4 OESTE #73D BIS 134</t>
  </si>
  <si>
    <t>El baño no cuenta con cerramiento en estructura
*El meson de la cocina cuenta con una altura mayor de la normal 
(1.15m), lo cual se le dificulta a la señora</t>
  </si>
  <si>
    <t>MARIELLA MUÑOZ JIMENEZ</t>
  </si>
  <si>
    <t>CL 4B OESTE 73-24</t>
  </si>
  <si>
    <t>La zona de intervencion comparte con la zona de ropa (lavadero)
*La zona de intervencion de la cocina el unico muro en estructura es el que 
comparte con su vecino, por ende solo ahí se realiza el salpicadero</t>
  </si>
  <si>
    <t>NILSEN CAICEDO CHICO</t>
  </si>
  <si>
    <t>CLL 4OESTE MANZANA 8 CASA 5</t>
  </si>
  <si>
    <t>La zona de mejoramiento en piso se encuentra donde actualmente esta 
ubicado material de obra y de frente a un lado de la casa donde no hay un 
muro y se ve el terreno
No cuenta con muros divisorios que confinen el espacio destinado para el 
baño 
Cuenta con un meson en asero inoxidable en buen estado</t>
  </si>
  <si>
    <t>SANDRA MILENA VICTORIA IPIA</t>
  </si>
  <si>
    <t>CLL 4B OESTE #73-09</t>
  </si>
  <si>
    <t xml:space="preserve"> La zona donde se realizara el mejoramiento la pared de la ducha 
presenta humedad por que el muro tiene contacto con el terreno al 
exterior (muro con problemas de humedad)</t>
  </si>
  <si>
    <t>GERARDIANA CRUZ GONZALES</t>
  </si>
  <si>
    <t>CR 73 OESTE #4A- 31</t>
  </si>
  <si>
    <t>El zona destinado al baño no cuenta con un cerramiento que confine el espacio del baño, tiene el sanitario en mal estado en la tapa del tanque y por la base del sanitario</t>
  </si>
  <si>
    <t>MARIA JESUS CHICO BUENO</t>
  </si>
  <si>
    <t>CR 73 OESTE 4 A-16</t>
  </si>
  <si>
    <t>En la zona de mejoramiento del baño cuenta con muros divisorios a diferente 
altura, lo cual se intervendra a la altura de ref  2.10m
*La zona de mejoramiento de la cocina cuenta con un meso tipo "L" en muy 
mal estado tanto asi que le han puesto baldosas para poner la superficie plata 
y poder trabajar en ella</t>
  </si>
  <si>
    <t>MARIA EMILSEN GARCIA ORREGO</t>
  </si>
  <si>
    <t>Carrera 74G calle 4B OESTE - 48 piso 02</t>
  </si>
  <si>
    <t xml:space="preserve"> El  baño se encuentra con enchape en mal estado y con variedad de color lo 
cual no es estetico, tambien no cuenta con un muro divisorio 
 La cocina cuenta con un meson en muy mal estado con enchape donde las 
fichas estan despegadas y dañadas, no cuenta con lavaplatos</t>
  </si>
  <si>
    <t>ANA MILENA ESPAÑA COTAZO</t>
  </si>
  <si>
    <t>CARRERA 74 G OESTE # 4B - 66</t>
  </si>
  <si>
    <t>*El baño cuenta con muros divisorios de menor altura que los muros perimetrales de la casa
La cocina no cuenta con un mesosn si no que son unas mesas donde ejecutan 
la actividad de la cocina, tampoco cuenta con lavaplatos</t>
  </si>
  <si>
    <t>BERSALINA CAICEDO CHICO</t>
  </si>
  <si>
    <t>CALLE 4 OESTE #74G 63</t>
  </si>
  <si>
    <t>El baño es un modulo independiente de la casa que se encuentra afuera, tiene 
problemas de humedad en la parte inferior de los muros
La cocina cuenta con un meson en malas condiciones agrietado y quebrado 
por algunas esquinas</t>
  </si>
  <si>
    <t>LUZ MARINA ELEJALDE</t>
  </si>
  <si>
    <t>CALLE 4 OESTE #74G 27</t>
  </si>
  <si>
    <t>La zona de mejoramiento del piso se encuentra en la cocina, zona social y 
habitacion, se enceuntran pedasos en tierra y losas fracturadas 
*La cocina cuenta con un meson en tablas recostado sobre un muro en tablas</t>
  </si>
  <si>
    <t>LILIA MARLENE BRAVO MUÑOZ</t>
  </si>
  <si>
    <t>CL 4B OESTE 73D 44</t>
  </si>
  <si>
    <t>El baño cuenta con muros divisorios con una altura menor a la del 
perimetro de la casa 
La cocina cuenta con un meson en buen estado y lava platos</t>
  </si>
  <si>
    <t>ANA ELIZA CRUZ</t>
  </si>
  <si>
    <t>MANZANA 1 CASA 08</t>
  </si>
  <si>
    <t>El baño presenta problemas de humedad en las partes bajas de los muros 
perimetrales
*La cocina cuenta con un meson que esta cuartiado en la cara superiory se 
encuentra pandeado por mas de que tiene tres apoyos</t>
  </si>
  <si>
    <t>GLADIS STELLA MESSA SOSCUE</t>
  </si>
  <si>
    <t>CLL 4B OESTE #72-08</t>
  </si>
  <si>
    <t>*La zona de mejoramiento en piso se encuentra en el area de la cocina, 
actualmente esta en muy mal estado y con pendiente pronunciada
La cocina se encuentra en muy malas condiciones, meson en madera y sin 
suministro de agua potable 
Se encuentra en muy buenas condiciones exepto el sanitario</t>
  </si>
  <si>
    <t>BENILDA MENESES JOAQUI</t>
  </si>
  <si>
    <t>Carrera 74 #4b-06</t>
  </si>
  <si>
    <t>El baño cuenta con enchape en muy malas condiciones (arranque de ficha mal 
puesta, pedasos faltantes y fisura en el enchape)
Actualmente la cocina se encuentra es una zona donde no se va a realizar el 
mejoramiento por que lo plantean llevar a la sala comedor</t>
  </si>
  <si>
    <t>MARICELA MOSQUERA LEON</t>
  </si>
  <si>
    <t>CL 4B OESTE KR 73-73 PISO 1</t>
  </si>
  <si>
    <t>*La zona a intervenir del baño cuenta con muros bajos que confinan el espacio y 
entre los muros les ponen tablas para poner objetos, tener encuenta en el 
momento de la obra 
La zona a intervenir de la cocina se tiene que realizar la demolicion del meson 
por que no se encuentra en buen estado a pesar de que es un meson con un 
grosor optimo para la cocina</t>
  </si>
  <si>
    <t>ILDA MARIA MOSQUERA CHICO</t>
  </si>
  <si>
    <t>CR 74 G OESTE 4-12</t>
  </si>
  <si>
    <t>FABIOLA GONZÁLES BALANTA</t>
  </si>
  <si>
    <t>CALLE 4 OESTE 74G #06 2P</t>
  </si>
  <si>
    <t>El baño cuenta con buenas medidas, y buenos aparatos sanitarios, pero no hay 
pendiente en la zona de la ducha 
La cocina cuenta con un buen meson a pesar de que tiene picada las puntas y 
esquinas del meson, cuenta con pintura pero hay zonas del muro mal repelladas</t>
  </si>
  <si>
    <t>HELI VASQUEZ ZALAZAR</t>
  </si>
  <si>
    <t>KR 74G CL 4B OESTE-41</t>
  </si>
  <si>
    <t xml:space="preserve">*El baño actualmente se encuentra revocado pero es necesario volverlo hacer 
por que tiene pedazos undido (mal revocado)
*La cocina cuenta con un mesón nuevo, lo cual no es necesario ni el desmonte 
, ni la actividad de ejecución del mesón, solamente el enchape </t>
  </si>
  <si>
    <t>OLGA CONDA RIVERA</t>
  </si>
  <si>
    <t>CLL OESTE # 73-58</t>
  </si>
  <si>
    <t>El baño cuenta en la zona de la ducha con una bajante sanitaria (tener encuenta a la hora de realizar el revestimiento y enchape)
La cocina cuenta con un meson en mal estado, agrietado y pandeado 
por el grosor del meson</t>
  </si>
  <si>
    <t>ALEIDA JIMENEZ</t>
  </si>
  <si>
    <t>CR 71 OESTE 4B-04</t>
  </si>
  <si>
    <t>La zona del mejoramiento en el baño cuenta con tuberia a la vista, para tener 
cuenta en el momento de la ejecucion 
la zona del mejoramiento de la cocina el meson preexistente esta fisurado y 
se mueve</t>
  </si>
  <si>
    <t>BASILISA BECERRA MORENO</t>
  </si>
  <si>
    <t>CALLE 4B OESTE #73D BIS 126</t>
  </si>
  <si>
    <t>El baño cuenta con unos muros divisorios los cuales son mas bajos que el muro perimetral (muro que encierra la casa)</t>
  </si>
  <si>
    <t>NINFA MARIA MEZA CASTILLO</t>
  </si>
  <si>
    <t>KR 74G OESTE 4-10</t>
  </si>
  <si>
    <t xml:space="preserve">El baño cuenta con una luceta superior en uno de los muros para tener 
encuenta en la ejecucion de la obra
*Encontramos una cocina con un meson ya enchapado y en muy buen 
estado </t>
  </si>
  <si>
    <t>ANA NOLFY VICTORIA IPIA</t>
  </si>
  <si>
    <t>*El baño esta con repello pero con pequeños undidos en la pared, cuenta con 
muros de cerramientos mas bajos que los muros perimetrales de la casa, y el 
baño se eleva 0.12m  mas que el nivel de la casa</t>
  </si>
  <si>
    <t>MARTHA ISABEL CHACON DIAZ</t>
  </si>
  <si>
    <t>KR 74G OESTE 4B44</t>
  </si>
  <si>
    <t>El Baño cuenta sin una pared en este momento que confine la zona destinada 
para el uso 
*El meson de la cocina es en asero inoxidable sobre puesto sobre un meson 
en concreto delgado en muy mal estado</t>
  </si>
  <si>
    <t>SANDRA VICKY JIMENEZ RODRIGUEZ</t>
  </si>
  <si>
    <t>CRA 74G OESTE #4B 31</t>
  </si>
  <si>
    <t xml:space="preserve">El baño se encuentra con un piso muy deteriorado
*El meson de la concina se encuentra pandeado por el grosor minimo 
que tiene, no cuenta con lava platos </t>
  </si>
  <si>
    <t>FABIO DE JESUS LOPEZ RAMIREZ</t>
  </si>
  <si>
    <t>CR 74 G OESTE 4B 63 CASA 2</t>
  </si>
  <si>
    <t xml:space="preserve">El baño cuenta con una altura libre muy baja, cuenta con un enchape 
de piso en muy mal estado
*La zona de mejoramiento del piso es en la zona de ropas </t>
  </si>
  <si>
    <t>BASILIO ZAMBRANO CRUZ</t>
  </si>
  <si>
    <t>CANCHAS MINAS</t>
  </si>
  <si>
    <t>*El baño cuenta con muros divisorios (confinan el espacio) de baja altura
*La cocina se encuentra en buen estado 8meson9, con enchape</t>
  </si>
  <si>
    <t>MARIA OLIVA RODALLEGA</t>
  </si>
  <si>
    <t>cuenta con instalaciones hidraulicas expuestas a la vista por todo el 
muro longitudinal al interior del baño
El espacio destinado de cocina no cuenta con suministro de agua ni 
salida sanitarias</t>
  </si>
  <si>
    <t>AMELIA MOSQUERA CAPOTE</t>
  </si>
  <si>
    <t>CL4B OESTE 73-119</t>
  </si>
  <si>
    <t>BOLIVAR URBANO JURADO</t>
  </si>
  <si>
    <t>MANZANA 1 CASA 54</t>
  </si>
  <si>
    <t>*La casa no cuenta con una cocina (meson), para actividades relacionadas, todo 
esto se realiza en el lavadero 
*El baño es un volumen exento de la casa ubicada en la parte de atrás , con una 
luceta superior en uno de los muros</t>
  </si>
  <si>
    <t>MARIA ROSARIO NARVAEZ URBANO</t>
  </si>
  <si>
    <t>CL 4B OESTE 73D-95</t>
  </si>
  <si>
    <t xml:space="preserve"> La zona de mejoramiento del baño actualmente presenta problemas de 
humedad 
La cocina actualmente esta en una zona donde a futuro sera una piesa</t>
  </si>
  <si>
    <t>MARTHA INÉS ZAMORA GAÑAN</t>
  </si>
  <si>
    <t>Carrera 74G #47</t>
  </si>
  <si>
    <t>El baño cuenta con combo sanitario en muy buenas condiciones, solamente le hace falta la tapa del sanitario</t>
  </si>
  <si>
    <t>YANETH JARAMILLO CHARRY</t>
  </si>
  <si>
    <t>CALLE 4 OESTE #73D BIS 130</t>
  </si>
  <si>
    <t>El baño cuenta con dos volumenes independientes.   *tiene lavamanos en 
buen estado.   *cuentan con ducha electrica
La cocina cuenta con el meson enchapado y lava platos, intervencion solo en 
revestimiento</t>
  </si>
  <si>
    <t>MARIA EUGENIA ZAMORA GAÑAN</t>
  </si>
  <si>
    <t xml:space="preserve">*La zona de mejoramiento del piso se encuentra en la habitacion 01 que se 
encuentra en tierra
El baño cuenta con un pedazo de piso a desnivel junto la zona de ropas , 
cuenta con una luceta superior en la ducha, y pequeños chaflanes en madera 
donde estan ubacadas las columnas
*cuenta con un meson en acero inoxidable y otro pequeño en placa de conreto, 
los soportes son unas angulos metalicos que los soportan </t>
  </si>
  <si>
    <t>MARIELA MANBUSCAI</t>
  </si>
  <si>
    <t>CL 4A OESTE 74G 57</t>
  </si>
  <si>
    <t>La cocina no cuenta con un meson de cosina si no unas mesas donde ejecutan 
la labor de la cocina, a pesar de que tienen los puntos hidraulicos y sanitario (los 
usuarios no me supieron comunicar si esos puntos se claururaron o no)
*El baño esta elevado 0.10m mas de la casa y los muros no tocan el techo</t>
  </si>
  <si>
    <t>MARIA MERCEDES GRUESO</t>
  </si>
  <si>
    <t>KR 74G CL4BOESTE MZ1946 CASA4</t>
  </si>
  <si>
    <t xml:space="preserve">La zona de mejoramiento del baño cuenta actualmente con un muro en 
mamposteria (divisorio), torcido </t>
  </si>
  <si>
    <t>MARIA LUZ DALIA GARCIA GARCIA</t>
  </si>
  <si>
    <t>*La zona de mejoramiento de piso se encuentra en las habitaciones y en la 
circulacion de la escalera
*La cocina cuenta con un buen meson en aseo inoxidable con una long de 
3.30m, la intervencion se realizaria solo en revestimiento del muro en material 
que tiene esa zona</t>
  </si>
  <si>
    <t>MAURICIO TORRES ZUARES</t>
  </si>
  <si>
    <t>CRA 74G OESTE #4B 76</t>
  </si>
  <si>
    <t xml:space="preserve">*El baño cuenta con muros divisorios que confinen el espacio, pero con 
diferente altura
la cocina cuenta con un meson en muy mal estado fracturado y picado 
en los bordes </t>
  </si>
  <si>
    <t>LAURIDO HERNAN GOMEZ JOAQUIN</t>
  </si>
  <si>
    <t>CL 4A OESTE 74G-38</t>
  </si>
  <si>
    <t>En la pared de ña ducha que coresponde a la medida de 1.03m tiene 
en este momento un vano que los usuarios informaron que van a 
cerrar
En la zona de intervencion (lugar donde quedara el meson de cocina), 
tiene una limitante y es que la estructura solo llega a una altura de 
1.50 (muro de contension)</t>
  </si>
  <si>
    <t>GERARDO ANGULO OCAMPO</t>
  </si>
  <si>
    <t>KR 74G CL 4B OESTE -15 PISO 1</t>
  </si>
  <si>
    <t xml:space="preserve">*La zona de mejoramiento del piso se encuentra en la habitacion 02, se 
encuentra en tierra y con materiales
La zona de mejoramiento del baño cuenta con una luceta superior en el lado 
mas largo 
*La cocina esta muy deteriorado el meson en muy mal estado no cuenta con 
lavaplatos </t>
  </si>
  <si>
    <t>MEDARDO FAJARDO MUÑOZ</t>
  </si>
  <si>
    <t>CL 4B OESTE 73D BIS-38</t>
  </si>
  <si>
    <t>LEONARDO CABAL VALENCIA</t>
  </si>
  <si>
    <t>CARRERA 74 G OESTE # 4-11</t>
  </si>
  <si>
    <t>*La zona de mejoramiento del piso se encuentra en la habitacion 06 y la cocina 
(actualmente se encuentra en tierra)
*La cocina cuenta con la estructura de la mesa y encima un meson en asero 
inoxidable para lavar platos (con unas medidas muy reducidas)
*El baño cuenta con un modula aparte de la casa divido en dos uno para 
sanitario y lavamanos( en buen estado), y el otro para la ducha</t>
  </si>
  <si>
    <t>DIDIER ALBERTO HOYOS</t>
  </si>
  <si>
    <t>CALLE 4 OESTE #73D BIS 60</t>
  </si>
  <si>
    <t>*El baño en este momento no hay pero la zona donde se va hacer el 
mejoramiento fue el baño hace unos años, pero se clausuro las salidas 
hidraulicas y sanitarias</t>
  </si>
  <si>
    <t>EMILIO JOSE AGUDELO BURBANO</t>
  </si>
  <si>
    <t>CLL 4B OESTE #73A -70</t>
  </si>
  <si>
    <t xml:space="preserve">*El baño tiene buena medida, el usuario quiere realizar mejoras como 
un nicho para shampoo 
*La cocina ya cuenta con un meson en concreto en buen estado, le falta 
griferia </t>
  </si>
  <si>
    <t>GEIVER GARCIA HOYOS</t>
  </si>
  <si>
    <t xml:space="preserve"> *El baño cuenta con una dimencion bastante comoda para realizar la 
intervencion de poner un lavamanos
*El meson de la cocina esta practicamente nuevo, la intervencion se realiza en 
enchapar el meson y revestimiento</t>
  </si>
  <si>
    <t>MARCOS JAVIER VILLAREAL BURBANO</t>
  </si>
  <si>
    <t>VALLE DEL CAUCA</t>
  </si>
  <si>
    <t>La zona a intervenir actualmente es la cocina, pero antes fue el baño por ende tiene ya los puntos tanto hidraulicos como sanitarios
La zona a intervenir de la cocina actualmente es un espacio para poner cosa (una gran mesa), se plantea sacarla de donde esta por la razón de que los usuarios priorizan el baño</t>
  </si>
  <si>
    <t>MEDELLIN</t>
  </si>
  <si>
    <t>YENIFER ANDREA CASIANI ROCHA</t>
  </si>
  <si>
    <t>3234480142- 3006373652</t>
  </si>
  <si>
    <t>CARRERA 9 ESTE # 54 A 35</t>
  </si>
  <si>
    <t>ICODIN SAS</t>
  </si>
  <si>
    <t>MARIANA DEL PILAR PINEDA HERNÁNDEZ</t>
  </si>
  <si>
    <t>CALLE 56 EG # 18 A 27</t>
  </si>
  <si>
    <t>SOL DE ORIENTE</t>
  </si>
  <si>
    <t>ISABEL CRISTINA GARCIA TABARES</t>
  </si>
  <si>
    <t>CARRERA 18A # 56EC-25</t>
  </si>
  <si>
    <t>TATIANA INÉS ZAPATA CEBALLOS</t>
  </si>
  <si>
    <t>CARRERA 17B # 56EE-38 INT 134</t>
  </si>
  <si>
    <t>PINARES DEL ORIENTE</t>
  </si>
  <si>
    <t>Existe mesón en acero inoxidable en buena condición</t>
  </si>
  <si>
    <t>LUZ ENEIDA SEPÚLVEDA DURANGO</t>
  </si>
  <si>
    <t>3204244342 - 3244102848</t>
  </si>
  <si>
    <t>CALLE 56 H CR 17 24 INTERIOR 115</t>
  </si>
  <si>
    <t>PACIFICO</t>
  </si>
  <si>
    <t>MANUELA MORALES MUÑOZ</t>
  </si>
  <si>
    <t>DIAGONAL 17 CC # 56 A 2 INT 1104</t>
  </si>
  <si>
    <t>VILLATINA</t>
  </si>
  <si>
    <t>MANUELA MARCELA MANCO AGUDELO</t>
  </si>
  <si>
    <t>3013219196 - 3008671238</t>
  </si>
  <si>
    <t>CALLE 65 # 16 DD 99 INT 1156</t>
  </si>
  <si>
    <t>EL FARO</t>
  </si>
  <si>
    <t>DANIEL ESMIRT VELÁSQUEZ VALLEJO</t>
  </si>
  <si>
    <t>CALLE 55 G # 2 ESTE 7 INT 122</t>
  </si>
  <si>
    <t>LA SIERRA</t>
  </si>
  <si>
    <t>LADY YULIETH RENDON OSORIO</t>
  </si>
  <si>
    <t>cALLE 56 C # 16 - 46, SEGUNDO PISO</t>
  </si>
  <si>
    <t>VÍCTOR HUGO AGUIRRE RODAS</t>
  </si>
  <si>
    <t>CALLE 56 EG # 18 A 11</t>
  </si>
  <si>
    <t>LUISA FERNANDA JARAMILLO JARAMILLO</t>
  </si>
  <si>
    <t>CARRERA 17 AA # 56 EE 40 INT 132</t>
  </si>
  <si>
    <t>JENIFER MARCELA ARENAS GARCÍA</t>
  </si>
  <si>
    <t>CARRERA 17B # 56EE-38</t>
  </si>
  <si>
    <t>KEILA ANDREA SERNA JARAMILLO</t>
  </si>
  <si>
    <t>CALLE 63 A # 16 DD 27 INT 101</t>
  </si>
  <si>
    <t>CAROLINA DEL CARMEN DAVID TORRES</t>
  </si>
  <si>
    <t>CALLE 65 # 16 DD 19 INT 1811</t>
  </si>
  <si>
    <t>GLORIA YISELA MONTES CEBALLOS</t>
  </si>
  <si>
    <t>CARRERA 17B#56EE-50 INT 145</t>
  </si>
  <si>
    <t>JESSICA STEFANIA CÓRDOBA PALACIOS</t>
  </si>
  <si>
    <t>CALLE 56 H # 17 - 5</t>
  </si>
  <si>
    <t>DUVAN ALEXIS MARÍN BUITRAGO</t>
  </si>
  <si>
    <t>CARRERA 7 ESTE CON LA CALLE 54 AA</t>
  </si>
  <si>
    <t>JUAN CARLOS GUTIÉRREZ VALLEJO</t>
  </si>
  <si>
    <t>CALLE 56E # 17B -50</t>
  </si>
  <si>
    <t>SERGIO ALBERTO RODRÍGUEZ ARTEAGA</t>
  </si>
  <si>
    <t>CARRERA 17B # 56EE-38 INT 158</t>
  </si>
  <si>
    <t>ELIANA ANDREA SILVA RIVERA</t>
  </si>
  <si>
    <t>3005210763- 3507388094</t>
  </si>
  <si>
    <t>CARRERA 18 AB # 56 EC 16</t>
  </si>
  <si>
    <t>ARLEY GIOVANY BERRIO ARROYAVE</t>
  </si>
  <si>
    <t>CALLE 56 # 16 DD 19 INT 1088</t>
  </si>
  <si>
    <t>DARLEY SANTIAGO MARIN POSSO</t>
  </si>
  <si>
    <t>CARRERA 18 # 56EC13</t>
  </si>
  <si>
    <t>MILEIDY MELO SILVA</t>
  </si>
  <si>
    <t>CALLE 56 A # 14-58 INT 101</t>
  </si>
  <si>
    <t>MILEYDI TATIANA PELÁEZ SEPULVEDA</t>
  </si>
  <si>
    <t>CALLE 59C # 16D-88</t>
  </si>
  <si>
    <t>KAREN MONTOYA CARTAGENA</t>
  </si>
  <si>
    <t>CARRERA 17 A # 56 H 08 INT 1175, CASA DEL LADO</t>
  </si>
  <si>
    <t>CARLOS MARIO LOAIZA HENAO</t>
  </si>
  <si>
    <t>CARRERA 17 AA # 56 EE 40 INT 143</t>
  </si>
  <si>
    <t>JORGE ALBERTO LOAIZA HENAO</t>
  </si>
  <si>
    <t>EVELIN TATIANA CANO GIRALDO</t>
  </si>
  <si>
    <t>CARRERA 10 ESTE # 54 B 53</t>
  </si>
  <si>
    <t>MEILIN PAOLA TRESPALACIOS GARCIA</t>
  </si>
  <si>
    <t>CALLE 56 ED # 18A-17</t>
  </si>
  <si>
    <t>NATALIA BEDOYA HIGUITA</t>
  </si>
  <si>
    <t>3243982810- 3127742168</t>
  </si>
  <si>
    <t>CALLE 65 # 16 DD 99 INT 1132</t>
  </si>
  <si>
    <t>VIVIANA GRAJALES HURTADO</t>
  </si>
  <si>
    <t>3106313576. 3102182207</t>
  </si>
  <si>
    <t>CARRERA 5 ESTE # 53 D 36</t>
  </si>
  <si>
    <t>JHENNIFER JULIER CALLE PARIAS</t>
  </si>
  <si>
    <t>CALLE 56 ED # 18 A 38</t>
  </si>
  <si>
    <t>FLOR ENID SÁNCHEZ MOLINA</t>
  </si>
  <si>
    <t>MARIA ELENA GARCIA MUÑOZ</t>
  </si>
  <si>
    <t>CARRERA 18B # 56EC- 14</t>
  </si>
  <si>
    <t>DEISY ALEXANDRA USUGA TUBERQUIA</t>
  </si>
  <si>
    <t>CARRERA 17 A # 56 H 08 INT 1214</t>
  </si>
  <si>
    <t>YULY TATIANA CASTAÑEDA JARAMILLO</t>
  </si>
  <si>
    <t>YESICA ALEJANDRA ESCOBAR CASTAÑEDA</t>
  </si>
  <si>
    <t>CARRERA 17AA # 56E- 61 INT 123</t>
  </si>
  <si>
    <t>LEONARDO ALONSO MARTÍNEZ SILVA</t>
  </si>
  <si>
    <t>CARRERA 17 AA # 56 EE 40 INT 116</t>
  </si>
  <si>
    <t>EVY LUZ ALARCÓN HEREDIA</t>
  </si>
  <si>
    <t>CALLE 56 AA # 14 - 54</t>
  </si>
  <si>
    <t>EDELMIRA CARDONA PAMPLONA</t>
  </si>
  <si>
    <t>CALLE 56 H # 17 - 24 INT 132</t>
  </si>
  <si>
    <t>PAULA ZAPATA TUBERQUIA</t>
  </si>
  <si>
    <t>CARRERA 16D # 57B -64</t>
  </si>
  <si>
    <t>LUZ ENED GUZMÁN VÁSQUEZ</t>
  </si>
  <si>
    <t>CARRERA 17 A NO 56 H 08 INTERIOR 1318</t>
  </si>
  <si>
    <t>YANFARY CASTAÑO AYALA</t>
  </si>
  <si>
    <t>CARRERA 18 # 56 EC 36</t>
  </si>
  <si>
    <t>SINDY YOMARA GUZMAN PEREZ</t>
  </si>
  <si>
    <t>CALLE 56EE # 17-90 INT 112</t>
  </si>
  <si>
    <t>EVER ARLEY ESPINOSA SEPÚLVEDA</t>
  </si>
  <si>
    <t>CARRERA 5 ESTE # 54B-83</t>
  </si>
  <si>
    <t>FABER AGUIRRE AGUIRRE</t>
  </si>
  <si>
    <t>CARRERA 5 A # 55 C 48</t>
  </si>
  <si>
    <t>ALEIDY ANDREA CARDONA DAVID</t>
  </si>
  <si>
    <t>CARRERA 14 # 56 A 11 INT 105</t>
  </si>
  <si>
    <t>ALBA LUCIA BLANDÓN DE ARENAS</t>
  </si>
  <si>
    <t>CALLE 59C # 160-105 INT 101</t>
  </si>
  <si>
    <t>MARIA ADALISVE RINCÓN DE MARTÍNEZ</t>
  </si>
  <si>
    <t>CALLE 55 EE # 6 A 35</t>
  </si>
  <si>
    <t>MARÍA VIGLENISA CAMPUZANO GIL</t>
  </si>
  <si>
    <t>CARRERA 5 ESTE # 54B-104</t>
  </si>
  <si>
    <t>GLORIA DE JESÚS GIL RÍOS</t>
  </si>
  <si>
    <t>3148781303- 3002553069</t>
  </si>
  <si>
    <t>CARRERA 18 C # 64 B 41 INT 111</t>
  </si>
  <si>
    <t>FABIA MARGARITA RUIZ VÉLEZ</t>
  </si>
  <si>
    <t>CALLE 55 G # 2 ESTE 7 INT 143</t>
  </si>
  <si>
    <t>GLORIA EUNICE ZAPATA CHAVARRÍA</t>
  </si>
  <si>
    <t>CARRERA 4 ESTE # 55 H 41 INT 114</t>
  </si>
  <si>
    <t>MARIA MERCEDES VÁSQUEZ DE FLOREZ</t>
  </si>
  <si>
    <t>CARRERA 18A # 56EC32</t>
  </si>
  <si>
    <t>FANNY DE JESÚS LONDOÑO DE RÍOS</t>
  </si>
  <si>
    <t>3004015348- 3104309312</t>
  </si>
  <si>
    <t>CARRERA 10 ESTE # 54 B 52</t>
  </si>
  <si>
    <t>LUZ OMAIRA MONTOYA CARTAGENA</t>
  </si>
  <si>
    <t>CARRERA 17 A # 56 H 08 INT 1175</t>
  </si>
  <si>
    <t>MARTA LILIA GRANADA LÓPEZ</t>
  </si>
  <si>
    <t>CARRERA 7 # 55 GA 115 INT 1417</t>
  </si>
  <si>
    <t>LUZ MARINA MARTÍNEZ</t>
  </si>
  <si>
    <t>CARRERA 17 C # 56E 01 INT 201</t>
  </si>
  <si>
    <t>MARIA FRANQUELINA ECHAVARRIA DE OSORNO</t>
  </si>
  <si>
    <t>3045802790- 3136554527</t>
  </si>
  <si>
    <t>CALLE 65 # 16 DD 99 INT 1078</t>
  </si>
  <si>
    <t>BEATRIZ ELENA PAREJA</t>
  </si>
  <si>
    <t>CARRERA 2 CALLE 55 CC - 18</t>
  </si>
  <si>
    <t>BERTA OLIVA TANGARIFE</t>
  </si>
  <si>
    <t>CALLE 55 GA # 5 A 18</t>
  </si>
  <si>
    <t>BLANCA EMILIA VÁSQUEZ LÓPEZ</t>
  </si>
  <si>
    <t>CARRERA 18 # 56C-19 INT 201</t>
  </si>
  <si>
    <t>MARTHA LIGIA MORENO DAVID</t>
  </si>
  <si>
    <t>CALLE 56 H # 17 - 24 INT 147</t>
  </si>
  <si>
    <t>NANCY ELENA QUIRÓS CORREA</t>
  </si>
  <si>
    <t>CARRERA 17 A # 56 H 08 INT 1399</t>
  </si>
  <si>
    <t>MARÍA MAGNOLIA GUISAO USUGA</t>
  </si>
  <si>
    <t>CARRERA 17 A CL 56 H 8 INT 1080</t>
  </si>
  <si>
    <t>MARIA DOLORES MARÍN CONTRERAS</t>
  </si>
  <si>
    <t>CALLE 56 ED # 18 A 24</t>
  </si>
  <si>
    <t>MARIA FRANQUELINA GUISAO</t>
  </si>
  <si>
    <t>3207831668- 3125603803- 3169562289</t>
  </si>
  <si>
    <t>CARRERA 4 A # 55 E 76</t>
  </si>
  <si>
    <t>MARIA DORIELA HERNÁNDEZ ZAPATA</t>
  </si>
  <si>
    <t>CARRERA 7 A ESTE # 54 A 13 INT 103</t>
  </si>
  <si>
    <t>ANA DE JESÚS OQUENDO</t>
  </si>
  <si>
    <t>CARRERA 5 A # 56 AA 68 INT 101</t>
  </si>
  <si>
    <t>LAURA ROSA GRACIANO ZAPATA</t>
  </si>
  <si>
    <t>CARRERA 5 A # 56 AA 101 INT 107, CERCA AL ECOPARQUE</t>
  </si>
  <si>
    <t>MARTHA ALICIA GUTIÉRREZ CHANCI</t>
  </si>
  <si>
    <t>CARRERA 18 A # 56 EC 48</t>
  </si>
  <si>
    <t>MARIA DORALBA ECHAVARRIA</t>
  </si>
  <si>
    <t>CALLE 56 H # 17 - 24 INT 155</t>
  </si>
  <si>
    <t>GLORIA ELENA MONTOYA MESA</t>
  </si>
  <si>
    <t>CALLE 56 ED# 18 A 201</t>
  </si>
  <si>
    <t>MARÍA INÉS HENAO DE LONDOÑO</t>
  </si>
  <si>
    <t>CALLE 59 # 16 D 141</t>
  </si>
  <si>
    <t>ROSALBA DAVID</t>
  </si>
  <si>
    <t>CARRERA 16D # 57B - 89</t>
  </si>
  <si>
    <t>MARÍA ISIDORA GRACIANO ARTEAGA</t>
  </si>
  <si>
    <t>CARRERA 17 C # 56 E 67 INT 201</t>
  </si>
  <si>
    <t>MARIA OTILIA HIGUITA SUCERQUIA</t>
  </si>
  <si>
    <t>CALLA 56 EF # 18A -36</t>
  </si>
  <si>
    <t>UBERLY TUBERQUIA</t>
  </si>
  <si>
    <t>3219863508- 3148272072</t>
  </si>
  <si>
    <t>CALLE 65 # 16 DD 19 INT 1669</t>
  </si>
  <si>
    <t>OMAYRA DE JESÚS VALLE CHANCI</t>
  </si>
  <si>
    <t>CALLR56 ED # 18 A 30</t>
  </si>
  <si>
    <t>LUZ MARINA SEPÚLVEDA DE ORTEGA</t>
  </si>
  <si>
    <t>CARRERA 9 A ESTE # 54 AA 29</t>
  </si>
  <si>
    <t>BERTHA INES OSPINA FRANCO</t>
  </si>
  <si>
    <t>CALLE 56 AA.# 2 - 62</t>
  </si>
  <si>
    <t>MARIA CECILIA GARCÍA CORRALES</t>
  </si>
  <si>
    <t>3234250609-300578371- 3146488942</t>
  </si>
  <si>
    <t>CARRERA 17 AA # 56 EE 24</t>
  </si>
  <si>
    <t>MARIA AURA CASTAÑEDA ISAZA</t>
  </si>
  <si>
    <t>3001591111- 3147528074</t>
  </si>
  <si>
    <t>CALLE 65 # 16 DD 99 INT 1607</t>
  </si>
  <si>
    <t>MARÍA OLIVA ESTRADA VELÁSQUEZ</t>
  </si>
  <si>
    <t>CARRERA 5 ESTE # 54B-40</t>
  </si>
  <si>
    <t>MARIA ODILA ZAPATA DE ORDÓÑEZ</t>
  </si>
  <si>
    <t>3014092797- 3242872949</t>
  </si>
  <si>
    <t>CALLE 65 # 16 DD 19 INT 1865</t>
  </si>
  <si>
    <t>MARÍA EULALIA ZAPATA ZAPATA</t>
  </si>
  <si>
    <t>CALLE 59C # 16D 85</t>
  </si>
  <si>
    <t>LIBIA DEL SOCORRO ALVAREZ SERNA</t>
  </si>
  <si>
    <t>3124133031- 3108315640</t>
  </si>
  <si>
    <t>CALLE 55 GA # 06 - 20</t>
  </si>
  <si>
    <t>LILIANA DEL SOCORRO GUZMÁN PÉREZ</t>
  </si>
  <si>
    <t>CARRERA 17B # 56EE-50 INT 172</t>
  </si>
  <si>
    <t>BLANCA LIBIA MUÑOZ DE MUÑOZ</t>
  </si>
  <si>
    <t>CALLE 59C #18B 44 INT 105</t>
  </si>
  <si>
    <t>MARTINA SARA MURILLO RAMÍREZ</t>
  </si>
  <si>
    <t>CALLE 58 B # 08 - 52</t>
  </si>
  <si>
    <t>LUZ DARY USUGA DUARTE</t>
  </si>
  <si>
    <t>CARRERA 3 ESTE # 55 H 40</t>
  </si>
  <si>
    <t>MARIA EUGENIA CARMONA CASTRO</t>
  </si>
  <si>
    <t>CALLE 65 # 16 DD 19. INT 1847</t>
  </si>
  <si>
    <t>GLORIA ELENA VILLEGAS LONDOÑO</t>
  </si>
  <si>
    <t>CARRERA 17 A CALLE 56 H 8 INTERIOR 1282</t>
  </si>
  <si>
    <t>YADYS PATRICIA SOSA CHICA</t>
  </si>
  <si>
    <t>CARRERA 17AA # 56EE-36</t>
  </si>
  <si>
    <t>SULINDA PATRICIA TUBERQUIA</t>
  </si>
  <si>
    <t>CALLE 65 # 16 DD 19 INT 2675</t>
  </si>
  <si>
    <t>GLORIA AMPARO OCAMPO HERNÁNDEZ</t>
  </si>
  <si>
    <t>CARRERA 17B # 56EE-50 INT 137</t>
  </si>
  <si>
    <t>OMAIRA CORREA SEPÚLVEDA</t>
  </si>
  <si>
    <t>3242386652-3001213874</t>
  </si>
  <si>
    <t>CARRERA 4 ESTE # 55 H 28</t>
  </si>
  <si>
    <t>YARLEDIS TATIANA CORREA</t>
  </si>
  <si>
    <t>CARRERA 17 AA # 56 EE 40 INT 141</t>
  </si>
  <si>
    <t>ELENA ROCÍO TORRES LOZANO</t>
  </si>
  <si>
    <t>CARRERA 17B # 56EE-50 INT 125</t>
  </si>
  <si>
    <t>CELINA LONDOÑO DE BEDOYA</t>
  </si>
  <si>
    <t>CARRERA 10 ESTE # 54 AA 60</t>
  </si>
  <si>
    <t>ANA DELFA BURITICA ZAPATA</t>
  </si>
  <si>
    <t>CALLE 4 ESTE # 53D-79 INT 107</t>
  </si>
  <si>
    <t>MARIA AMPARO LOAIZA DE BOTERO</t>
  </si>
  <si>
    <t>CALLE 7 A ESTE # 54 AA 35</t>
  </si>
  <si>
    <t>MARÍA TERESA RESTREPO RAMIREZ</t>
  </si>
  <si>
    <t>CARRERA 9B ESTE # 54B-9</t>
  </si>
  <si>
    <t>AURA CELY ALVAREZ ATEHORTUA</t>
  </si>
  <si>
    <t>CARRERA 3 ESTE # 55 H 31</t>
  </si>
  <si>
    <t>ANA FELINDA DOMÍNGUEZ</t>
  </si>
  <si>
    <t>CALLE 55 F # 7 - 6 INT 103</t>
  </si>
  <si>
    <t>BERTHA ALICIA VASQUEZ ROJAS</t>
  </si>
  <si>
    <t>CARRERA 17B#56EE-50 INT 1148</t>
  </si>
  <si>
    <t>MARLENY DEL SOCORRO CANO DE ARDILA</t>
  </si>
  <si>
    <t>CARRERA 18 # 56EC 07</t>
  </si>
  <si>
    <t>ANA LILIA USUGA GRACIANO</t>
  </si>
  <si>
    <t>CALLA 56 EF # 18A-26</t>
  </si>
  <si>
    <t>JERLY CRISTINA RESTREPO VÁZQUEZ</t>
  </si>
  <si>
    <t>CARRERA 17B # 56EE-50 INT 148</t>
  </si>
  <si>
    <t>MARCELINO LEZCANO GONZÁLEZ</t>
  </si>
  <si>
    <t>CALLE 56 EF # 18A- 44</t>
  </si>
  <si>
    <t>LUIS ARTURO LÓPEZ QUINTERO</t>
  </si>
  <si>
    <t>3147102838- 3014170597</t>
  </si>
  <si>
    <t>CALLE 55 G # 3 ESTE 73</t>
  </si>
  <si>
    <t>DORA ELENA CARDONA HERNÁNDEZ</t>
  </si>
  <si>
    <t>CARRERA 17 AA # 56 EE 40 INT 147</t>
  </si>
  <si>
    <t>MORELIA DE JESÚS GARCÍA QUINTERO</t>
  </si>
  <si>
    <t>CARRERA 17 B # 56 EE 38 INT 155</t>
  </si>
  <si>
    <t>LUZ MARINA GUALTERO</t>
  </si>
  <si>
    <t>3008366304 (jeison hijo)</t>
  </si>
  <si>
    <t>CALLE 65 # 18 B 129</t>
  </si>
  <si>
    <t>LUZ JHANET SANCHEZ VELAZQUEZ</t>
  </si>
  <si>
    <t>CALLE54 A 1 ESTE 03</t>
  </si>
  <si>
    <t>CRUZ BERARDA MORALES MORALES</t>
  </si>
  <si>
    <t>3117546919- 3234899220</t>
  </si>
  <si>
    <t>CARRERA 8 # 58 A 75 INT 123</t>
  </si>
  <si>
    <t>MARIA CONSUELO PARRA OSPINA</t>
  </si>
  <si>
    <t>CALLE 56 ED # 18 A 2</t>
  </si>
  <si>
    <t>ARGELI DEL CONSUELO LEZCANO VIDALES</t>
  </si>
  <si>
    <t>CARRERA 9 ESTE # 54 B - 76</t>
  </si>
  <si>
    <t>AMPARO DE JESÚS HIGUITA ECHAVARRIA</t>
  </si>
  <si>
    <t>3004457422- 3146528809</t>
  </si>
  <si>
    <t>CALLE 65 # 16 DD 99 INT 1060</t>
  </si>
  <si>
    <t>LUZ MIRIAM LOPERA HERNÁNDEZ</t>
  </si>
  <si>
    <t>3126656402 - 3108487490</t>
  </si>
  <si>
    <t>CALLE 54A # 4ESTE-24</t>
  </si>
  <si>
    <t>ANA JULIA BLANDON CASTAÑEDA</t>
  </si>
  <si>
    <t>3003561290- 3117246064</t>
  </si>
  <si>
    <t>CALLE 55 HA# 7 - 28</t>
  </si>
  <si>
    <t>ANGELA GLORIA VALLEJO BALCAZAR</t>
  </si>
  <si>
    <t>CALLE 55 G # 2 ESTE 7 INT 120</t>
  </si>
  <si>
    <t>EDILMA DE JESÚS MOLINA VÁZQUEZ</t>
  </si>
  <si>
    <t>CARRERA 8 ESTE # 54 B 62</t>
  </si>
  <si>
    <t>NUBIA DEL CARMEN VIANA</t>
  </si>
  <si>
    <t>CARRERA 18B # 59C 32</t>
  </si>
  <si>
    <t>LUZ MARINA DEL SOCORRO CATAÑO RUIZ</t>
  </si>
  <si>
    <t>CR 17 A 56 H 8 211</t>
  </si>
  <si>
    <t>MARIA SOBEIBA MARTÍNEZ MARÍN</t>
  </si>
  <si>
    <t>CALLE 58 # 7 - 37 INT 140</t>
  </si>
  <si>
    <t>MARÍA ARACELLY EUSSE</t>
  </si>
  <si>
    <t>3217509031 - 3053818415</t>
  </si>
  <si>
    <t>CARRERA 8A ESTE # 54AA- 5</t>
  </si>
  <si>
    <t>MARIA ALBA LUZ DURANGO OSSA</t>
  </si>
  <si>
    <t>CARRERA 4 ESTE # 55 HH 12</t>
  </si>
  <si>
    <t>MARIA DOLORES MARTÍNEZ SUCERQUIA</t>
  </si>
  <si>
    <t>CALLE 56 EF # 18 A 19</t>
  </si>
  <si>
    <t>OFELIA SALDARRIAGA VINASCO</t>
  </si>
  <si>
    <t>CARRERA 18B # 59C15</t>
  </si>
  <si>
    <t>MARÍA NINFA HIGUITA</t>
  </si>
  <si>
    <t>CARRERA 17B # 56EE-38 INT 140</t>
  </si>
  <si>
    <t>DASNEY MARIA SÁEZ POSADA</t>
  </si>
  <si>
    <t>CALLE 56 EG #18 A 31</t>
  </si>
  <si>
    <t>ELIZABETH DEL SOCORRO CARDONA AGUIRRE</t>
  </si>
  <si>
    <t>CALLE 54 A CARRERA 3 ESTE 16 INT 201</t>
  </si>
  <si>
    <t>ARGEL MARIA HIGUITA USUGA</t>
  </si>
  <si>
    <t>CALLE 64 # 17 - 38 INT 102</t>
  </si>
  <si>
    <t>LUZ MARGOD MONTOYA MESA</t>
  </si>
  <si>
    <t>CALLE 56 ED # 18 A 20</t>
  </si>
  <si>
    <t>DILBIA ARCILA CARDONA</t>
  </si>
  <si>
    <t>CARRERA 7 ESTE # 54 AA 51</t>
  </si>
  <si>
    <t>VICTORIA EUGENIA QUINTERO LADINO</t>
  </si>
  <si>
    <t>CARRERA 8 ESTE # 54 B 55</t>
  </si>
  <si>
    <t>ROSA DELFA MONSALVE DE MUÑOZ</t>
  </si>
  <si>
    <t>CARRERA 18A # 56EC-21</t>
  </si>
  <si>
    <t>MARIA ELCY ATEHORTUA MEJÍA</t>
  </si>
  <si>
    <t>CALLE 56 EF # 18 A 20</t>
  </si>
  <si>
    <t>VIVIANA EDITH CONDE OSORIO</t>
  </si>
  <si>
    <t>CARRERA 5 A # 55 H 86</t>
  </si>
  <si>
    <t>ISABEL RIVERA</t>
  </si>
  <si>
    <t>CARRERA 18 A # 56 EC 42</t>
  </si>
  <si>
    <t>MARIA NELLY ARISTIZABAL</t>
  </si>
  <si>
    <t>ASTRID ELIANA VALLEJO BALCAZAR</t>
  </si>
  <si>
    <t>CALLE 55 G # 2 ESTE 7 INT 126</t>
  </si>
  <si>
    <t>LUZ EIDA DEL SOCORRO GARCÍA RUIZ</t>
  </si>
  <si>
    <t>CARRERA 2 #54 - 263 INT 119</t>
  </si>
  <si>
    <t>GRACIELA CEBALLOS DE MONTES</t>
  </si>
  <si>
    <t>cARRERA 17B # 56EE-50 INT 141</t>
  </si>
  <si>
    <t>MARÍA ROSALBA OCAMPO GIL</t>
  </si>
  <si>
    <t>CR 17 A CL 56 H 68 INT 140</t>
  </si>
  <si>
    <t>MIRIAM GALEANO GALEANO</t>
  </si>
  <si>
    <t>CARRERA 17 B # 56 EE 38 INT 1119</t>
  </si>
  <si>
    <t>LUZ DARY OSORIO MARÍN</t>
  </si>
  <si>
    <t>CARRERA 17B # 56EE-50 INT 131</t>
  </si>
  <si>
    <t>ROCÍO OROZCO MUÑOZ</t>
  </si>
  <si>
    <t>CARRERA 17AA # 56EE-34 INT 113</t>
  </si>
  <si>
    <t>LUZ MIRIAM DEL SOCORRO MESA TAMAYO</t>
  </si>
  <si>
    <t>CARRERA 17B # 56EE-38 INT 160</t>
  </si>
  <si>
    <t>ESTER MARINA GIRALDO LOAIZA</t>
  </si>
  <si>
    <t>CR 17 CL 56 H 8 INT 1125</t>
  </si>
  <si>
    <t>ISABEL HENAO LOAIZA</t>
  </si>
  <si>
    <t>CARRERA 17B # 56EE-54 INT 144</t>
  </si>
  <si>
    <t>MARIA NUBIA CUERVO GARCÍA</t>
  </si>
  <si>
    <t>3234052820- 3118808517</t>
  </si>
  <si>
    <t>CALLE 55 G # 2 ESTE - 7 INT 140</t>
  </si>
  <si>
    <t>MÓNICA MARIA ZAPATA ORTIZ</t>
  </si>
  <si>
    <t>CARRERA 2 # 54 A</t>
  </si>
  <si>
    <t>ALBA INES MONTES CASTAÑO</t>
  </si>
  <si>
    <t>CARRERA 18A 56EC-28</t>
  </si>
  <si>
    <t>MARYORY DEL SOCORRO LONDOÑO</t>
  </si>
  <si>
    <t>CARRERA 5 ESTE # 54B-73</t>
  </si>
  <si>
    <t>ETERGIRIA DEL SOCORRO GUZMÁN PÉREZ</t>
  </si>
  <si>
    <t>CARRERA 17 AA # 56 EE 34 INT 112</t>
  </si>
  <si>
    <t>La beneficiaria solicita mesón de entrepaño en cocina. Ya cuenta con mesón de cocina principal</t>
  </si>
  <si>
    <t>MARÍA EUGENIA CARDONA URREGO</t>
  </si>
  <si>
    <t>CARRERA 3 B ESTE CALLE 54 A 44</t>
  </si>
  <si>
    <t>Vivienda con dos baños. Se prioriza únicamente uno</t>
  </si>
  <si>
    <t>LUZ HELENA MESA VILLA</t>
  </si>
  <si>
    <t>3215401934- 3046622407- 3014630628</t>
  </si>
  <si>
    <t>CALLE 62 # 18 B 61</t>
  </si>
  <si>
    <t>LUZ MARINA BUITRAGO</t>
  </si>
  <si>
    <t>CALLE 55 G # 2 ESTE 7 INT 131</t>
  </si>
  <si>
    <t>CLAUDIA SOLENA GAVIRIA RODAS</t>
  </si>
  <si>
    <t>CARRERA 17 A # 56E-61 INT 124</t>
  </si>
  <si>
    <t>MARGOTH BORJA ECHAVARRIA</t>
  </si>
  <si>
    <t>CALLE 56D14 - 49 INT 128</t>
  </si>
  <si>
    <t>MARÍA EMILCE LONDOÑO GUTIÉRREZ</t>
  </si>
  <si>
    <t>CARRERA 17AA # 56E- 74</t>
  </si>
  <si>
    <t>ANA DEL CARMEN CARDONA SUAZA</t>
  </si>
  <si>
    <t>CARRERA 17 AA #56 EE 40 INT 150</t>
  </si>
  <si>
    <t>SUSANA MENDOZA</t>
  </si>
  <si>
    <t>CARRERA 9B ESTE # 54B-52</t>
  </si>
  <si>
    <t>BLANCA NUBIA MUÑOZ GARCÍA</t>
  </si>
  <si>
    <t>CALLE 56 ED # 18 - 36</t>
  </si>
  <si>
    <t>DIANA MARÍA SÁNCHEZ RODRÍGUEZ</t>
  </si>
  <si>
    <t>CALLE 54AA # 7 ESTE-28</t>
  </si>
  <si>
    <t>CLAUDIA MARÍA BUSTAMANTE ORTIZ</t>
  </si>
  <si>
    <t>CARRERA 17AA # 56E - 62 INT 102</t>
  </si>
  <si>
    <t>ASTRID YUVEINE TAPIAS BURITICA</t>
  </si>
  <si>
    <t>3005350432- 3136626805</t>
  </si>
  <si>
    <t>CARRERA 4 ESTE # 53 D 63</t>
  </si>
  <si>
    <t>DIANA PATRICIA CÁRDENAS</t>
  </si>
  <si>
    <t>CARRERA 16 # 56 - 22 INT 301</t>
  </si>
  <si>
    <t>LIDIS DEL CARMEN HERAZO BUELVAS</t>
  </si>
  <si>
    <t>CALLE 54AA # 7A ESTE-14 INT 119</t>
  </si>
  <si>
    <t>MARIA ESTRELLA DEL SOCORRO ESCOBAR PULGARIN</t>
  </si>
  <si>
    <t>CALLE 58 # 7 - 37 INT 311</t>
  </si>
  <si>
    <t>MARLENY DE JESÚS PRECIADO SOSA</t>
  </si>
  <si>
    <t>CARRERA 54AA # 7AESTE- 33 INT 103</t>
  </si>
  <si>
    <t>MARIA YOLANDA BUITRAGO</t>
  </si>
  <si>
    <t>CALLE 54 AA # 7 A ESTE 52 INT 104</t>
  </si>
  <si>
    <t>LIDIA MARÍA TUBERQUIA</t>
  </si>
  <si>
    <t>CARRERA 18#56EC-49</t>
  </si>
  <si>
    <t>DIANA MARIA JIMENEZ CARO</t>
  </si>
  <si>
    <t>3123452085-3014922437</t>
  </si>
  <si>
    <t>CALLE 56 A #14-42 INT 103</t>
  </si>
  <si>
    <t>BIBIANA MARIA ORREGO RAMIREZ</t>
  </si>
  <si>
    <t>CARRERA 17C # 56E-5</t>
  </si>
  <si>
    <t>VIVIANA DEL CARMEN GÓMEZ QUINCHIA</t>
  </si>
  <si>
    <t>CALLE 56 EG# 18 A 33</t>
  </si>
  <si>
    <t>RUTH BIVIANA BALZAN RESTREPO</t>
  </si>
  <si>
    <t>CALLE 56 AA # 14 - 74 INT 109 SEGUNDO PISO</t>
  </si>
  <si>
    <t>JUDIS MERCEDES VILLALOBOS PUPO</t>
  </si>
  <si>
    <t>CARRERA 17B # 56EE-38 AL LADO DEL 201</t>
  </si>
  <si>
    <t>MILSEN DERLA ALARCÓN GÓMEZ</t>
  </si>
  <si>
    <t>3122202276- 3206248557</t>
  </si>
  <si>
    <t>CALLE55 F # 7 - 6 INT 116</t>
  </si>
  <si>
    <t>FRANCISCO ELISEO ECHAVARRIA</t>
  </si>
  <si>
    <t>3137167941- 3215574904-3175449814</t>
  </si>
  <si>
    <t>CARRERA 7 # 51 GA 151</t>
  </si>
  <si>
    <t>WALTER ANTONIO GIRALDO MARTÍNEZ</t>
  </si>
  <si>
    <t>3135723439- 3025678623</t>
  </si>
  <si>
    <t>ARRERA 5 # 56 AA 95</t>
  </si>
  <si>
    <t>LUCAS CUERVO LOPERA</t>
  </si>
  <si>
    <t>CARRERA 17 A # 56 # 09 INT 1213</t>
  </si>
  <si>
    <t>RODRIGO ANDRÉS FERNÁNDEZ</t>
  </si>
  <si>
    <t>CARRERA 17B # 56EE-38 INT 356</t>
  </si>
  <si>
    <t>JUAN DE JESUS LOAIZA FLÓREZ</t>
  </si>
  <si>
    <t>CARRERA 17 AA # 56 EE 28</t>
  </si>
  <si>
    <t>ANDRÉS MAURICIO VÁSQUEZ</t>
  </si>
  <si>
    <t>CARRERA 16 # 56 B 28 INT 102</t>
  </si>
  <si>
    <t>CARLOS FERNANDO ARROYAVE HIGUITA</t>
  </si>
  <si>
    <t>CARRERA 17AA # 56EE-56 INT 113</t>
  </si>
  <si>
    <t>EDUARD LONDOÑO HENAO</t>
  </si>
  <si>
    <t>CALLE 59 # 16D 143</t>
  </si>
  <si>
    <t>JORGE NELSON ALVARAN OROZCO</t>
  </si>
  <si>
    <t>CALLE 54 # 17 - 19 INT 202</t>
  </si>
  <si>
    <t>LEÓN DARÍO ESTRAD</t>
  </si>
  <si>
    <t>135705762- 3015402349</t>
  </si>
  <si>
    <t>CALLE 55 H # 2 A ESTE 7</t>
  </si>
  <si>
    <t>JAVIER ALONSO PEREZ</t>
  </si>
  <si>
    <t>CALLE 54 B # 04 ESTE 01</t>
  </si>
  <si>
    <t>RUBEN DARIO ZAPATA MARQUEZ</t>
  </si>
  <si>
    <t>CARRERA 18A # 56EC12</t>
  </si>
  <si>
    <t>JESUS ANTONIO OSORIO</t>
  </si>
  <si>
    <t>PEDRO JOSÉ BUSTAMANTE ORTIZ</t>
  </si>
  <si>
    <r>
      <rPr>
        <b/>
        <sz val="8"/>
        <rFont val="Aptos Narrow"/>
        <family val="2"/>
        <scheme val="minor"/>
      </rPr>
      <t>MEDIDA DE CALIDAD</t>
    </r>
    <r>
      <rPr>
        <sz val="8"/>
        <rFont val="Aptos Narrow"/>
        <family val="2"/>
        <scheme val="minor"/>
      </rPr>
      <t xml:space="preserve">
CATEGORÍA </t>
    </r>
  </si>
  <si>
    <t>CONTROL</t>
  </si>
  <si>
    <t>Edelmira María</t>
  </si>
  <si>
    <t>Calle 49 B 3 E 164</t>
  </si>
  <si>
    <t>ATLANTICO</t>
  </si>
  <si>
    <t>Baranquilla</t>
  </si>
  <si>
    <t>CARRIZAL</t>
  </si>
  <si>
    <t>La vivienda no tiene cocina, se diagnostica porque se indica que tiene las conexiones hidrosanitarias y de gas.</t>
  </si>
  <si>
    <t>Moises</t>
  </si>
  <si>
    <t>Cra 3g 49e 72</t>
  </si>
  <si>
    <t>Es importante verificar que el baño cuente con cubierta para poder ser intervenido, en las fotos no se alcanza a revisar.</t>
  </si>
  <si>
    <t>Nelson</t>
  </si>
  <si>
    <t>Carrera 4a Sur #68-51</t>
  </si>
  <si>
    <t>7 DE ABRIL</t>
  </si>
  <si>
    <t>No hay fotos del baño, por lo que no se puede diagnosticar si requiere intervención en esta zona de la vivienda.</t>
  </si>
  <si>
    <t>Adanies Alberto</t>
  </si>
  <si>
    <t xml:space="preserve">Carrera 3 g #50a-32 apartamento 1 </t>
  </si>
  <si>
    <t>No aplica</t>
  </si>
  <si>
    <t>La vivienda no requiere ninguna intervención.</t>
  </si>
  <si>
    <t xml:space="preserve">Johanna </t>
  </si>
  <si>
    <t>Calle 74#9a-72</t>
  </si>
  <si>
    <t>La cocina está en buen estado, solo requiere instalación de salpicadero.</t>
  </si>
  <si>
    <t>Yasmila Isabel</t>
  </si>
  <si>
    <t>Calle 68#1sur-131</t>
  </si>
  <si>
    <t>Betty Cecilia</t>
  </si>
  <si>
    <t>Calle 74 9 sur 82</t>
  </si>
  <si>
    <t>Nelly</t>
  </si>
  <si>
    <t>Calle 74 #9-52</t>
  </si>
  <si>
    <t>Rosmeris</t>
  </si>
  <si>
    <t>Carrera 4 #49E-67</t>
  </si>
  <si>
    <t>Martha</t>
  </si>
  <si>
    <t>Carrera 5e sur#62-72</t>
  </si>
  <si>
    <t>Griselda</t>
  </si>
  <si>
    <t>Calle 73 4 sur 29</t>
  </si>
  <si>
    <t>Celina</t>
  </si>
  <si>
    <t>Calle 74#9Sur-39</t>
  </si>
  <si>
    <t>Evelin</t>
  </si>
  <si>
    <t>Cra 5a sur 68 04</t>
  </si>
  <si>
    <t>María del Carmen</t>
  </si>
  <si>
    <t>Carrera 4a#50a-114</t>
  </si>
  <si>
    <t>Giavanni jhon</t>
  </si>
  <si>
    <t>Cra 3e 49e 48</t>
  </si>
  <si>
    <t>Gusto Germán</t>
  </si>
  <si>
    <t>Calle 73 4 sur 79</t>
  </si>
  <si>
    <t>Edgardo</t>
  </si>
  <si>
    <t xml:space="preserve">Calle 72 #10 Sur -59 </t>
  </si>
  <si>
    <t>Sabina segundo</t>
  </si>
  <si>
    <t>Cra 3g 49e 42</t>
  </si>
  <si>
    <t>Delfina</t>
  </si>
  <si>
    <t>Carrera 4a#50a-122</t>
  </si>
  <si>
    <t>La vivienda requiere intervención de baño pero este no existe, se debe confirmar si la no existencia del baño es por falta de acueducto o alcantarillado.</t>
  </si>
  <si>
    <t>Amanda</t>
  </si>
  <si>
    <t>Carrera 9 Sur 74-12</t>
  </si>
  <si>
    <t>Victor Manuel</t>
  </si>
  <si>
    <t>Calle 68 1 sur 143</t>
  </si>
  <si>
    <t>Omeira</t>
  </si>
  <si>
    <t>Calle 7210sur 43</t>
  </si>
  <si>
    <t>Iván Guillermo</t>
  </si>
  <si>
    <t>Calle 51c #2f-27</t>
  </si>
  <si>
    <t>Beatriz</t>
  </si>
  <si>
    <t>Cra 5sur 62 65</t>
  </si>
  <si>
    <t>Edith Esther</t>
  </si>
  <si>
    <t>Carrera 3g #49b-46</t>
  </si>
  <si>
    <t>Omaira isabel</t>
  </si>
  <si>
    <t>Calle 49b 3e 04</t>
  </si>
  <si>
    <t>Manuela</t>
  </si>
  <si>
    <t>Cra 11sur 73 05</t>
  </si>
  <si>
    <t>Gladys</t>
  </si>
  <si>
    <t>Calle 70 1 sur 129</t>
  </si>
  <si>
    <t>Requiere también intervención en baño, pero este no cuenta con cubierta. Por esta razón no se podría intervenir. Adicional, parecen no tener sistema de alcantarillado. En la zona de la cocina, los muros son en materiales provisionales, por lo que no se podría revocar, estucar ni pintar.</t>
  </si>
  <si>
    <t>Ernia</t>
  </si>
  <si>
    <t>Cra 4 sur #73-12</t>
  </si>
  <si>
    <t>Juan José</t>
  </si>
  <si>
    <t>Cra 5 sur#62-75</t>
  </si>
  <si>
    <t>Maria Patricia</t>
  </si>
  <si>
    <t>Carrera 4#50a-31 apartamento 2</t>
  </si>
  <si>
    <t>Nubia esther</t>
  </si>
  <si>
    <t>Carrera 4 50 37 apto 3</t>
  </si>
  <si>
    <t>Yomaira esther</t>
  </si>
  <si>
    <t>Calle 74 3sur 94</t>
  </si>
  <si>
    <t>Héctor Emilio</t>
  </si>
  <si>
    <t>Calle 49b #3g-118</t>
  </si>
  <si>
    <t>Silvia Rosa</t>
  </si>
  <si>
    <t>Calle 72 #10-73</t>
  </si>
  <si>
    <t>Misael</t>
  </si>
  <si>
    <t>Calle 70#12-72</t>
  </si>
  <si>
    <t>Olga</t>
  </si>
  <si>
    <t>Calle 71#3 sur -35</t>
  </si>
  <si>
    <t>Fredy de Jesus</t>
  </si>
  <si>
    <t>Calle 74 #1sur-10</t>
  </si>
  <si>
    <t>Kevin</t>
  </si>
  <si>
    <t>Cra 4 sur 71 31</t>
  </si>
  <si>
    <t>Yanis Andrea</t>
  </si>
  <si>
    <t>Carrera 4a #50a-54</t>
  </si>
  <si>
    <t>Margarita Rosa</t>
  </si>
  <si>
    <t>Carrera 3g # 49b-40</t>
  </si>
  <si>
    <t>Julia</t>
  </si>
  <si>
    <t>Calle 49B 3E 10 Ap2</t>
  </si>
  <si>
    <t>Marlene esther</t>
  </si>
  <si>
    <t>Calle 50a 4b 28</t>
  </si>
  <si>
    <t>Judith maria</t>
  </si>
  <si>
    <t>Cra 3d 49b 48</t>
  </si>
  <si>
    <t>Julio enrique</t>
  </si>
  <si>
    <t xml:space="preserve">Calle 49b 3e 05 apt 2 </t>
  </si>
  <si>
    <t>Carmen</t>
  </si>
  <si>
    <t>Calle 51 #4 Sur-25</t>
  </si>
  <si>
    <t>Iveth cecilia</t>
  </si>
  <si>
    <t>Calle 49 3g 15</t>
  </si>
  <si>
    <t>Bertha</t>
  </si>
  <si>
    <t>Calle 73 4sur 32</t>
  </si>
  <si>
    <t>Pablo electo</t>
  </si>
  <si>
    <t xml:space="preserve">Cra 3e 49b 82 </t>
  </si>
  <si>
    <t>Sharon Azalia</t>
  </si>
  <si>
    <t>Calle 74# 9Sur -53</t>
  </si>
  <si>
    <t>RECHAZO</t>
  </si>
  <si>
    <t>Jhon</t>
  </si>
  <si>
    <t>Cra 5 sur 71 36</t>
  </si>
  <si>
    <t>Se considera la intervención necesaria en el piso como parcial.</t>
  </si>
  <si>
    <t>Nimia Mercedes</t>
  </si>
  <si>
    <t>Calle 74 11sur29</t>
  </si>
  <si>
    <t>Cristóbal</t>
  </si>
  <si>
    <t>Calle 70 #1sur-77</t>
  </si>
  <si>
    <t>Zaida judith</t>
  </si>
  <si>
    <t>Cra 3d 49b 76</t>
  </si>
  <si>
    <t>Roberto enrique</t>
  </si>
  <si>
    <t>Kra 4 49b 66</t>
  </si>
  <si>
    <t>Emilia</t>
  </si>
  <si>
    <t>Calle 68#4asur-08</t>
  </si>
  <si>
    <t>Graciela</t>
  </si>
  <si>
    <t>Carrera 8# 49E-87</t>
  </si>
  <si>
    <t>Virginia isabel</t>
  </si>
  <si>
    <t>Cra 4 49 e 142</t>
  </si>
  <si>
    <t>Sol maria</t>
  </si>
  <si>
    <t>Carrera 4 49b 81</t>
  </si>
  <si>
    <t>Calle 49g 4 02</t>
  </si>
  <si>
    <t>Yimi jaime</t>
  </si>
  <si>
    <t xml:space="preserve">Cra 3g 49e 108 apt 1 </t>
  </si>
  <si>
    <t>Gladis</t>
  </si>
  <si>
    <t>Carrera 4A#50A-82</t>
  </si>
  <si>
    <t>Requiere también intervención en baño, pero este no cuenta con cubierta. Por esta razón no se podría intervenir el baño.</t>
  </si>
  <si>
    <t>Nazly</t>
  </si>
  <si>
    <t>Calle 74 10 sur 50</t>
  </si>
  <si>
    <t>Rafael jeronimo</t>
  </si>
  <si>
    <t>Karrera 4 49 43</t>
  </si>
  <si>
    <t>Por las fotos, solo se observa necesidad en piso de la cocina. Se diagnostica el piso como intervención parcial.</t>
  </si>
  <si>
    <t>Denys maria</t>
  </si>
  <si>
    <t>Cra 3f 49e 63</t>
  </si>
  <si>
    <t>Martha cecilia</t>
  </si>
  <si>
    <t>Cra 9A sur 74-42</t>
  </si>
  <si>
    <t>Ines</t>
  </si>
  <si>
    <t>Carrera 3e#49b-151</t>
  </si>
  <si>
    <t>José</t>
  </si>
  <si>
    <t>Cra 3g 49b 32</t>
  </si>
  <si>
    <t>Elizabeth</t>
  </si>
  <si>
    <t>Cra 3d 49b 114</t>
  </si>
  <si>
    <t>Fabio Antonio</t>
  </si>
  <si>
    <t>Cra 4 A sur 64 12</t>
  </si>
  <si>
    <t>Janeth</t>
  </si>
  <si>
    <t>Cra 3f 49e 127</t>
  </si>
  <si>
    <t>Sugeidy</t>
  </si>
  <si>
    <t>Calle 68#5 sur-505</t>
  </si>
  <si>
    <t>Roberto</t>
  </si>
  <si>
    <t>Cra 3E 49 E 78</t>
  </si>
  <si>
    <t>Eduardo Luis</t>
  </si>
  <si>
    <t>Carrera 3g #49e-116</t>
  </si>
  <si>
    <t>Lisbeth</t>
  </si>
  <si>
    <t>Calle 74 9Sur - 49</t>
  </si>
  <si>
    <t>Jobita</t>
  </si>
  <si>
    <t xml:space="preserve">Calle 73 4asur 25 </t>
  </si>
  <si>
    <t>Alana Patricia</t>
  </si>
  <si>
    <t>Cra 3E 49B 58</t>
  </si>
  <si>
    <t>Marisol</t>
  </si>
  <si>
    <t>Calle 68 4A sur 37</t>
  </si>
  <si>
    <t>Robinson Ariel</t>
  </si>
  <si>
    <t>Carrera 3 g #49b-74</t>
  </si>
  <si>
    <t>David</t>
  </si>
  <si>
    <t>Calle 64 5sur 21</t>
  </si>
  <si>
    <t>Ilder</t>
  </si>
  <si>
    <t>Carrera 4sur #68-38</t>
  </si>
  <si>
    <t>Osvaldo enrique</t>
  </si>
  <si>
    <t>Cra 4 49e 33</t>
  </si>
  <si>
    <t>Humberto César</t>
  </si>
  <si>
    <t xml:space="preserve">Calle 73#4 Sur-13 </t>
  </si>
  <si>
    <t>Rocío esther</t>
  </si>
  <si>
    <t>Cra 4 49 E 130</t>
  </si>
  <si>
    <t>Alberto Enrique</t>
  </si>
  <si>
    <t>No tiene</t>
  </si>
  <si>
    <t>Carrera 3 e #50a-118</t>
  </si>
  <si>
    <t>Isis de los angeles</t>
  </si>
  <si>
    <t>Cra 3 e 49e 29</t>
  </si>
  <si>
    <t>Calle 71#4sur-10</t>
  </si>
  <si>
    <t>César julio</t>
  </si>
  <si>
    <t>Calle 74 #4sur-41</t>
  </si>
  <si>
    <t>Vilma</t>
  </si>
  <si>
    <t>Carrera 3f#50-44</t>
  </si>
  <si>
    <t>Leinis esther</t>
  </si>
  <si>
    <t>Cra 4 49B 61</t>
  </si>
  <si>
    <t>Ana María</t>
  </si>
  <si>
    <t>Carrera 3 g #49e-120</t>
  </si>
  <si>
    <t>Juan Valentín</t>
  </si>
  <si>
    <t>Carrera 4asur #64-32</t>
  </si>
  <si>
    <t>Alex</t>
  </si>
  <si>
    <t>Calle 68 5 Sur 59 qp 1</t>
  </si>
  <si>
    <t>La cocina está en buen estado, solo requiere aplicación de estuco y pintura.</t>
  </si>
  <si>
    <t>Martha luz</t>
  </si>
  <si>
    <t>Cra 4 49b 56</t>
  </si>
  <si>
    <t>Gladys ines</t>
  </si>
  <si>
    <t>Cra 4b 49e 133</t>
  </si>
  <si>
    <t>Viviana</t>
  </si>
  <si>
    <t>Calle 74 #9 62</t>
  </si>
  <si>
    <t>Solverena</t>
  </si>
  <si>
    <t>Calle 73#10sur-95</t>
  </si>
  <si>
    <t>Cra 3G 49 E 24 Ap 1</t>
  </si>
  <si>
    <t>Carrera 4a#50a-82</t>
  </si>
  <si>
    <t>Venus</t>
  </si>
  <si>
    <t>Orlando</t>
  </si>
  <si>
    <t>Cra 3 F 50 33</t>
  </si>
  <si>
    <t>Cocina en materiales provisionales, baño sin enchapar y en mal estado</t>
  </si>
  <si>
    <t>Andrés</t>
  </si>
  <si>
    <t>Carrera 4#49b-03</t>
  </si>
  <si>
    <t>Piso, baño y cocina en buen estado</t>
  </si>
  <si>
    <t>Ines Esther</t>
  </si>
  <si>
    <t>Calle 74 #9 sur 42</t>
  </si>
  <si>
    <t>Baño sin enchpar y en mal estado, la cocina requiere demolición del mesos y demas adecuaciones</t>
  </si>
  <si>
    <t>Joyce Enith</t>
  </si>
  <si>
    <t xml:space="preserve">Calle 49 e #3g-46 </t>
  </si>
  <si>
    <t>Edibia</t>
  </si>
  <si>
    <t>Cra 5B sur 62-99</t>
  </si>
  <si>
    <t>Nubia</t>
  </si>
  <si>
    <t>Carrera 4 #49E- 79</t>
  </si>
  <si>
    <t>Cocina requiere mejorar enchape del meson y baño requiere intervención total</t>
  </si>
  <si>
    <t>Yadira</t>
  </si>
  <si>
    <t>Calle 73#4Sur-71</t>
  </si>
  <si>
    <t>Baño y cocina requieren interbencion total (Demolición de meson en cocina existente y demas mejoras)</t>
  </si>
  <si>
    <t>Escorcia mendoza</t>
  </si>
  <si>
    <t>Carrera 3f 50 57</t>
  </si>
  <si>
    <t>Baño funcional y enchapado, cocina enchapada, piso en mal estado</t>
  </si>
  <si>
    <t>Deyanira</t>
  </si>
  <si>
    <t>Calle 68 1 sur -48</t>
  </si>
  <si>
    <t>Piso en mal estado, se debe demoler y volver a vaciar; Meson de la cocina en mal estado, se debe demoler y volver a hacer, de igual forma realizar el resto de adecuaciones; Baño no se puede intervenir porque no esta cubierto</t>
  </si>
  <si>
    <t>Mirlay Esther</t>
  </si>
  <si>
    <t>Calle 68 #1 sur-114</t>
  </si>
  <si>
    <t>No se identifican baño, ni cocina, aparentemente es una zona de Carpinteria</t>
  </si>
  <si>
    <t>Astrid</t>
  </si>
  <si>
    <t>Carrera 3f#50-72</t>
  </si>
  <si>
    <t xml:space="preserve">Pisos, baño y cocina enchapados. Si bien no estan en las mejores condiciones por el uso, no se requiere hacerles una intervencioón </t>
  </si>
  <si>
    <t>Robinson Manuel</t>
  </si>
  <si>
    <t>Cra 3D 49 B 170</t>
  </si>
  <si>
    <t>Piso, baño y cocina enchapados, no necesita intervención</t>
  </si>
  <si>
    <t>Santiago Rafael</t>
  </si>
  <si>
    <t>Carrera 10 sur #72-70</t>
  </si>
  <si>
    <t>Baño: Cambiar enchape de muro de una pared (Fisurado); Cocina: Salpicadero , enchape de meson y pintura; Piso en mal estado.</t>
  </si>
  <si>
    <t>Judis mercedes</t>
  </si>
  <si>
    <t>Cra 4 49e 32</t>
  </si>
  <si>
    <t>Intervención parcial en pisos, en las zonas donde se pudo visualizar en las fotos, Baños y cocina enchapados</t>
  </si>
  <si>
    <t>Carrera 2g #51d-06</t>
  </si>
  <si>
    <t>Baño requiere enchape y todos los demas elementos, cocina está en materiales provisionales, piso en buen estado, enchapado en algunas partes</t>
  </si>
  <si>
    <t>Yenis Isabel</t>
  </si>
  <si>
    <t>Carrera 3 g #49e-108</t>
  </si>
  <si>
    <t>Se requieren las 3 intervenciones, Baño para enchapar y cocina en materiales provisonales</t>
  </si>
  <si>
    <t>María</t>
  </si>
  <si>
    <t>Carrera 4 #49E-111</t>
  </si>
  <si>
    <t>Baño se encuentra enchapado, se debe demoler meson en mla estado y realizar las demas mejoras en cocina, piso en mal estado</t>
  </si>
  <si>
    <t>Jose Antonio</t>
  </si>
  <si>
    <t>Carrera 3 e #50-68</t>
  </si>
  <si>
    <t>Baño y cocina enchapados con accesorios; Piso en zona de sala en mal estado</t>
  </si>
  <si>
    <t>Lodis</t>
  </si>
  <si>
    <t>Cra 5 sur 62 59</t>
  </si>
  <si>
    <t>José Gabriel</t>
  </si>
  <si>
    <t>Cra 3D 49 B 158</t>
  </si>
  <si>
    <t>Marlene</t>
  </si>
  <si>
    <t>Calle70#4Sur-10</t>
  </si>
  <si>
    <t>Biso, baño y cocina en buen estado, baño y cocina enchapados</t>
  </si>
  <si>
    <t>Ruby yaneth</t>
  </si>
  <si>
    <t xml:space="preserve">Calle 49b 3e 05 apto 1 </t>
  </si>
  <si>
    <t xml:space="preserve">Se requiere intervenciones parciales en Baño y cocina; Baño: enchape de piso, Cocina, enchape de meson </t>
  </si>
  <si>
    <t>Eduardo segundo</t>
  </si>
  <si>
    <t>Calle 73# 10sur-51</t>
  </si>
  <si>
    <t>Baño requiere intervención total y cocina, enchape de meson , salpicadero y demas adecuaciones sin cambiar lavaplatos</t>
  </si>
  <si>
    <t>Luís Alberto</t>
  </si>
  <si>
    <t>Calle 49 b #3e-108</t>
  </si>
  <si>
    <t>Ebeth</t>
  </si>
  <si>
    <t>Calle 70#1-59</t>
  </si>
  <si>
    <t>El baño aunque requiere intervención, no se encuentra cubierto por lo cual no se puede realizar ningun mejoramiento; Cocina en material provisional</t>
  </si>
  <si>
    <t>Carolina</t>
  </si>
  <si>
    <t>Calle 48B 3E 170</t>
  </si>
  <si>
    <t>José Manuel</t>
  </si>
  <si>
    <t>Calle 74 3sur 12</t>
  </si>
  <si>
    <t>Cocina provisional</t>
  </si>
  <si>
    <t>José Agustín</t>
  </si>
  <si>
    <t>Cra 4 Sur 68 39</t>
  </si>
  <si>
    <t>No hay fotos de la cocina</t>
  </si>
  <si>
    <t>Ana</t>
  </si>
  <si>
    <t>Calle 68 5 sur 69</t>
  </si>
  <si>
    <t>Aunque requiere mejora de Baño y cocina no tiene conexión a alcantarillado</t>
  </si>
  <si>
    <t>Oscar</t>
  </si>
  <si>
    <t>Carrera 4a #50a - 170</t>
  </si>
  <si>
    <t>Aunque requiere mejora de Baño y cocina (provisional) no tiene conexión a alcantarillado, se puede intervenir solo el piso</t>
  </si>
  <si>
    <t>Luis Enrique</t>
  </si>
  <si>
    <t>Calle 68# 1sur-125</t>
  </si>
  <si>
    <t xml:space="preserve">Cocina Provisonal, se debe enchapar y adecuar baño y piso en mal estado en algunos sectores </t>
  </si>
  <si>
    <t>Diorselis</t>
  </si>
  <si>
    <t>Calle 74#10 Sur -65</t>
  </si>
  <si>
    <t>Enchapar meson y mejorar condiciones.</t>
  </si>
  <si>
    <t>Nicolas antonio</t>
  </si>
  <si>
    <t>Calle 50a 4b 19</t>
  </si>
  <si>
    <t>Piso, baño  y cocina en buen estado</t>
  </si>
  <si>
    <t>Yurleidys</t>
  </si>
  <si>
    <t>Calle 70#2Sur-22</t>
  </si>
  <si>
    <t>Mejorar condiciones de mesón y terminar de enchapar.</t>
  </si>
  <si>
    <t>Wilmer</t>
  </si>
  <si>
    <t>Carrera 10 #72-58</t>
  </si>
  <si>
    <t>Mejorar Piso y terminar de enchapar, pintar y poner salpicadero a cocina</t>
  </si>
  <si>
    <t>Fredy</t>
  </si>
  <si>
    <t>Calle 68 5sur 74</t>
  </si>
  <si>
    <t>Piso en buen estado y no hay fotos de baño y cocina,</t>
  </si>
  <si>
    <t>Sigifredo</t>
  </si>
  <si>
    <t xml:space="preserve">Cra 10 sur 72 10 </t>
  </si>
  <si>
    <t>Cocina provisional, baño sin enchapar, sin embargo no se tiene conexión</t>
  </si>
  <si>
    <t>Yamiles de jesus</t>
  </si>
  <si>
    <t>Cra 4 49e 02</t>
  </si>
  <si>
    <t xml:space="preserve">Baño, intervención solo en zona de ducha, cocina adecuar un lavaplatos, enchapar mesón </t>
  </si>
  <si>
    <t>Calle 73 4sur 37</t>
  </si>
  <si>
    <t>Enchapar y adecuar meson y Salpicadero</t>
  </si>
  <si>
    <t>Rosario</t>
  </si>
  <si>
    <t>Cra 10 sur 71  45</t>
  </si>
  <si>
    <t>Claudia Patricia</t>
  </si>
  <si>
    <t>Carrera 3 f # 49b-105</t>
  </si>
  <si>
    <t>Gloria lucia</t>
  </si>
  <si>
    <t>Calle 73 10 sur 79</t>
  </si>
  <si>
    <t>Terminar de enchapar zona de ducha en baño</t>
  </si>
  <si>
    <t>Gabriel Guillermo</t>
  </si>
  <si>
    <t>Calle 49 b #3e-114</t>
  </si>
  <si>
    <t>Cocina en materiales provisionales, baño en mal estado, piso en algunas zonas en mal estado</t>
  </si>
  <si>
    <t>Nuris Esther</t>
  </si>
  <si>
    <t>Calle 70 #4sur-06</t>
  </si>
  <si>
    <t>Ivon</t>
  </si>
  <si>
    <t>Calle 68#5sur-36</t>
  </si>
  <si>
    <t>Cocina se debe adecuar totalmente</t>
  </si>
  <si>
    <t>Sheila patricia</t>
  </si>
  <si>
    <t>Cra 4a 50a 188</t>
  </si>
  <si>
    <t>Baño no se encuentra cubierto, por lo cual no se puede intervenir, aunque esta en mal estado</t>
  </si>
  <si>
    <t>Nadin Emerson</t>
  </si>
  <si>
    <t>Carrera 3g #49b-56</t>
  </si>
  <si>
    <t xml:space="preserve">Baño enchapar y adecuar, cocina solo acabar de enchapar mesón </t>
  </si>
  <si>
    <t>Nancy esther</t>
  </si>
  <si>
    <t>Kra 4 # 49b 51</t>
  </si>
  <si>
    <t>Baño, se debe terminar de enchapar y adecuar aquellas partes que requieran mejoramiento, Cocina hacer nuevamente y piso mejorar</t>
  </si>
  <si>
    <t>Fani</t>
  </si>
  <si>
    <t>Carrera 4#49E-87</t>
  </si>
  <si>
    <t>Amaisa Mercedes</t>
  </si>
  <si>
    <t>Calle 51d #4a-15</t>
  </si>
  <si>
    <t>Cocina requiere terminar de encapar meson y adecuar las zonas anexas</t>
  </si>
  <si>
    <t>Rosalba</t>
  </si>
  <si>
    <t>Calle 74 4sur -41 ap2</t>
  </si>
  <si>
    <t>Cocina y piso en buen estado</t>
  </si>
  <si>
    <t>Calle 685sur-10</t>
  </si>
  <si>
    <t>Piso en buen estado</t>
  </si>
  <si>
    <t>Omaira</t>
  </si>
  <si>
    <t>Carrera 5bSur#62-67 ap3</t>
  </si>
  <si>
    <t>Piso en buen estado, cocina enchape de meson y demas adecuaciones de obra blanca</t>
  </si>
  <si>
    <t>Luz Dary</t>
  </si>
  <si>
    <t>Cra 4A sur 64 40 ap 2</t>
  </si>
  <si>
    <t>Wilfrido Rafael</t>
  </si>
  <si>
    <t>Cra 3E 49 B 74</t>
  </si>
  <si>
    <t>Mercedes isabel</t>
  </si>
  <si>
    <t>Carrera 4 49e 124</t>
  </si>
  <si>
    <t>Damaris lucia</t>
  </si>
  <si>
    <t>Calle 50a 4 38</t>
  </si>
  <si>
    <t>Carrera 4 Sur #68-28 apt2</t>
  </si>
  <si>
    <t>Pison en buen estado, baño encape de muros,  revoque estuco y pintura, cocina para demoler y vover a hacer totalmente</t>
  </si>
  <si>
    <t>Rosa</t>
  </si>
  <si>
    <t>Calle 73 10 sur 30</t>
  </si>
  <si>
    <t>Piso, baño y cocina enchadados</t>
  </si>
  <si>
    <t>Jorge Alberto</t>
  </si>
  <si>
    <t>Carrera 3 e #50-117</t>
  </si>
  <si>
    <t>Piso en buen estado, Cocina obra blca y salpicadero</t>
  </si>
  <si>
    <t>Emperatriz</t>
  </si>
  <si>
    <t>Calle 49b 3e 10</t>
  </si>
  <si>
    <t>Calle 70 4sur 21</t>
  </si>
  <si>
    <t xml:space="preserve">No hay fotos de la cocina, </t>
  </si>
  <si>
    <t>Cra 10 sur 73 11</t>
  </si>
  <si>
    <t>Solo requiere obra blanca en cocina y salpicadero.</t>
  </si>
  <si>
    <t>Maritza</t>
  </si>
  <si>
    <t>Calle 68#5sur-91</t>
  </si>
  <si>
    <t>Rosa helena</t>
  </si>
  <si>
    <t>Cra 3E 49 E 111</t>
  </si>
  <si>
    <t>Mejoramiento piso zona de ducha: enchape y mejoramiento de parte del meson que se encuentra en mal estado.</t>
  </si>
  <si>
    <t>Claudia patricia</t>
  </si>
  <si>
    <t>Kra 3g 49b 12</t>
  </si>
  <si>
    <t>Calle 64#5A sur 20</t>
  </si>
  <si>
    <t>Cocina enchapada con accesorios; Piso en buen estado; Baño: enchapar</t>
  </si>
  <si>
    <t>Javier enrique</t>
  </si>
  <si>
    <t>Calle 50a 3g 10</t>
  </si>
  <si>
    <t>Baño y cocina intervenciones parciales. Completar enchapes y salpicadero.</t>
  </si>
  <si>
    <t>Miguel</t>
  </si>
  <si>
    <t>Carrera 3e#49b-138</t>
  </si>
  <si>
    <t>Baño, cocina y piso en buen estado</t>
  </si>
  <si>
    <t xml:space="preserve">Calle 72# 5aSur -4 </t>
  </si>
  <si>
    <t>Cocina se debe adecuar y mejorar el meson: Piso en mal estado en algunas zonas. Baño: mejoramiento total</t>
  </si>
  <si>
    <t>Lourdes</t>
  </si>
  <si>
    <t>Calle 70#4 sur-27</t>
  </si>
  <si>
    <t>Jaime enrique</t>
  </si>
  <si>
    <t>Kr 3 g 49 B 87</t>
  </si>
  <si>
    <t>Cocina requiere enchape y obra blanca; Baño enchape y piso en buen estado</t>
  </si>
  <si>
    <t>Esteban</t>
  </si>
  <si>
    <t xml:space="preserve">Calle 72#5 Sur -20 </t>
  </si>
  <si>
    <t>Aunuqe requiere mejoramiento de baño y cocina se encuentra en materiales provisionales, no se puede realizar estas intervenciones porque no tiene conexión al alcantarillado; se podria hacer mesón sin pozuelo</t>
  </si>
  <si>
    <t>Deyanira Cecilia</t>
  </si>
  <si>
    <t>Carrera 3 g #49b-68</t>
  </si>
  <si>
    <t>Cocina en buen estado y pisos en algunas zonas en mal estado; Baño se encuentra para enchapar y pintar</t>
  </si>
  <si>
    <t>María isabel</t>
  </si>
  <si>
    <t>Cra 9 A sur 74 82</t>
  </si>
  <si>
    <t>Eucaris Maria</t>
  </si>
  <si>
    <t>Calle 74#3 sur-146</t>
  </si>
  <si>
    <t>Aunque baño requiere mejoramiento, no se puede hacer intervencion por falta de conexión al alcantarillado</t>
  </si>
  <si>
    <t>Miriam</t>
  </si>
  <si>
    <t>Calle 74 10 sur 90</t>
  </si>
  <si>
    <t>Baño requiere intervención en piso, enchapandolo, al igual que completar enchape en algunos muros: cocina requiere enchape y salpicadero, sin embargo estos elementos no se pueden intervenir porque no se tiene conexión al al alcantarillado; Piso en buen estado</t>
  </si>
  <si>
    <t>Yudi Esther</t>
  </si>
  <si>
    <t>Carrera 4 #50a-31 apartamento 1</t>
  </si>
  <si>
    <t>Pisos y cocina en buen estado. Baño encahpe en muros, estuco y pintura</t>
  </si>
  <si>
    <t>Jacinta rosa</t>
  </si>
  <si>
    <t>Cra 3g 49e 60</t>
  </si>
  <si>
    <t>Solo se requeriría salpicadero en cocina, sin embargo desde el programa esto no es prioridad</t>
  </si>
  <si>
    <t>Luis alberto</t>
  </si>
  <si>
    <t>Cra 3F 63</t>
  </si>
  <si>
    <t>Rodolfo</t>
  </si>
  <si>
    <t>Cra 3d 49b 98</t>
  </si>
  <si>
    <t>Mejoramiento de pisos en alguna zonas, cocina enchapada, baño para enchapar y pintar</t>
  </si>
  <si>
    <t>Luis Manuel</t>
  </si>
  <si>
    <t>Calle 68 1sur 30</t>
  </si>
  <si>
    <t>Juan Carlos</t>
  </si>
  <si>
    <t>Calle 68 1 sur 113</t>
  </si>
  <si>
    <t>Cocina en materiales provisionales y requiere mejoramiento de piso en alguna zonas</t>
  </si>
  <si>
    <t>Calle 72 #sur 08</t>
  </si>
  <si>
    <t>No hay fotos del baño ni de la cocina y el piso se visualiza en buenas condiciones, por lo cual no se puede saber si requieren intervención</t>
  </si>
  <si>
    <t>Yoileth</t>
  </si>
  <si>
    <t>Carrera 10 Sur 73-14</t>
  </si>
  <si>
    <t>Edilberto</t>
  </si>
  <si>
    <t>Calle 73# 10sur-89</t>
  </si>
  <si>
    <t>Se requiere adicionar meson en concreto con pozuelo y realizar demas adecuaciones</t>
  </si>
  <si>
    <t>Agustín</t>
  </si>
  <si>
    <t>Calle 74 # 2 sur- 274</t>
  </si>
  <si>
    <t>Enchapar muros de baño y pintura</t>
  </si>
  <si>
    <t>Sonia edith</t>
  </si>
  <si>
    <t>Calla 74 4sur 09</t>
  </si>
  <si>
    <t>Sandra Patricia</t>
  </si>
  <si>
    <t>Calle 51c #2f-05</t>
  </si>
  <si>
    <t>Baño intervención total y cocina enchapar, estucar, pintar y poner salpicadero</t>
  </si>
  <si>
    <t>Doralys</t>
  </si>
  <si>
    <t>Cra 3d 49b 119</t>
  </si>
  <si>
    <t>Cocina, piso y baño en buen estado, la cocina requiere salpicadero y enchapar parte del meson</t>
  </si>
  <si>
    <t>María Eugenia</t>
  </si>
  <si>
    <t>Carrera 5sur #62-55</t>
  </si>
  <si>
    <t>Requiere mejoras menores en Baño y cocina</t>
  </si>
  <si>
    <t>Caterine</t>
  </si>
  <si>
    <t>Calle 70#2 sur 56</t>
  </si>
  <si>
    <t>Piso: mejoras lozalizadas, Baño: mejoramiento total y cocina requiere mejora en meson existente y adición de meson para colocación de pozuelo</t>
  </si>
  <si>
    <t>María esther</t>
  </si>
  <si>
    <t>Calle 74 9 sur 62</t>
  </si>
  <si>
    <t>Alvert</t>
  </si>
  <si>
    <t>Calle 74 9sur 46</t>
  </si>
  <si>
    <t>Baño: enchape de muros, completar y/o cambiar en su totalida debiso al estado, al igual de debe revisar el estado del piso; Cocina: mejorar enchape de mesón existente y realizar acabados estuco, puntura y salpicadero</t>
  </si>
  <si>
    <t>Ignacio</t>
  </si>
  <si>
    <t xml:space="preserve">Calle 70 #2 Sur -98 </t>
  </si>
  <si>
    <t>Baño requiere enchape y acabados,, cocina se encuentra en materiales provisionales y piso se debe revisar las zonas a mejorar</t>
  </si>
  <si>
    <t>Doris</t>
  </si>
  <si>
    <t>Carrera 3g#49e-47</t>
  </si>
  <si>
    <t>Baño requiere enchape y cocina salpicadero</t>
  </si>
  <si>
    <t>Jairo jose</t>
  </si>
  <si>
    <t>Calle 50b 3e 44</t>
  </si>
  <si>
    <t>Solo el baño requiere completar enchape en zona de ducha, sin embargo no es prioridad dentro del programa; Piso y cocina en buen estado</t>
  </si>
  <si>
    <t>Zenith maria</t>
  </si>
  <si>
    <t>Cra 3g 50a 84</t>
  </si>
  <si>
    <t>Piso, baño y cocina enchapados</t>
  </si>
  <si>
    <t>Yulibeth</t>
  </si>
  <si>
    <t>Carrera 4 #49E-44</t>
  </si>
  <si>
    <t>Baño requiere intervención total y cocina parcial, sin embargo al no contar con servicio de alcantarillado no se puede realizar ninguna intervención en estos elementos</t>
  </si>
  <si>
    <t>Carlos julio</t>
  </si>
  <si>
    <t>Calle 50a 5 29</t>
  </si>
  <si>
    <t>Piso, baño y cocina con enchape y en buen estado</t>
  </si>
  <si>
    <t>DIANA MARCELA</t>
  </si>
  <si>
    <t>CL 11 OESTE 46 31</t>
  </si>
  <si>
    <t>Cali</t>
  </si>
  <si>
    <t>LLERAS CAMARGO</t>
  </si>
  <si>
    <t>1. intervencion piso area de la cocina solamente, el piso de la vivienda en general se encuentra en buen estado</t>
  </si>
  <si>
    <t>Juan Héctor</t>
  </si>
  <si>
    <t>Cr 18b#18b 06</t>
  </si>
  <si>
    <t>1. meson de 0,8 m en cocina para apoyar estufa</t>
  </si>
  <si>
    <t>MARIA DELMIRA</t>
  </si>
  <si>
    <t>CL 16 OESTE 48 30</t>
  </si>
  <si>
    <t>AURA LIGIA</t>
  </si>
  <si>
    <t>CRA 46 20C 28 SECTOR BRISAS DE LA SULTANA -LLERAS</t>
  </si>
  <si>
    <t>Mileydi</t>
  </si>
  <si>
    <t>Cr 53 F 12C 04,</t>
  </si>
  <si>
    <t>SHIRLEY</t>
  </si>
  <si>
    <t>CL 12 OESTE 46 14</t>
  </si>
  <si>
    <t>Javier</t>
  </si>
  <si>
    <t>CL 18 oeste 47 28</t>
  </si>
  <si>
    <t>1. vivienda en excelentes condiciones, solo requiere enchape de salpicadero de cocina.</t>
  </si>
  <si>
    <t>Calle 8 oeste 43 18</t>
  </si>
  <si>
    <t>MARIA DEL CARMEN</t>
  </si>
  <si>
    <t>CRA 53F BIS 12D 05 OESTE SECTOR BRISAS DE MAYO LA CUCHARITA</t>
  </si>
  <si>
    <t>Álvaro</t>
  </si>
  <si>
    <t>CL 8A oeste 42B 98</t>
  </si>
  <si>
    <t>1. vivienda en excelentes condiciones, solo requiere revoque, estuco y pintura en cocina, ya que se evidencia meson en concreto enchapado</t>
  </si>
  <si>
    <t>Jesús Maria</t>
  </si>
  <si>
    <t>CRA 47 6 G 24 OESTE</t>
  </si>
  <si>
    <t>Ángel David</t>
  </si>
  <si>
    <t>Kr 53 2 G 12 E Bis 15</t>
  </si>
  <si>
    <t>RECHAZA</t>
  </si>
  <si>
    <t>MARIA DOMINGA</t>
  </si>
  <si>
    <t>Calle 20 OESTE 46 29</t>
  </si>
  <si>
    <t>Luz Elena</t>
  </si>
  <si>
    <t>Cl 12 A oeste 53 F 09</t>
  </si>
  <si>
    <t>1. piso en malas condiciones, solo se evidencia puntualmente una zona segun la foto, no se alcanza a mirar el area real a requerir</t>
  </si>
  <si>
    <t>Lu Marina</t>
  </si>
  <si>
    <t>Claro 12 A oeste 53F 14</t>
  </si>
  <si>
    <t>MARÍA FERNANDA</t>
  </si>
  <si>
    <t>CL 15 OESTE 46 12</t>
  </si>
  <si>
    <t>1. piso requiere intervencion, sin embargo no existe una visual amplia para determinar el alcance</t>
  </si>
  <si>
    <t>Yolanda</t>
  </si>
  <si>
    <t>Cr 44A oeste 8B 41</t>
  </si>
  <si>
    <t>Cruz Elfrida</t>
  </si>
  <si>
    <t>Kr 53 D 12 B 01</t>
  </si>
  <si>
    <t>Mery maritza</t>
  </si>
  <si>
    <t>Cr 53D oeste 12 b19 brisas de mayo</t>
  </si>
  <si>
    <t xml:space="preserve">
1. no se evidencia zona de cocina o preparacion de alimentos
2. la vivienda por las fotos, no se percibe habitada, por tanto el programa no entraria a realizar ningun mejoramiento</t>
  </si>
  <si>
    <t>Karen Tatiana</t>
  </si>
  <si>
    <t>Cr 49 8b06 casa 2</t>
  </si>
  <si>
    <t>Carlos Andres</t>
  </si>
  <si>
    <t>Calle 19 Oeste #50C-26</t>
  </si>
  <si>
    <t>MARIA OFELIA</t>
  </si>
  <si>
    <t>CARRERA 44A OESTE 8B 40</t>
  </si>
  <si>
    <t>Henrry</t>
  </si>
  <si>
    <t>Cl18 oeste 50b45 oeste</t>
  </si>
  <si>
    <t>Cr 44A 8B39</t>
  </si>
  <si>
    <t>Katherine</t>
  </si>
  <si>
    <t>Cr 53D 12-07 CASA 3 brisas de mayo</t>
  </si>
  <si>
    <t>Franklin jordy</t>
  </si>
  <si>
    <t xml:space="preserve"> CL 13 B oeste 53 59 brisas de mayo sector la torre</t>
  </si>
  <si>
    <t>Lina marcela</t>
  </si>
  <si>
    <t>Cr 54 oeste 12 b 02</t>
  </si>
  <si>
    <t>ANA MILENA</t>
  </si>
  <si>
    <t>CL 18 OESTE 47 24</t>
  </si>
  <si>
    <t>JHON FREDDY</t>
  </si>
  <si>
    <t xml:space="preserve">CL 8B OESTE 8 04 </t>
  </si>
  <si>
    <t>Angie carolina</t>
  </si>
  <si>
    <t>Cr 53D oeste 12B 39 brisas de mayo</t>
  </si>
  <si>
    <t>MARÍA BELBA</t>
  </si>
  <si>
    <t>CL 15 OESTE 46 10</t>
  </si>
  <si>
    <t>Jaime</t>
  </si>
  <si>
    <t>Cll 11 oeste 52b 09</t>
  </si>
  <si>
    <t>María etelbina</t>
  </si>
  <si>
    <t>Calle 13 oeste 46-01</t>
  </si>
  <si>
    <t>María Camila</t>
  </si>
  <si>
    <t>Cr 53 12b 51 brisas de mayo</t>
  </si>
  <si>
    <t>KEVIN STEVEN</t>
  </si>
  <si>
    <t>CL 8 49A 08  SECTOR EL CAGUAN. LLERAS</t>
  </si>
  <si>
    <t>Victor Daniel</t>
  </si>
  <si>
    <t>Cll 8a oeste kr 42b 107 piso</t>
  </si>
  <si>
    <t>Mireya</t>
  </si>
  <si>
    <t>Cr 53FBis 12C 43</t>
  </si>
  <si>
    <t>Kr 54 12 A 32</t>
  </si>
  <si>
    <t>JENNY</t>
  </si>
  <si>
    <t>CR 49 OESTE 8B 10 SECTOR ESCUELA LOS SOLDADO LLERAS</t>
  </si>
  <si>
    <t>FIDELINE</t>
  </si>
  <si>
    <t>CL 11 OESTE 46B 14</t>
  </si>
  <si>
    <t>CRA 53D 12B 25 OESTE</t>
  </si>
  <si>
    <t>VICTOR RAUL</t>
  </si>
  <si>
    <t>KRA 44A OESTE 8B 12</t>
  </si>
  <si>
    <t>1. el piso no se evidencia la totalidad del area a intervenir por tanto se considera parcial</t>
  </si>
  <si>
    <t>María del socorro</t>
  </si>
  <si>
    <t xml:space="preserve">Cr 53B oeste 22 35 brisas de mayo sector casa blanca </t>
  </si>
  <si>
    <t>Marleny</t>
  </si>
  <si>
    <t>Kr 44 A 8 B oeste 25 casa 01</t>
  </si>
  <si>
    <t>Juan Sebastián</t>
  </si>
  <si>
    <t>CL 8 B Oeste 41 B 23</t>
  </si>
  <si>
    <t>William Alfredo</t>
  </si>
  <si>
    <t>Cr 53 A oeste 12 24</t>
  </si>
  <si>
    <t>Pastora Esneda</t>
  </si>
  <si>
    <t>Carrera 50C # 18-36 piso 2</t>
  </si>
  <si>
    <t>ANCIZAR</t>
  </si>
  <si>
    <t>CRA 49A 17 10 OESTE</t>
  </si>
  <si>
    <t xml:space="preserve">RECHAZO </t>
  </si>
  <si>
    <t>Luis Alberto</t>
  </si>
  <si>
    <t>CL 8 N oeste 43 23</t>
  </si>
  <si>
    <t>1. vivienda en excelentes condiciones, no requiere intervencion</t>
  </si>
  <si>
    <t>Gloria</t>
  </si>
  <si>
    <t>Cl 8 A Oeste Krv 42 B 61 Pi 1</t>
  </si>
  <si>
    <t>MARICELA</t>
  </si>
  <si>
    <t>KR 46B OESTE 8B 37</t>
  </si>
  <si>
    <t>Maria  del pilarb</t>
  </si>
  <si>
    <t>Cr 53 F oeste 12A24</t>
  </si>
  <si>
    <t>1. la vivienda no contiene fotos de baño ni cocina, por tanto no se puede determinar si se requiere o no la intervencion</t>
  </si>
  <si>
    <t>María Soledad</t>
  </si>
  <si>
    <t>Kr 53 12 E Bis 17 oeste</t>
  </si>
  <si>
    <t>Rosiber</t>
  </si>
  <si>
    <t>CL 12C 53E 40</t>
  </si>
  <si>
    <t>Exigencia Maria</t>
  </si>
  <si>
    <t>Kr 54 E oeste 12 E bis 09</t>
  </si>
  <si>
    <t>María Rosalba</t>
  </si>
  <si>
    <t>Kr 53 F oeste 12 A 33</t>
  </si>
  <si>
    <t>1. piso no se evidencia area total a intervenir por tanto se considera parcial</t>
  </si>
  <si>
    <t>JOSE RUBIO</t>
  </si>
  <si>
    <t>CRA 46 CON CL 20C OESTE</t>
  </si>
  <si>
    <t>Mery floralba</t>
  </si>
  <si>
    <t>CL 8 oeste 43 36</t>
  </si>
  <si>
    <t>1. la vivienda no contiene fotos de baño, por tanto no se puede determinar si requiere la intervencion</t>
  </si>
  <si>
    <t>NOEMI</t>
  </si>
  <si>
    <t>CR 52B OESTE 12A 27 BRISAS DE MAYO</t>
  </si>
  <si>
    <t>AYDEE</t>
  </si>
  <si>
    <t>CR 44A OESTE 8B 37 SECTOR LAS GUAYAS</t>
  </si>
  <si>
    <t>1. la vivienda no contiene fotos de cocina, por tanto no se puede determinar si requiere la intervencion</t>
  </si>
  <si>
    <t>Cr 53D oeste 12-07</t>
  </si>
  <si>
    <t>Yuliana</t>
  </si>
  <si>
    <t>Cr 53c oeste 12b 44</t>
  </si>
  <si>
    <t>SANDRA</t>
  </si>
  <si>
    <t>CL 11 OESTE 46 34</t>
  </si>
  <si>
    <t>Alicia</t>
  </si>
  <si>
    <t>Cl 2 oeste 53 F 103 Brisas de Mayo</t>
  </si>
  <si>
    <t>Gloria Amparo</t>
  </si>
  <si>
    <t>Kr 54 B oeste 14 23</t>
  </si>
  <si>
    <t>Rufina</t>
  </si>
  <si>
    <t>Kr 54 oeste 12 A 02</t>
  </si>
  <si>
    <t>LUIS CARLOS</t>
  </si>
  <si>
    <t>CR 54A OESTE 11A 30</t>
  </si>
  <si>
    <t>LUIS FERNANDO</t>
  </si>
  <si>
    <t>KR 46 12 31</t>
  </si>
  <si>
    <t>ELISENIO</t>
  </si>
  <si>
    <t>KR 46A 14 28</t>
  </si>
  <si>
    <t>LUZ MARINA</t>
  </si>
  <si>
    <t>CL 8D OESTE 44A 31</t>
  </si>
  <si>
    <t>Kr 54 12A 10</t>
  </si>
  <si>
    <t>Aida</t>
  </si>
  <si>
    <t>Cr 53C oeste  12B 06 brisas de mayo</t>
  </si>
  <si>
    <t>Cl 8 A oeste 42 B 55</t>
  </si>
  <si>
    <t>Rodrigo</t>
  </si>
  <si>
    <t>Kr 53 F oeste 12 A 36 Brisas de Mayo sector la Platanera</t>
  </si>
  <si>
    <t>María Hilde</t>
  </si>
  <si>
    <t>Calle 20 Oeste #50-64</t>
  </si>
  <si>
    <t>1. vivienda en excelentes condiciones, solo requeriria enchape de meson, no es objeto de mejoramiento del programa</t>
  </si>
  <si>
    <t>Cr 52 C OESTE 11 bis 03 brisas de mayo</t>
  </si>
  <si>
    <t>ALFREDO</t>
  </si>
  <si>
    <t>CRA 44 OESTE 8B 52 APTO 201</t>
  </si>
  <si>
    <t>José Ferney</t>
  </si>
  <si>
    <t>Carrera 50C #18 Oeste 35</t>
  </si>
  <si>
    <t>1. vivienda con piso y cocina en excelentes condiciones, no se puede realizar mejoramiento en baño, ya que la vivienda no cuenta con alcantarillado</t>
  </si>
  <si>
    <t>Jairo Antonio</t>
  </si>
  <si>
    <t>Cl 12 a oeste 53g 13</t>
  </si>
  <si>
    <t>CENEIDA</t>
  </si>
  <si>
    <t>CR 54 11A 43 OESTE</t>
  </si>
  <si>
    <t>Luis albecio</t>
  </si>
  <si>
    <t>CL 8D oeste 44A 47</t>
  </si>
  <si>
    <t>1. vivienda en excelentes condiciones, no es objeto de mejoramiento del programa</t>
  </si>
  <si>
    <t>FREDIS</t>
  </si>
  <si>
    <t>CRA 52B 12A 50</t>
  </si>
  <si>
    <t>Norberto</t>
  </si>
  <si>
    <t>Cr 44A 8B06</t>
  </si>
  <si>
    <t>BLANCA ESTELA</t>
  </si>
  <si>
    <t>CL 12D OESTE 53F 1BIS 13 SECTOR BRISAS DE MAYO</t>
  </si>
  <si>
    <t>HARRISON ANDRES</t>
  </si>
  <si>
    <t xml:space="preserve"> CR 52 B 12A 58 OESTE BRISAS DE MAYO SECTOR JUAN FERNANDEZ</t>
  </si>
  <si>
    <t>Liniers Fabian</t>
  </si>
  <si>
    <t>Kr 53 G oeste 12 A Platanera La Cruz</t>
  </si>
  <si>
    <t>Augusto</t>
  </si>
  <si>
    <t>Cr 53B oeste 12B 15 brisas de mayo</t>
  </si>
  <si>
    <t>Jhon Freddy</t>
  </si>
  <si>
    <t>Cra 49#15-12</t>
  </si>
  <si>
    <t>MARLENI</t>
  </si>
  <si>
    <t>CRA 54 12A 06</t>
  </si>
  <si>
    <t>Emérita</t>
  </si>
  <si>
    <t>Kr 53 F oeste 12  B. 38</t>
  </si>
  <si>
    <t>ROSA AMALIA</t>
  </si>
  <si>
    <t>CLL 53 12B 03 APTO 101 SECTOR BRISAS DE MAYO</t>
  </si>
  <si>
    <t>Cr 53 B oeste 12B 11 brisas de mayo</t>
  </si>
  <si>
    <t>BERNARDO</t>
  </si>
  <si>
    <t>CR 52B 12A 32 OESTE BRISAS DE MAYO SECTOR JUAN FERNANDEZ</t>
  </si>
  <si>
    <t>Amparo</t>
  </si>
  <si>
    <t>CL 20 oeste 46 33</t>
  </si>
  <si>
    <t>Calle 13 número 46 43</t>
  </si>
  <si>
    <t>1. la vivienda no se percibe habitada y se encuentra en algunas partes sin cubierta, por tanto no es objeto de mejoramiento del programa</t>
  </si>
  <si>
    <t>Yair Andrés</t>
  </si>
  <si>
    <t>Cr 52 12bis 17 brisas de mayo</t>
  </si>
  <si>
    <t>NELIDA</t>
  </si>
  <si>
    <t>CRA 54 OESTE 12A 05</t>
  </si>
  <si>
    <t>Jonathan</t>
  </si>
  <si>
    <t>CL 8 oeste 42B 28</t>
  </si>
  <si>
    <t>Leonila</t>
  </si>
  <si>
    <t>CL 8 B oeste 43 29</t>
  </si>
  <si>
    <t>Noelba</t>
  </si>
  <si>
    <t>CL 8 B oeste No 44 100</t>
  </si>
  <si>
    <t>Aracely</t>
  </si>
  <si>
    <t>Dg 45 oeste 54 A 04 oeste</t>
  </si>
  <si>
    <t>KAREN VIVIANA</t>
  </si>
  <si>
    <t>CR 44A OESTE 8B 53</t>
  </si>
  <si>
    <t>LLADILIAN</t>
  </si>
  <si>
    <t>CL 12A BIS OESTE 53G 09</t>
  </si>
  <si>
    <t>Lucely</t>
  </si>
  <si>
    <t>Cr 46 oeste 23c 20</t>
  </si>
  <si>
    <t>Reina María</t>
  </si>
  <si>
    <t>Kr 53 F 12 B 34 Oeste brisas de mayo</t>
  </si>
  <si>
    <t>Ingrid Vanessa</t>
  </si>
  <si>
    <t>CL 25B 39-45 brisas de mayo sector la arboleda</t>
  </si>
  <si>
    <t>Yenifer</t>
  </si>
  <si>
    <t>Cr 49 8B 06 CASA1</t>
  </si>
  <si>
    <t>Albeiro</t>
  </si>
  <si>
    <t>Cl 12 D oeste 53 F 1 Bis 08</t>
  </si>
  <si>
    <t>JAMES</t>
  </si>
  <si>
    <t>CL 12ABIS OESTE 53G 10</t>
  </si>
  <si>
    <t>Rooselved</t>
  </si>
  <si>
    <t>Kr 43 No 8A oeste 35</t>
  </si>
  <si>
    <t>LUZ MIRIAM</t>
  </si>
  <si>
    <t>CRA 54A 12A 10 BRISAS DE MAYO SECTOR LA CRUZ</t>
  </si>
  <si>
    <t>William</t>
  </si>
  <si>
    <t>Cl 11 oeste 52 B 04</t>
  </si>
  <si>
    <t>Angie Marcela</t>
  </si>
  <si>
    <t>Cl 7 A oeste 47 04</t>
  </si>
  <si>
    <t>1. vivienda en construccion no habitada, No es objeto de mejoramiento del programa</t>
  </si>
  <si>
    <t>Cr 53FBIS  12C 18 brisas de mayo</t>
  </si>
  <si>
    <t>María yolanda</t>
  </si>
  <si>
    <t>Cr 53B oeste 12B 20</t>
  </si>
  <si>
    <t>María Nidia</t>
  </si>
  <si>
    <t>Dg 45 oeste 54 11</t>
  </si>
  <si>
    <t>Luis sandro</t>
  </si>
  <si>
    <t>Cr 51d cl 9 oste 7 piso 2</t>
  </si>
  <si>
    <t>GLORIA ISABEL</t>
  </si>
  <si>
    <t>CL 15 OESTE 46 22</t>
  </si>
  <si>
    <t>1. No se evidencia fotos de cocina en la vivienda</t>
  </si>
  <si>
    <t>Cl 18 oeste 47- 49 oeste</t>
  </si>
  <si>
    <t>Abio</t>
  </si>
  <si>
    <t>Cl 18 oeste 47 32</t>
  </si>
  <si>
    <t>Olga María</t>
  </si>
  <si>
    <t>Cr 54 oeste 12 05 brisas de mayo</t>
  </si>
  <si>
    <t>MARIA SENEIDA</t>
  </si>
  <si>
    <t>CL 20 OESTE 46 37</t>
  </si>
  <si>
    <t>EDISON</t>
  </si>
  <si>
    <t>CRA 44 OESTE 8B OESTE</t>
  </si>
  <si>
    <t>ASCENSION DEL SOCORRO</t>
  </si>
  <si>
    <t>KRA 44 A OESTE 8B 29 Sector las Guayas</t>
  </si>
  <si>
    <t>MARIA HERLINDA</t>
  </si>
  <si>
    <t>CRA 53G OESTE 12A 39</t>
  </si>
  <si>
    <t>Luis Fernando</t>
  </si>
  <si>
    <t>Kr 54 12 A 12</t>
  </si>
  <si>
    <t>María cielo</t>
  </si>
  <si>
    <t>Cr 46 oeate  23 57</t>
  </si>
  <si>
    <t>MÓNICA</t>
  </si>
  <si>
    <t xml:space="preserve"> CRA 46C CON CL 22 OESTE ALTO LA SULTANA </t>
  </si>
  <si>
    <t>OCTAVIO</t>
  </si>
  <si>
    <t>CL 16 OESTE 48 20 LLERAS CAMARGO</t>
  </si>
  <si>
    <t>Patricia</t>
  </si>
  <si>
    <t xml:space="preserve">CL 8A oeste 42b-98 casa esquina </t>
  </si>
  <si>
    <t>María Fabiola</t>
  </si>
  <si>
    <t>Kr 47 6 G 36 Oeste</t>
  </si>
  <si>
    <t>Samuel. David</t>
  </si>
  <si>
    <t>Cra 39c oeste 3b 07 casa 203</t>
  </si>
  <si>
    <t>Julián</t>
  </si>
  <si>
    <t>CL 23 oeste 46A 04</t>
  </si>
  <si>
    <t>TEODOMIRA</t>
  </si>
  <si>
    <t>CRA 52B OESTE 12A 34 BRISAS DE MAYO SECTOR JUAN FERNANDEZ</t>
  </si>
  <si>
    <t>Cr 46 oeste 23 73 casa 11</t>
  </si>
  <si>
    <t>Yurley Tatiana</t>
  </si>
  <si>
    <t xml:space="preserve">Cr 53E OESTE 12B 06 brisas de mayo </t>
  </si>
  <si>
    <t>1. terraza de vivienda, no se percibe habitada, no cuenta con cocina ni baño, piso en excelentes condiciones, No es objeto de intervencion del programa</t>
  </si>
  <si>
    <t>CRA 54A 12A 08</t>
  </si>
  <si>
    <t>no necesita intervencion</t>
  </si>
  <si>
    <t>AMANDA</t>
  </si>
  <si>
    <t>CALLE 20 OESTE 46 23</t>
  </si>
  <si>
    <t>FLOR</t>
  </si>
  <si>
    <t>CRA 44 OESTE 8B 19</t>
  </si>
  <si>
    <t>ARISTIDES</t>
  </si>
  <si>
    <t>CL 13 OESTE 46 03</t>
  </si>
  <si>
    <t xml:space="preserve">Creo 44a 8b 49 oeste </t>
  </si>
  <si>
    <t>1. las necesidades de la vivienda son muy minimas</t>
  </si>
  <si>
    <t>BERTHA LUCIA</t>
  </si>
  <si>
    <t xml:space="preserve">CR 46 20C 59 OESTE </t>
  </si>
  <si>
    <t>Carlos José</t>
  </si>
  <si>
    <t>Cl 13 B Oeste 51B 18</t>
  </si>
  <si>
    <t>1. meson de cocina para demoler y hacer nuevamente</t>
  </si>
  <si>
    <t>Alfonso</t>
  </si>
  <si>
    <t>Cll13 oeste 51 a 34</t>
  </si>
  <si>
    <t>CL 18 W 47 58</t>
  </si>
  <si>
    <t>1. vivienda requiere intervenvion en baño, sin embargo no cuenta con alcantarillado por lo cual no se puede realizar la intervencion</t>
  </si>
  <si>
    <t>Mirell</t>
  </si>
  <si>
    <t xml:space="preserve">Cr 53f cl 12c oeste </t>
  </si>
  <si>
    <t>Calle 19 Oeste # 50C-19</t>
  </si>
  <si>
    <t>María fulvia jacinta</t>
  </si>
  <si>
    <t>Cr 53d 12b 14 oeste</t>
  </si>
  <si>
    <t>María Bertha</t>
  </si>
  <si>
    <t>Kr 46 oeste 6 G bis 36 Casa 3</t>
  </si>
  <si>
    <t>Heriverto</t>
  </si>
  <si>
    <t>Calle 11 oeste  cra 46  11 05</t>
  </si>
  <si>
    <t>MARIA EUGENIA</t>
  </si>
  <si>
    <t>CL 12A BIS OESTE 53G 20</t>
  </si>
  <si>
    <t>Pedro</t>
  </si>
  <si>
    <t>Cr 53B oeste 22 41 brisas de mayo sector los santos</t>
  </si>
  <si>
    <t>JOSE ALEXANDER</t>
  </si>
  <si>
    <t>CR 54 OESTE 11A 37</t>
  </si>
  <si>
    <t>LUZ ANGELICA</t>
  </si>
  <si>
    <t>CR 53 12A 29</t>
  </si>
  <si>
    <t>LUZ MARY</t>
  </si>
  <si>
    <t>CR 54 12 03</t>
  </si>
  <si>
    <t>Elcira</t>
  </si>
  <si>
    <t>Kr 44A 8 B oeste 16 Pi 1</t>
  </si>
  <si>
    <t>1. baño solo requiere cambio de combo sanitario</t>
  </si>
  <si>
    <t>Rosio Fernanda</t>
  </si>
  <si>
    <t>Cr 53F  12B 46</t>
  </si>
  <si>
    <t>CL 12C OESTE 53F1 BIS 33</t>
  </si>
  <si>
    <t>Deysy</t>
  </si>
  <si>
    <t>CL 12 C oeste 53D 35brisas de mayo</t>
  </si>
  <si>
    <t>DIANA MILENA</t>
  </si>
  <si>
    <t>CALLE 18 OESTE 47 16</t>
  </si>
  <si>
    <t>SEMIRA MIREIS</t>
  </si>
  <si>
    <t xml:space="preserve">Cra 46 27-35 OESTE </t>
  </si>
  <si>
    <t>1. baño solo requiere intervencion en zona de ducha</t>
  </si>
  <si>
    <t>JACQUELINE</t>
  </si>
  <si>
    <t>CRA 47 OESTE 17 05</t>
  </si>
  <si>
    <t>CRA 53F BIS 12D 05 OESTE APTO 2 SECTOR BRISAS DE MAYO- LA CUCHARITA</t>
  </si>
  <si>
    <t>Fabiola</t>
  </si>
  <si>
    <t>Calle 13 oeste # 46-13</t>
  </si>
  <si>
    <t>Esperanza</t>
  </si>
  <si>
    <t>Cr 54 # 12 a 02. Brisas de mayo</t>
  </si>
  <si>
    <t>1. el meson de la cocina se debe demoler y volver a elaborar</t>
  </si>
  <si>
    <t>Fesar</t>
  </si>
  <si>
    <t>Cr 46 oeste 20C 24</t>
  </si>
  <si>
    <t>Herninda</t>
  </si>
  <si>
    <t xml:space="preserve">Kr 52C oeste 11 B bis </t>
  </si>
  <si>
    <t>1. vivienda en excelentes condiciones, solo requiere cambio de sanitario, no es objeto de mejoramiento del programa</t>
  </si>
  <si>
    <t>Maria Fidelina</t>
  </si>
  <si>
    <t>Kr 53 Cl 12 E oeste 21</t>
  </si>
  <si>
    <t>no necesi}ta intervención</t>
  </si>
  <si>
    <t>Nataly</t>
  </si>
  <si>
    <t xml:space="preserve">Cl 12b  oeste 51 a 33 </t>
  </si>
  <si>
    <t>AMELIA ROSA</t>
  </si>
  <si>
    <t>CL 8D OESTE 44A 27</t>
  </si>
  <si>
    <t>Sandra patricia</t>
  </si>
  <si>
    <t>CL 20 oeste 46 34</t>
  </si>
  <si>
    <t>WILSON MAMIAM</t>
  </si>
  <si>
    <t xml:space="preserve">Cra 46 CL 22 OESTE BRISAS DE LA SULTANA -LLERAS </t>
  </si>
  <si>
    <t>Luis Alfonso</t>
  </si>
  <si>
    <t>Calle 11 oeste  46 26</t>
  </si>
  <si>
    <t>no necesita intervención</t>
  </si>
  <si>
    <t>Rosaurina</t>
  </si>
  <si>
    <t>Kr 54 12 A Bis 14 Oeste</t>
  </si>
  <si>
    <t>Teresa</t>
  </si>
  <si>
    <t>CL 18 47  19</t>
  </si>
  <si>
    <t>Estrellita</t>
  </si>
  <si>
    <t>Kr 47 6 G 18 AP 201</t>
  </si>
  <si>
    <t>1. cocina requiere machones de apoyo para meson en acero inoxidable</t>
  </si>
  <si>
    <t>MELBA INES</t>
  </si>
  <si>
    <t>CL 16 OESTE 49 26 LLERAS</t>
  </si>
  <si>
    <t>Jhon alfonzo</t>
  </si>
  <si>
    <t>CL 8 oeste 43B 11</t>
  </si>
  <si>
    <t>1. vivienda en excelentes condiciones, no requiere mejoramiento</t>
  </si>
  <si>
    <t>Rubén Darío</t>
  </si>
  <si>
    <t xml:space="preserve">No dan información </t>
  </si>
  <si>
    <t>Carlos Alberto</t>
  </si>
  <si>
    <t>Kr 49B oeste  15 30</t>
  </si>
  <si>
    <t>Maria Elcira</t>
  </si>
  <si>
    <t>Kr 44A 8B oeste 52</t>
  </si>
  <si>
    <t>1. cocina se encuentra en malas condiciones, por tanto se debe demoler y volver hacer</t>
  </si>
  <si>
    <t>Rosa Elvira</t>
  </si>
  <si>
    <t>Kr 53 12 15 brisas de Mayo</t>
  </si>
  <si>
    <t>Roman</t>
  </si>
  <si>
    <t>Cll13 oeste 51a 09</t>
  </si>
  <si>
    <t>Marina</t>
  </si>
  <si>
    <t>CL 18 oeste 47 32</t>
  </si>
  <si>
    <t>SANDRA MILENA</t>
  </si>
  <si>
    <t>CR 52B 12A 54 APTO 201</t>
  </si>
  <si>
    <t>Cl 6 G Oeste 46 43</t>
  </si>
  <si>
    <t>LUZ KARIME</t>
  </si>
  <si>
    <t>CL 8 OESTE 42B 63</t>
  </si>
  <si>
    <t>Fanny</t>
  </si>
  <si>
    <t>Cr 44a oeste # 8b 38 casa 2</t>
  </si>
  <si>
    <t>Jesus antonio</t>
  </si>
  <si>
    <t xml:space="preserve">Cr 44a 8b b 47 oeste </t>
  </si>
  <si>
    <t>Diana grisales</t>
  </si>
  <si>
    <t>Cr 46a #15 33</t>
  </si>
  <si>
    <t>Yeraldine</t>
  </si>
  <si>
    <t xml:space="preserve">Cr 46 oeste CL 23  </t>
  </si>
  <si>
    <t>1. vivienda no cuenta con cubierta, por tanto no se puede intervenir</t>
  </si>
  <si>
    <t>LUZ MARIELA</t>
  </si>
  <si>
    <t>CL 11 OESTE 46-50</t>
  </si>
  <si>
    <t>Zoila rosa</t>
  </si>
  <si>
    <t>CL 12B oeste 53Bis 13 brisas de mayo</t>
  </si>
  <si>
    <t>MARÍA DEL CARMEN</t>
  </si>
  <si>
    <t>CL 13 OESTE 46 04</t>
  </si>
  <si>
    <t>JOSE FELIX</t>
  </si>
  <si>
    <t>CRA 44A 8B 52 OESTE PISO 1</t>
  </si>
  <si>
    <t>YULI FERNANDA</t>
  </si>
  <si>
    <t>CRA 53 12B 03 APTO 202 SECTOR BRISAS DE MAYO</t>
  </si>
  <si>
    <t>Vivienda en principio de construccion, por tanto no es objeto de mejoramiento del programa</t>
  </si>
  <si>
    <t>Tatiana</t>
  </si>
  <si>
    <t>CL 47 oeste 17-07</t>
  </si>
  <si>
    <t>OCTAVIANO</t>
  </si>
  <si>
    <t>CRA 54 12ABIS 06 OESTE</t>
  </si>
  <si>
    <t>DUBERNET</t>
  </si>
  <si>
    <t>CL 15 OESTE 46 32</t>
  </si>
  <si>
    <t>José Hoover</t>
  </si>
  <si>
    <t>Cr 53 fbis 12C -51brisas de mayo</t>
  </si>
  <si>
    <t>1. vivienda no cuenta con fotos de los espacios a intervenir</t>
  </si>
  <si>
    <t>Francisco Javier</t>
  </si>
  <si>
    <t>CRA 45 # 99 - 12</t>
  </si>
  <si>
    <t>ANTIOQUIA</t>
  </si>
  <si>
    <t>Medellin</t>
  </si>
  <si>
    <t>MOSCú NO. 2</t>
  </si>
  <si>
    <t>Carmen Rosa</t>
  </si>
  <si>
    <t>CRA 43B # 107 - 42 int 101</t>
  </si>
  <si>
    <t>EL POPULAR</t>
  </si>
  <si>
    <t>la vivienda no necesita el mejoramiento</t>
  </si>
  <si>
    <t>Deibis</t>
  </si>
  <si>
    <t>Cra 53A 110 33</t>
  </si>
  <si>
    <t>Maria Libia</t>
  </si>
  <si>
    <t>Cr39A 107-77</t>
  </si>
  <si>
    <t>Cristian Camilo</t>
  </si>
  <si>
    <t>Cl 107C # 43B - 19</t>
  </si>
  <si>
    <t>Oscar de Jesús</t>
  </si>
  <si>
    <t>Carrera 46 98 41</t>
  </si>
  <si>
    <t>CRA 43 # 110B - 08</t>
  </si>
  <si>
    <t>Cl 96 44 64</t>
  </si>
  <si>
    <t>Rosa marina</t>
  </si>
  <si>
    <t>Cr43A. 110C88int102</t>
  </si>
  <si>
    <t>Maria Edilma</t>
  </si>
  <si>
    <t>CRA 46 A # 108A - 02</t>
  </si>
  <si>
    <t>María Rubiela</t>
  </si>
  <si>
    <t>CL 97.44 A 35</t>
  </si>
  <si>
    <t>Mónica</t>
  </si>
  <si>
    <t>Cra 46 107D 07 Int 102</t>
  </si>
  <si>
    <t>Cintia Carolina</t>
  </si>
  <si>
    <t>Cra 43B 107C 24</t>
  </si>
  <si>
    <t>Jesús Enrique</t>
  </si>
  <si>
    <t>Carrera 43A 110C 40</t>
  </si>
  <si>
    <t>Ramiro de Jesús</t>
  </si>
  <si>
    <t>Cl 98 45-18</t>
  </si>
  <si>
    <t>Milena</t>
  </si>
  <si>
    <t>Cl 97 44 47</t>
  </si>
  <si>
    <t>Maribel llesid</t>
  </si>
  <si>
    <t>CL 107 D. 44.6.int109</t>
  </si>
  <si>
    <t>Mary nesly</t>
  </si>
  <si>
    <t>Carrera 45 99 50</t>
  </si>
  <si>
    <t>Aura Eliza</t>
  </si>
  <si>
    <t>CRA 46 # 98 - 47 int 125</t>
  </si>
  <si>
    <t>Omar de Jesús</t>
  </si>
  <si>
    <t>Carrera 46 98 47 int 120</t>
  </si>
  <si>
    <t>Maria luzmila</t>
  </si>
  <si>
    <t>Cl99 44B19</t>
  </si>
  <si>
    <t>Aracela</t>
  </si>
  <si>
    <t>Carrera 46 98 48 int 211</t>
  </si>
  <si>
    <t>Cr 43A 106B45</t>
  </si>
  <si>
    <t>Rosmira</t>
  </si>
  <si>
    <t>Cr 45.99 61</t>
  </si>
  <si>
    <t>Dora Ines</t>
  </si>
  <si>
    <t>Calle 99 44 4 apto 201</t>
  </si>
  <si>
    <t>Margot</t>
  </si>
  <si>
    <t>314 7894537</t>
  </si>
  <si>
    <t>Cra 43B No 107 42 Int 301</t>
  </si>
  <si>
    <t>María Dioselina</t>
  </si>
  <si>
    <t>Calle 111 42E 21 Int 109</t>
  </si>
  <si>
    <t>David Alexander</t>
  </si>
  <si>
    <t>Cr45 99 23</t>
  </si>
  <si>
    <t>Doralba</t>
  </si>
  <si>
    <t>Cl 99 44A 4</t>
  </si>
  <si>
    <t>Paula Andrea</t>
  </si>
  <si>
    <t>Calle 42D 108A 58</t>
  </si>
  <si>
    <t>la vivienda no necesita el mejoramiento, se encuentra en buenas condiciones</t>
  </si>
  <si>
    <t>Yesica alexandra</t>
  </si>
  <si>
    <t>Carrera 46 98 050 int 137</t>
  </si>
  <si>
    <t>Solo se puede realizar el mejoramiento del piso y mesón. El baño no aplica porque no tienen alcantarillado</t>
  </si>
  <si>
    <t>Luz Amparo</t>
  </si>
  <si>
    <t>Cl 107E 42C 49 Int 201</t>
  </si>
  <si>
    <t>Ligia Amparo</t>
  </si>
  <si>
    <t>CRA 43A  # 110 - 04</t>
  </si>
  <si>
    <t xml:space="preserve">Maria angelina </t>
  </si>
  <si>
    <t>Carrera 38A#107B 11</t>
  </si>
  <si>
    <t>María Edilia</t>
  </si>
  <si>
    <t>Carrera 43A 107B 52 int 101</t>
  </si>
  <si>
    <t>Angelica</t>
  </si>
  <si>
    <t>Cra 43A 110A 28 Int 201</t>
  </si>
  <si>
    <t>Blanca Nohemi</t>
  </si>
  <si>
    <t>Cr 42C 110B005</t>
  </si>
  <si>
    <t>María Teresa</t>
  </si>
  <si>
    <t>Cl 107b 44 06 in 205</t>
  </si>
  <si>
    <t>la vivienda no necesita el mejoramiento, se encuentra en buenas condiciones (no tiene alcantarillado)</t>
  </si>
  <si>
    <t>Didima</t>
  </si>
  <si>
    <t>Cra 39A 107 30</t>
  </si>
  <si>
    <t>Wilfrido de Jesus</t>
  </si>
  <si>
    <t>Cra 43B 108A 75</t>
  </si>
  <si>
    <t>Jesús Evenson</t>
  </si>
  <si>
    <t>Cl 111 # 42E - 107</t>
  </si>
  <si>
    <t>Yuly patricia</t>
  </si>
  <si>
    <t>CR 42 D 197 A 058</t>
  </si>
  <si>
    <t>Alba Luz</t>
  </si>
  <si>
    <t>CRA 46 #  108A - 36</t>
  </si>
  <si>
    <t>Jesenia maria</t>
  </si>
  <si>
    <t>Cra 44 97 42 Int 408</t>
  </si>
  <si>
    <t>Javier Angel</t>
  </si>
  <si>
    <t>Calle 98 45A 56 Int 122</t>
  </si>
  <si>
    <t>Yhon Fernando</t>
  </si>
  <si>
    <t>CL 99 45 A 30 int 201</t>
  </si>
  <si>
    <t>Santiago</t>
  </si>
  <si>
    <t xml:space="preserve">Calle 99 45 54 al frente </t>
  </si>
  <si>
    <t>Gilma de Jesús</t>
  </si>
  <si>
    <t>Cl 98 # 45A - 48</t>
  </si>
  <si>
    <t>Flor del Socorro</t>
  </si>
  <si>
    <t>Cl 99 # 44B - 24</t>
  </si>
  <si>
    <t>Rosalba de jesus</t>
  </si>
  <si>
    <t>Cra 38a #107c -019 int 111</t>
  </si>
  <si>
    <t>Angy yuleht</t>
  </si>
  <si>
    <t>Cr 46.98.50 int183</t>
  </si>
  <si>
    <t>Yerson</t>
  </si>
  <si>
    <t>CRA 42C # 110B - 19</t>
  </si>
  <si>
    <t>Isabel Cristina</t>
  </si>
  <si>
    <t>Cl 107E 38A11 int.112</t>
  </si>
  <si>
    <t>Cra 46 109 13</t>
  </si>
  <si>
    <t>Ever de Jesús</t>
  </si>
  <si>
    <t>Cr42b 107E64 int.215</t>
  </si>
  <si>
    <t>Jaime Alberto</t>
  </si>
  <si>
    <t>Carrera 46 98 50 int 181</t>
  </si>
  <si>
    <t>Maria del Carmen</t>
  </si>
  <si>
    <t>CRA 46 # 98 - 50 int 142</t>
  </si>
  <si>
    <t>Luz Stella</t>
  </si>
  <si>
    <t>Cl107D. 42D10 int 201</t>
  </si>
  <si>
    <t>la vivienda no necesita la intervención</t>
  </si>
  <si>
    <t>Dorian Alexander</t>
  </si>
  <si>
    <t>CRA 46 # 98 - 47 int 315</t>
  </si>
  <si>
    <t>Jaime Enrique</t>
  </si>
  <si>
    <t xml:space="preserve">Carrera 45 99 42 </t>
  </si>
  <si>
    <t>Haidy Tatiana</t>
  </si>
  <si>
    <t>Cra 42C 110B 10 Int 211</t>
  </si>
  <si>
    <t>la vivienda se encuentra en buen estado, no necdesita la intervención</t>
  </si>
  <si>
    <t>Julio</t>
  </si>
  <si>
    <t>Cl 107b 44 6 in 106</t>
  </si>
  <si>
    <t>la vivienda no tiene alcantarillado y no necesita internveción en piso</t>
  </si>
  <si>
    <t>Evelin nayibe</t>
  </si>
  <si>
    <t>Cra 43B 107 42 Int 201</t>
  </si>
  <si>
    <t>Eglet Dayana</t>
  </si>
  <si>
    <t>CRA 44 #:107C - 40</t>
  </si>
  <si>
    <t>Cr 46 107d 05 in 110</t>
  </si>
  <si>
    <t>Leídy johanna</t>
  </si>
  <si>
    <t>Carrera 46 98 50 int 138</t>
  </si>
  <si>
    <t>Lix Mario</t>
  </si>
  <si>
    <t>Cra 43B 107 32 Int 102</t>
  </si>
  <si>
    <t>Adrian</t>
  </si>
  <si>
    <t>Cra 43A 110 ,31</t>
  </si>
  <si>
    <t>La vivienda parece desocupada</t>
  </si>
  <si>
    <t>Carrera 43b 108a 11</t>
  </si>
  <si>
    <t>Ana Cecilia</t>
  </si>
  <si>
    <t>Cr 43 107A10</t>
  </si>
  <si>
    <t>Cruz Elena</t>
  </si>
  <si>
    <t>CRA 44B # 98 - 47</t>
  </si>
  <si>
    <t>Beatriz Elena</t>
  </si>
  <si>
    <t>Cra 44 107C 17</t>
  </si>
  <si>
    <t>Juan Pablo</t>
  </si>
  <si>
    <t>Cra 42B Calle 107E 38 11</t>
  </si>
  <si>
    <t>la vivienda no tiene fotos de la cocina</t>
  </si>
  <si>
    <t>María Ofir</t>
  </si>
  <si>
    <t>Calle 107 43 40</t>
  </si>
  <si>
    <t>Rosana de Jesús</t>
  </si>
  <si>
    <t>CRA 43A # 110C - 59</t>
  </si>
  <si>
    <t>Gloria Maria</t>
  </si>
  <si>
    <t>Carrera 43B 107 28 int 116</t>
  </si>
  <si>
    <t>Katerina Andrea</t>
  </si>
  <si>
    <t>Cr43A. 110C33</t>
  </si>
  <si>
    <t>Cl 110A # 43 - 40</t>
  </si>
  <si>
    <t>María liliam</t>
  </si>
  <si>
    <t>Cr 46 109 59 IN 104</t>
  </si>
  <si>
    <t>Lacide</t>
  </si>
  <si>
    <t>Carrera 42 E 110A 11 int 301</t>
  </si>
  <si>
    <t>Virginia</t>
  </si>
  <si>
    <t>Cl 107E 42C22 int.201</t>
  </si>
  <si>
    <t>Francedid del socorro</t>
  </si>
  <si>
    <t>CL 99 45 18</t>
  </si>
  <si>
    <t>La vivienda no tiene alcantarillado y no se puede hace la interención del piso</t>
  </si>
  <si>
    <t>Yadira  Ester</t>
  </si>
  <si>
    <t>Cr 45 A 97.36 int 129</t>
  </si>
  <si>
    <t>Nelson de Jesús Sánchez grisales</t>
  </si>
  <si>
    <t>CL 98.44A 46 int 123</t>
  </si>
  <si>
    <t>Wilson Alexander</t>
  </si>
  <si>
    <t>Cl 107D # 42D - 10</t>
  </si>
  <si>
    <t>Sandra Milena</t>
  </si>
  <si>
    <t>Cra 43B 107 28 Int 216</t>
  </si>
  <si>
    <t>Wilson</t>
  </si>
  <si>
    <t>Cl 110A 43 27</t>
  </si>
  <si>
    <t>Olga Ines</t>
  </si>
  <si>
    <t>CL 110A  43 22 apt 201</t>
  </si>
  <si>
    <t>Fernando de Jesus</t>
  </si>
  <si>
    <t>Cra 39A 107 75</t>
  </si>
  <si>
    <t>Paola Alexandra</t>
  </si>
  <si>
    <t>Cl 107E N 43-05 Int 201</t>
  </si>
  <si>
    <t>Luz Amanda</t>
  </si>
  <si>
    <t>CL 107 43B05</t>
  </si>
  <si>
    <t>Nubia de los ángeles</t>
  </si>
  <si>
    <t>Cr45 99-23</t>
  </si>
  <si>
    <t>la vivienda solo se le puede hacer intervención en piso por que no tengo alcantarillado</t>
  </si>
  <si>
    <t>Cl 107E # 42C 20</t>
  </si>
  <si>
    <t>Diego Armando</t>
  </si>
  <si>
    <t>Cl 98 # 45A - 37</t>
  </si>
  <si>
    <t>Zaida Coromoto</t>
  </si>
  <si>
    <t>Cl 99 # 45 - 34</t>
  </si>
  <si>
    <t>Elkin ferney echavarria orrego</t>
  </si>
  <si>
    <t>Erika Alexandra González Cardona</t>
  </si>
  <si>
    <t>Cr 43A 119 23</t>
  </si>
  <si>
    <t>Freider Mario</t>
  </si>
  <si>
    <t>Cr 42 C 110B10 Int.201</t>
  </si>
  <si>
    <t>Maria Teresa</t>
  </si>
  <si>
    <t>Cl 108 # 46- 35 int 111</t>
  </si>
  <si>
    <t>Margarita</t>
  </si>
  <si>
    <t>Cr 45 A 98.20 int 126</t>
  </si>
  <si>
    <t>Gloria Lucia</t>
  </si>
  <si>
    <t>CRA 46 # 109 - 40 int 201</t>
  </si>
  <si>
    <t>María Elena</t>
  </si>
  <si>
    <t>Carrera 42d 107a 93 int 101</t>
  </si>
  <si>
    <t xml:space="preserve">En las fotos de la vivienda, se evidencia el piso desgastado, pero en buen estado. </t>
  </si>
  <si>
    <t>Rosilia de jesus</t>
  </si>
  <si>
    <t>Cr 43. 120B 08</t>
  </si>
  <si>
    <t xml:space="preserve">La vivienda cuenta con necesidades distintas a las que interviene el programa Hogares Saludables, por lo tanto no es una vivienda objeto para el mismo, </t>
  </si>
  <si>
    <t>Rosa Eugenia</t>
  </si>
  <si>
    <t>Cra 42d 107 30 int 135</t>
  </si>
  <si>
    <t>Adrianq</t>
  </si>
  <si>
    <t>Cl 99 45 15</t>
  </si>
  <si>
    <t xml:space="preserve">En las fotos se evidencia que la vivienda sólo requiere una intervención parcial en el baño. </t>
  </si>
  <si>
    <t>Juan ramon</t>
  </si>
  <si>
    <t>Cr 43 B 108.36.int.201</t>
  </si>
  <si>
    <t xml:space="preserve">En las fotos se evidencia la intervención de cocina y una intervención parcial en el baño. El piso se evidencia en buen estado. </t>
  </si>
  <si>
    <t>Franklin Alberto</t>
  </si>
  <si>
    <t>CRA 46 # 109 - 38 int 105</t>
  </si>
  <si>
    <t xml:space="preserve">En las fotos, el área que se muestra, se evidencia que contempla las tres necesidades de intervención </t>
  </si>
  <si>
    <t>Carlos Augusto</t>
  </si>
  <si>
    <t>Cra 46 98 47 Int 113</t>
  </si>
  <si>
    <t>Cra 46 98 47</t>
  </si>
  <si>
    <t xml:space="preserve">En las fotos, se evidencian mejoramiento en baño y cocina. El piso se evidencia en buen estado. </t>
  </si>
  <si>
    <t>Luis Eduardo</t>
  </si>
  <si>
    <t>CL 107 E 42C40</t>
  </si>
  <si>
    <t xml:space="preserve">En las fotos, la vivienda se evidencia con una humedad y, al parecer, un defecto producto de un corto circuito en la cocina, lo cual no es objeto de atención para Hogares Saludables. </t>
  </si>
  <si>
    <t>Hamilton</t>
  </si>
  <si>
    <t>Cl 98 46A 28 Int 201</t>
  </si>
  <si>
    <t>Omar Enrique</t>
  </si>
  <si>
    <t>Calle 96 44 84 Apto 301</t>
  </si>
  <si>
    <t xml:space="preserve">En las fotos, se evidencia que la viviendase encuentra en buen estado, con necesidades que no son objeto de intervención para el programa Hogares Saludables. </t>
  </si>
  <si>
    <t>Cra 43 110C 35</t>
  </si>
  <si>
    <t>N/A</t>
  </si>
  <si>
    <t>Julio César</t>
  </si>
  <si>
    <t>Cl 107D # 44  - 6 int 106</t>
  </si>
  <si>
    <t xml:space="preserve">Se evidencia en las fotos una intervención parcial en algunas áreas del piso, En el baño no se podría hacer ningún tipo de intervención ya que no cuenta con conexión a alcantarillado </t>
  </si>
  <si>
    <t>Libia Rosa</t>
  </si>
  <si>
    <t>Calle 98 44  84 Int 201</t>
  </si>
  <si>
    <t xml:space="preserve">En las fotos, se evidencian necesidades en baño e intervención parcial en cocina. Sin embargo, no se puede realizar intervención en el baño debido a que no cuenta con conexión a alcantarillado. </t>
  </si>
  <si>
    <t>Natalia</t>
  </si>
  <si>
    <t>Carrera 45A 97 36 int 107</t>
  </si>
  <si>
    <t>Cr 38A 107 c 09 int.111</t>
  </si>
  <si>
    <t>Nini Johana</t>
  </si>
  <si>
    <t>Carrera 43 107A 26 int 301</t>
  </si>
  <si>
    <t>María eloisa</t>
  </si>
  <si>
    <t>Cll 107e # 38a- 11 int 104</t>
  </si>
  <si>
    <t>Jovanni de Jesús</t>
  </si>
  <si>
    <t>CRA 43B # 108A - 32</t>
  </si>
  <si>
    <t>Maria rosmira</t>
  </si>
  <si>
    <t>Cr44B 98-67</t>
  </si>
  <si>
    <t>Carrera 42c 110b 03 int 201</t>
  </si>
  <si>
    <t>En las fotos no se evidencia la totalidad del piso de la vivienda, es por esto que se pone una intervención parcial.</t>
  </si>
  <si>
    <t>Victoria Johana</t>
  </si>
  <si>
    <t>CRA 46 # 98 - 50</t>
  </si>
  <si>
    <t>Aracelly</t>
  </si>
  <si>
    <t>Cr46 98-50 int.129</t>
  </si>
  <si>
    <t xml:space="preserve">En las fotos se evidencia la necesidad de intervención en el baño. Sin embargo, al no tener conexión de alcantarillado, no se puede ejecutar. </t>
  </si>
  <si>
    <t>Juana santa</t>
  </si>
  <si>
    <t>Carrera 43a 108a 9 int 302</t>
  </si>
  <si>
    <t xml:space="preserve">La vivienda requiere intervenciones parciales en baño y cocina lo cual no sería una intervención para Hogares Slaudables. </t>
  </si>
  <si>
    <t>José Inocencio</t>
  </si>
  <si>
    <t>CRA 43 # 109A - 9 int 101</t>
  </si>
  <si>
    <t>María Consuelo</t>
  </si>
  <si>
    <t>Carrera 43A 110C 65 int 202</t>
  </si>
  <si>
    <t>Gloria Casas Yoreda</t>
  </si>
  <si>
    <t>CL. 107E.43.31 int 201</t>
  </si>
  <si>
    <t>Dora María</t>
  </si>
  <si>
    <t>Cra 46 98 47 Int 101</t>
  </si>
  <si>
    <t>Diego de jesus</t>
  </si>
  <si>
    <t>Cr 44 107.C 03</t>
  </si>
  <si>
    <t>En las fotos no se evidencian las caracteristicas totales de las áreas a intervenir, por eso se consideran intervenciones parciales.</t>
  </si>
  <si>
    <t>Jose Domingo</t>
  </si>
  <si>
    <t>Cr 46 98-50 int.196</t>
  </si>
  <si>
    <t xml:space="preserve">En las fotos no se evidencian la zona de la ducha, es por esto que se proyecta una intervención parcial. </t>
  </si>
  <si>
    <t>Yenifer Maritza</t>
  </si>
  <si>
    <t>Calle 98 45 a 56 int 114</t>
  </si>
  <si>
    <t>En las fotos se evidencia la necesidad de la intervención en baño y cocina. Sin embargo, al no tener conexión a alcantarillado, solamente se podrá hacer intervención en la zona de preparación de alimentos.</t>
  </si>
  <si>
    <t>Juan Bautista</t>
  </si>
  <si>
    <t>Cr 43 B 107.30</t>
  </si>
  <si>
    <t>Mauricio</t>
  </si>
  <si>
    <t>Cra 46 107D - 05 int 111</t>
  </si>
  <si>
    <t>Olga Lucia</t>
  </si>
  <si>
    <t>No se evidencian fotos de la cocina o de la zona de preparación de alimentos.</t>
  </si>
  <si>
    <t>Blanca del Socorro</t>
  </si>
  <si>
    <t>Cl 107 D # 44 - 06</t>
  </si>
  <si>
    <t>María Rocio</t>
  </si>
  <si>
    <t>Cr. 36.98.42 int 125</t>
  </si>
  <si>
    <t xml:space="preserve">En las fotos se evidencian las tres necesidades, En la intervención se piso se pone parcial debido a que no se cuenta con una visión completa del estado actual del piso en la vivienda. </t>
  </si>
  <si>
    <t>Dora Elena</t>
  </si>
  <si>
    <t>Cr43A. 110A39</t>
  </si>
  <si>
    <t xml:space="preserve">En las fotos, se evidencia la necesidad de intervención de baño y cocina. </t>
  </si>
  <si>
    <t>GLORIA LUCÍA RUIZ DIOSA</t>
  </si>
  <si>
    <t>CR43B.107 B 13 int 103</t>
  </si>
  <si>
    <t xml:space="preserve">No aplica </t>
  </si>
  <si>
    <t>Luz Adiela</t>
  </si>
  <si>
    <t>CRA 46 # 98 - 47 int 213</t>
  </si>
  <si>
    <t xml:space="preserve">En las fotos, se evidencia una área para intervenir en piso, por eso se diagnostica como parcial. </t>
  </si>
  <si>
    <t>Mónica cecilia</t>
  </si>
  <si>
    <t>Cra 46 98 50 Int 127</t>
  </si>
  <si>
    <t xml:space="preserve">En las fotos se evdiencia la necesidad de hacer un cerramiento para el área del baño. </t>
  </si>
  <si>
    <t>Dora Elcy</t>
  </si>
  <si>
    <t>Calle 10D 44 6 int 206</t>
  </si>
  <si>
    <t>Francisco luis</t>
  </si>
  <si>
    <t>Cl 99 44B 28</t>
  </si>
  <si>
    <t>La vivienda cuenta con intervenciones parciales y mínimas en baño y cocina, por lo que no es objeto de intervención de Hogares Saludables.</t>
  </si>
  <si>
    <t>Dioselina María</t>
  </si>
  <si>
    <t>Cl 108A # 46 - 33</t>
  </si>
  <si>
    <t xml:space="preserve">La vivienda cuenta con intervención parcial en baño. En las fotos no se identifica si una parte del cerramiento está compuesto por una cortina o por mampostería con ceramica. </t>
  </si>
  <si>
    <t>Calle 107E 42C 66</t>
  </si>
  <si>
    <t xml:space="preserve">En la vivienda se evidencia la necesidad de mejoramiento en cocina. </t>
  </si>
  <si>
    <t>Wilmar.Alonso</t>
  </si>
  <si>
    <t>Cr 44 107 C41 int 101</t>
  </si>
  <si>
    <t>Luz Estella</t>
  </si>
  <si>
    <t>Carrera 43A 110C 94 int 140</t>
  </si>
  <si>
    <t>Jovana Andrea</t>
  </si>
  <si>
    <t>Cl 98 # 45A - 56 int 124</t>
  </si>
  <si>
    <t>Dairo</t>
  </si>
  <si>
    <t>Cra 43B 107C 57 Int 101</t>
  </si>
  <si>
    <t>Imelda del Socorro</t>
  </si>
  <si>
    <t>Cl 107C # 43B -05 int 203</t>
  </si>
  <si>
    <t>Nora elena</t>
  </si>
  <si>
    <t>CL. 99 44 A 36</t>
  </si>
  <si>
    <t>En la vivienda se evidencia una intervención parcial del piso.</t>
  </si>
  <si>
    <t>Carlos adolfo</t>
  </si>
  <si>
    <t>Cr 46 108a 36 in 05</t>
  </si>
  <si>
    <t>Omar</t>
  </si>
  <si>
    <t>Calle 109 45 05</t>
  </si>
  <si>
    <t>Luis Albeiro</t>
  </si>
  <si>
    <t>Cra 45 99 23</t>
  </si>
  <si>
    <t>Anderson</t>
  </si>
  <si>
    <t>Cr 43b 107 28 in 103</t>
  </si>
  <si>
    <t>Miriam de Jesús</t>
  </si>
  <si>
    <t>CRA 42C # 107E - 42</t>
  </si>
  <si>
    <t>Morelia de Jesus</t>
  </si>
  <si>
    <t>Calle 107D 44 6 Int 104</t>
  </si>
  <si>
    <t xml:space="preserve">La vivienda, según las fotos, cuenta con necesidades distintas a las que interviene el programa Hogares Saludables, por lo tanto no es una vivienda objeto para el mismo, Se visualiza una posible intervención en una zona del piso. Sin embargo, por la magnitud no sería viable para el programa. </t>
  </si>
  <si>
    <t>Beatriz Adiela</t>
  </si>
  <si>
    <t>Calle 107E 38A 11 Int 113</t>
  </si>
  <si>
    <t>Maria Isabel</t>
  </si>
  <si>
    <t>Cl 110A # 43 - 36</t>
  </si>
  <si>
    <t>Luz Yadira</t>
  </si>
  <si>
    <t>Cra 46 107D 07 Apto 111</t>
  </si>
  <si>
    <t>Flor María</t>
  </si>
  <si>
    <t>CRA 43 # 107A - 26</t>
  </si>
  <si>
    <t xml:space="preserve">La vivienda cuenta con necesidades distintas a las que interviene el programa Hogares Saludables, por lo tanto no es una vivienda objeto para el mismo, Cuenta con una posible intervención de pintura y estuco en baño. </t>
  </si>
  <si>
    <t>Nelcy Yaneth</t>
  </si>
  <si>
    <t>Cl 97 # 44 - 45</t>
  </si>
  <si>
    <t>Marta Yaneth</t>
  </si>
  <si>
    <t>CRA 43A # 110C - 24</t>
  </si>
  <si>
    <t>Cr 43B. 107.21</t>
  </si>
  <si>
    <t>Alba Lucía</t>
  </si>
  <si>
    <t>Calle 107E 43 13 int 301</t>
  </si>
  <si>
    <t xml:space="preserve">La vivienda necesita el baño del piso, pero no sería suficiente para una intervención de Hogares Saludables. </t>
  </si>
  <si>
    <t>John Albeiro</t>
  </si>
  <si>
    <t>Carrera 44 107C 20</t>
  </si>
  <si>
    <t>Jose arcangel</t>
  </si>
  <si>
    <t>Calle 107E #38A 11 int 132</t>
  </si>
  <si>
    <t>Nancy Stella</t>
  </si>
  <si>
    <t>Cl 107D 42C20</t>
  </si>
  <si>
    <t>Maria Magdalena</t>
  </si>
  <si>
    <t>Calle 110C 42D 32</t>
  </si>
  <si>
    <t>Dora Alba Ines</t>
  </si>
  <si>
    <t>Calle 107C 43B 05 int 202</t>
  </si>
  <si>
    <t>María Lucelly</t>
  </si>
  <si>
    <t>CR43 A 108.A 31</t>
  </si>
  <si>
    <t>Gloria Ines</t>
  </si>
  <si>
    <t>Cr 46 98.50 int 227</t>
  </si>
  <si>
    <t xml:space="preserve">La vivienda solo necesitaría una intervención parcial en la cocina. </t>
  </si>
  <si>
    <t>Luz Emilse</t>
  </si>
  <si>
    <t>Cra 44A 97 42 Int 409</t>
  </si>
  <si>
    <t xml:space="preserve">Según las fotos, las vivienda requiere intervención parcial en el piso. </t>
  </si>
  <si>
    <t>David Andrés</t>
  </si>
  <si>
    <t>Cl 123 # 48 - 140</t>
  </si>
  <si>
    <t>La vivienda, aparentemente, es un principio de construcción</t>
  </si>
  <si>
    <t>Blanca liria urregovasquez</t>
  </si>
  <si>
    <t>CL 207 C 43 AA 4 INT 101</t>
  </si>
  <si>
    <t>Edimer</t>
  </si>
  <si>
    <t>Calle 43A #110C 64</t>
  </si>
  <si>
    <t>En las fotos se evidencian algunos detalles por realizar en el baño. Sin embargo, se consideran que son "detalles" y no una intervención.</t>
  </si>
  <si>
    <t>Gonzalo de Jesús</t>
  </si>
  <si>
    <t xml:space="preserve">Carrera 45 99 18 </t>
  </si>
  <si>
    <t xml:space="preserve">En las fotos, se evidencia el piso en buen estado. Por esto, se prioriza mejoramiento en baño y cocina. </t>
  </si>
  <si>
    <t>Leidy Tatiana</t>
  </si>
  <si>
    <t>Cra 46A 108A 02</t>
  </si>
  <si>
    <t xml:space="preserve">La vivienda requiere muros divisorios en el área del baño. </t>
  </si>
  <si>
    <t>Faber Alonso</t>
  </si>
  <si>
    <t>Calle 99 45 75 int 302</t>
  </si>
  <si>
    <t xml:space="preserve">La vivienda cuenta con necesidades distintas a las que tiene el programa Hogares Saludables, por lo que no sería objeto de intervención del mismo. </t>
  </si>
  <si>
    <t>Cr 43A 110-23 Int. 301</t>
  </si>
  <si>
    <t>Daisy</t>
  </si>
  <si>
    <t>Carrera 43B 107 28 int 121</t>
  </si>
  <si>
    <t xml:space="preserve">En las fotos se evidencia la intervencion parcial del piso en algunas áreas de la vivienda </t>
  </si>
  <si>
    <t>Maria oneida</t>
  </si>
  <si>
    <t>Carrera 39A#107-71</t>
  </si>
  <si>
    <t>María Jorgelina</t>
  </si>
  <si>
    <t>604 267 18 05</t>
  </si>
  <si>
    <t>Cra 43B 107E 37</t>
  </si>
  <si>
    <t xml:space="preserve">En las fotos se evidencia la cocina y piso en buen estado. El baño sería objeto de intervención, sin emabargo al no cumplir con la conexión de alcantarillado, no sería posible la misma por políticas del programa. </t>
  </si>
  <si>
    <t>Mishel Alejandra</t>
  </si>
  <si>
    <t>Cra 45A 98 26</t>
  </si>
  <si>
    <t>En las fotos de la vivienda se evidencia el piso en buen estado, por esto no se prioriza su intervención.</t>
  </si>
  <si>
    <t>Elkin Arley</t>
  </si>
  <si>
    <t>Calle 107D 38A 33</t>
  </si>
  <si>
    <t xml:space="preserve">En las fotos de la vivienda se evidencia deterioro en el piso de algunas áreas de la misma. </t>
  </si>
  <si>
    <t>Rosalbina</t>
  </si>
  <si>
    <t>Calle 110c #43 2</t>
  </si>
  <si>
    <t>María Sirley</t>
  </si>
  <si>
    <t>Cra 42C 110B 20 Int 202</t>
  </si>
  <si>
    <t>Carlos Mario</t>
  </si>
  <si>
    <t xml:space="preserve">Carrera 45 98 116 </t>
  </si>
  <si>
    <t>Flor Ángela</t>
  </si>
  <si>
    <t>CRA 42C # 107E - 46 piso 3</t>
  </si>
  <si>
    <t>Lina Maria</t>
  </si>
  <si>
    <t>Cl 99 44A 4 Apto 202</t>
  </si>
  <si>
    <t>Maria Carlina</t>
  </si>
  <si>
    <t>CRA 45 # 99 - 52</t>
  </si>
  <si>
    <t xml:space="preserve">En las fotos, se evidencia la cocina en muy buen estado. Sin embargo, se podría pintar la zona. </t>
  </si>
  <si>
    <t>Nancy Yancely</t>
  </si>
  <si>
    <t>CRA 43A #110C - 65 int 114</t>
  </si>
  <si>
    <t xml:space="preserve">MEJORAMIENTO BAÑO, PISO Y COCINA </t>
  </si>
  <si>
    <t>María  aurora</t>
  </si>
  <si>
    <t>Cr43A 120C20</t>
  </si>
  <si>
    <t xml:space="preserve">MEJORAMIENTO BAÑO Y COCINA </t>
  </si>
  <si>
    <t xml:space="preserve">En las fotos de la vivienda no se evidencia la necesidad de la intervencion en piso, por eso no se prioriza su intervencion. </t>
  </si>
  <si>
    <t>Adriána maria</t>
  </si>
  <si>
    <t>CL 107  43 74</t>
  </si>
  <si>
    <t>Ana Libia</t>
  </si>
  <si>
    <t>Cra 43 No 109 7</t>
  </si>
  <si>
    <t>Carrera 43B 107B 15</t>
  </si>
  <si>
    <t>Maria Virginia</t>
  </si>
  <si>
    <t>CRA 45 # 108 - 115</t>
  </si>
  <si>
    <t xml:space="preserve">INTERVENCION PARCIAL </t>
  </si>
  <si>
    <t xml:space="preserve">INTERVENCIÓN TOTAL </t>
  </si>
  <si>
    <t xml:space="preserve">INTERVENCION TOTAL </t>
  </si>
  <si>
    <t xml:space="preserve">NO NECESITA INTERVENCION </t>
  </si>
  <si>
    <t>MEJORAMIENTO BAÑO Y PISO</t>
  </si>
  <si>
    <t xml:space="preserve">La cocina se evidencia en buen estado, por eso no se prioriza su intervencion. </t>
  </si>
  <si>
    <t>Cr 42 C 110B03</t>
  </si>
  <si>
    <t>Blanca Oliva</t>
  </si>
  <si>
    <t>Calle 108A 46  07</t>
  </si>
  <si>
    <t>Las fotos del piso de la vivienda están de manera parcial, por lo que su intervencion seria parcial.</t>
  </si>
  <si>
    <t>Edgar Antonio</t>
  </si>
  <si>
    <t>Carrera 43B 107C 09</t>
  </si>
  <si>
    <t>NO NESECITA INTERVENCION</t>
  </si>
  <si>
    <t xml:space="preserve">Las fotos del piso de la vivienda están de manera parcial, por lo que no es posible su identificación para intervención en el mismo.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</si>
</sst>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9"/>
      <name val="Aptos Narrow"/>
      <family val="2"/>
      <scheme val="minor"/>
    </font>
    <font>
      <sz val="11"/>
      <name val="Aptos Narrow"/>
      <family val="2"/>
      <scheme val="minor"/>
    </font>
    <font>
      <sz val="8"/>
      <color theme="1"/>
      <name val="Aptos Narrow"/>
      <family val="2"/>
      <scheme val="minor"/>
    </font>
    <font>
      <sz val="8"/>
      <name val="Aptos Narrow"/>
      <family val="2"/>
      <scheme val="minor"/>
    </font>
    <font>
      <sz val="8"/>
      <color rgb="FF000000"/>
      <name val="Aptos Narrow"/>
      <family val="2"/>
    </font>
    <font>
      <sz val="8"/>
      <color rgb="FF000000"/>
      <name val="Aptos Narrow"/>
      <family val="2"/>
      <scheme val="minor"/>
    </font>
    <font>
      <b/>
      <sz val="8"/>
      <name val="Aptos Narrow"/>
      <family val="2"/>
      <scheme val="minor"/>
    </font>
    <font>
      <sz val="8"/>
      <color rgb="FFFF0000"/>
      <name val="Aptos Narrow"/>
      <family val="2"/>
      <scheme val="minor"/>
    </font>
    <font>
      <sz val="11"/>
      <color rgb="FFFF0000"/>
      <name val="Aptos Narrow"/>
      <family val="2"/>
      <scheme val="minor"/>
    </font>
    <font>
      <sz val="11"/>
      <color rgb="FF000000"/>
      <name val="Aptos Narrow"/>
      <family val="2"/>
      <scheme val="minor"/>
    </font>
  </fonts>
  <fills count="11">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41">
    <xf numFmtId="0" fontId="0" fillId="0" borderId="0" xfId="0"/>
    <xf numFmtId="0" fontId="1" fillId="2" borderId="0" xfId="0" applyFont="1" applyFill="1" applyAlignment="1">
      <alignment horizontal="center" vertical="center" wrapText="1"/>
    </xf>
    <xf numFmtId="0" fontId="2" fillId="0" borderId="0" xfId="0" applyFont="1" applyAlignment="1">
      <alignment wrapText="1"/>
    </xf>
    <xf numFmtId="0" fontId="2" fillId="0" borderId="0" xfId="0" applyFont="1"/>
    <xf numFmtId="0" fontId="0" fillId="0" borderId="0" xfId="0" applyAlignment="1">
      <alignment wrapText="1"/>
    </xf>
    <xf numFmtId="0" fontId="3" fillId="0" borderId="0" xfId="0" applyFont="1" applyAlignment="1">
      <alignment wrapText="1"/>
    </xf>
    <xf numFmtId="0" fontId="1" fillId="0" borderId="0" xfId="0" applyFont="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1" fillId="9" borderId="0" xfId="0" applyFont="1" applyFill="1" applyAlignment="1">
      <alignment horizontal="center" vertical="center" wrapText="1"/>
    </xf>
    <xf numFmtId="0" fontId="4" fillId="9" borderId="0" xfId="0" applyFont="1" applyFill="1" applyAlignment="1">
      <alignment horizontal="center" vertical="center"/>
    </xf>
    <xf numFmtId="0" fontId="4" fillId="9" borderId="0" xfId="0" applyFont="1" applyFill="1" applyAlignment="1">
      <alignment horizontal="center" vertical="center" wrapText="1"/>
    </xf>
    <xf numFmtId="0" fontId="5" fillId="9" borderId="0" xfId="0" applyFont="1" applyFill="1" applyAlignment="1">
      <alignment horizontal="center" vertical="center" wrapText="1"/>
    </xf>
    <xf numFmtId="0" fontId="6" fillId="9" borderId="0" xfId="0" applyFont="1" applyFill="1" applyAlignment="1">
      <alignment horizontal="center" vertical="center" wrapText="1"/>
    </xf>
    <xf numFmtId="0" fontId="4" fillId="9" borderId="0" xfId="0" applyFont="1" applyFill="1" applyAlignment="1">
      <alignment vertical="center" wrapText="1"/>
    </xf>
    <xf numFmtId="0" fontId="4" fillId="9" borderId="0" xfId="0" applyFont="1" applyFill="1" applyAlignment="1">
      <alignment vertical="center"/>
    </xf>
    <xf numFmtId="0" fontId="3" fillId="0" borderId="0" xfId="0" applyFont="1"/>
    <xf numFmtId="0" fontId="8" fillId="0" borderId="0" xfId="0" applyFont="1"/>
    <xf numFmtId="0" fontId="6" fillId="0" borderId="0" xfId="0" applyFont="1"/>
    <xf numFmtId="0" fontId="3" fillId="9" borderId="0" xfId="0" applyFont="1" applyFill="1"/>
    <xf numFmtId="0" fontId="3" fillId="0" borderId="0" xfId="0" applyFont="1" applyAlignment="1">
      <alignment vertical="center"/>
    </xf>
    <xf numFmtId="0" fontId="3" fillId="9" borderId="0" xfId="0" applyFont="1" applyFill="1" applyAlignment="1">
      <alignment horizontal="center" vertical="center"/>
    </xf>
    <xf numFmtId="0" fontId="0" fillId="0" borderId="0" xfId="0" applyAlignment="1">
      <alignment vertical="center"/>
    </xf>
    <xf numFmtId="0" fontId="3" fillId="9" borderId="0" xfId="0" applyFont="1" applyFill="1" applyAlignment="1">
      <alignment vertical="center"/>
    </xf>
    <xf numFmtId="0" fontId="9" fillId="0" borderId="0" xfId="0" applyFont="1" applyAlignment="1">
      <alignment vertical="center"/>
    </xf>
    <xf numFmtId="0" fontId="8" fillId="0" borderId="0" xfId="0" applyFont="1" applyAlignment="1">
      <alignment vertical="center"/>
    </xf>
    <xf numFmtId="0" fontId="8" fillId="9" borderId="0" xfId="0" applyFont="1" applyFill="1" applyAlignment="1">
      <alignment vertical="center"/>
    </xf>
    <xf numFmtId="0" fontId="8" fillId="9" borderId="0" xfId="0" applyFont="1" applyFill="1" applyAlignment="1">
      <alignment horizontal="center" vertical="center"/>
    </xf>
    <xf numFmtId="0" fontId="5" fillId="0" borderId="0" xfId="0" applyFont="1" applyAlignment="1">
      <alignment vertical="center"/>
    </xf>
    <xf numFmtId="0" fontId="9" fillId="0" borderId="0" xfId="0" applyFont="1"/>
    <xf numFmtId="0" fontId="8" fillId="9" borderId="0" xfId="0" applyFont="1" applyFill="1"/>
    <xf numFmtId="0" fontId="10" fillId="0" borderId="0" xfId="0" applyFont="1"/>
    <xf numFmtId="0" fontId="6" fillId="9" borderId="0" xfId="0" applyFont="1" applyFill="1"/>
    <xf numFmtId="0" fontId="6" fillId="0" borderId="0" xfId="0" applyFont="1" applyAlignment="1">
      <alignment vertical="center"/>
    </xf>
    <xf numFmtId="0" fontId="6" fillId="9" borderId="0" xfId="0" applyFont="1" applyFill="1" applyAlignment="1">
      <alignment horizontal="center" vertical="center"/>
    </xf>
    <xf numFmtId="0" fontId="2" fillId="10" borderId="0" xfId="0" applyFont="1" applyFill="1" applyAlignment="1">
      <alignment wrapText="1"/>
    </xf>
    <xf numFmtId="0" fontId="0" fillId="1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afit-my.sharepoint.com/personal/jmunozm1_eafit_edu_co/Documents/Projects/2022_Argos_Vivienda/14_Fotografias/FOTOS%20TRATAMIENTO/INFO_HOGARES_DM.xlsx" TargetMode="External"/><Relationship Id="rId1" Type="http://schemas.openxmlformats.org/officeDocument/2006/relationships/externalLinkPath" Target="https://eafit-my.sharepoint.com/personal/jmunozm1_eafit_edu_co/Documents/Projects/2022_Argos_Vivienda/14_Fotografias/FOTOS%20TRATAMIENTO/INFO_HOGARES_D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TRATAMIENTI"/>
      <sheetName val="Hoja2"/>
      <sheetName val="Hoja1"/>
    </sheetNames>
    <sheetDataSet>
      <sheetData sheetId="0"/>
      <sheetData sheetId="1">
        <row r="1">
          <cell r="A1" t="str">
            <v>Número_Documento_Titular</v>
          </cell>
          <cell r="B1" t="str">
            <v>CONSECUTIVO</v>
          </cell>
          <cell r="C1" t="str">
            <v>Nombres</v>
          </cell>
          <cell r="D1" t="str">
            <v>Municipio</v>
          </cell>
          <cell r="E1" t="str">
            <v>DIRECCION</v>
          </cell>
          <cell r="F1" t="str">
            <v>Complemento dirección</v>
          </cell>
          <cell r="G1" t="str">
            <v>TELÉFONO_FIJO</v>
          </cell>
          <cell r="H1" t="str">
            <v>CELULAR</v>
          </cell>
          <cell r="I1" t="str">
            <v>ETAPA</v>
          </cell>
          <cell r="J1" t="str">
            <v>FOTOS</v>
          </cell>
          <cell r="K1" t="str">
            <v>CARPETA CON FOTOS</v>
          </cell>
          <cell r="L1" t="str">
            <v>DIAGNOSTICO</v>
          </cell>
          <cell r="M1" t="str">
            <v>DIAGNOSTICO</v>
          </cell>
        </row>
        <row r="2">
          <cell r="A2">
            <v>1001851457</v>
          </cell>
          <cell r="B2">
            <v>1</v>
          </cell>
          <cell r="C2" t="str">
            <v>Hilde cecilia</v>
          </cell>
          <cell r="D2" t="str">
            <v>Baranquilla</v>
          </cell>
          <cell r="E2" t="str">
            <v>Cll 72 #8c 113</v>
          </cell>
          <cell r="F2" t="str">
            <v xml:space="preserve">Cerca de un Arroyo </v>
          </cell>
          <cell r="G2" t="str">
            <v>3126972648</v>
          </cell>
          <cell r="H2" t="str">
            <v>3107230753</v>
          </cell>
          <cell r="I2" t="str">
            <v>Tratamiento</v>
          </cell>
          <cell r="K2" t="str">
            <v>SI</v>
          </cell>
          <cell r="L2" t="str">
            <v>SI</v>
          </cell>
          <cell r="M2" t="str">
            <v>Hilde Cecilia Bellio De Las Salas</v>
          </cell>
        </row>
        <row r="3">
          <cell r="A3">
            <v>1002130477</v>
          </cell>
          <cell r="B3">
            <v>2</v>
          </cell>
          <cell r="C3" t="str">
            <v>Edgar junior</v>
          </cell>
          <cell r="D3" t="str">
            <v>Baranquilla</v>
          </cell>
          <cell r="E3" t="str">
            <v>Cr6b#73-66</v>
          </cell>
          <cell r="F3" t="str">
            <v>A una cuadra del sena</v>
          </cell>
          <cell r="G3" t="str">
            <v>3042521808</v>
          </cell>
          <cell r="H3" t="str">
            <v>3014408543</v>
          </cell>
          <cell r="I3" t="str">
            <v>Tratamiento</v>
          </cell>
          <cell r="K3" t="str">
            <v>SI</v>
          </cell>
          <cell r="L3" t="str">
            <v>SI</v>
          </cell>
          <cell r="M3" t="str">
            <v>Edgar Junior Arrieta Ortega</v>
          </cell>
        </row>
        <row r="4">
          <cell r="A4">
            <v>1002155243</v>
          </cell>
          <cell r="B4">
            <v>3</v>
          </cell>
          <cell r="C4" t="str">
            <v xml:space="preserve">Monica mercedes </v>
          </cell>
          <cell r="D4" t="str">
            <v>Baranquilla</v>
          </cell>
          <cell r="E4" t="str">
            <v>Cra 9 # 60-58</v>
          </cell>
          <cell r="F4" t="str">
            <v xml:space="preserve">Diagonal la tienda los dos hermanos </v>
          </cell>
          <cell r="G4" t="str">
            <v>3043301751</v>
          </cell>
          <cell r="H4" t="str">
            <v>3243850758</v>
          </cell>
          <cell r="I4" t="str">
            <v>Tratamiento</v>
          </cell>
          <cell r="K4" t="str">
            <v>SI</v>
          </cell>
          <cell r="L4" t="str">
            <v>SI</v>
          </cell>
          <cell r="M4" t="str">
            <v>Monica Mercedes Trigos de la Hoz</v>
          </cell>
        </row>
        <row r="5">
          <cell r="A5">
            <v>1007132436</v>
          </cell>
          <cell r="B5">
            <v>4</v>
          </cell>
          <cell r="C5" t="str">
            <v>BRAYAN JOSÉ</v>
          </cell>
          <cell r="D5" t="str">
            <v>Baranquilla</v>
          </cell>
          <cell r="E5" t="str">
            <v>KR 8G 87 20</v>
          </cell>
          <cell r="F5" t="str">
            <v>Diagonal al Efecty</v>
          </cell>
          <cell r="G5" t="str">
            <v>3015344531</v>
          </cell>
          <cell r="H5" t="str">
            <v>3014122468</v>
          </cell>
          <cell r="I5" t="str">
            <v>Tratamiento</v>
          </cell>
          <cell r="K5" t="str">
            <v>SI</v>
          </cell>
          <cell r="L5" t="str">
            <v>SI</v>
          </cell>
          <cell r="M5" t="str">
            <v>Brayan Jose Llerena Pardo</v>
          </cell>
        </row>
        <row r="6">
          <cell r="A6">
            <v>1007175950</v>
          </cell>
          <cell r="B6">
            <v>5</v>
          </cell>
          <cell r="C6" t="str">
            <v>ANDRES FELIPE</v>
          </cell>
          <cell r="D6" t="str">
            <v>Baranquilla</v>
          </cell>
          <cell r="E6" t="str">
            <v>KR 9 58 44</v>
          </cell>
          <cell r="F6" t="str">
            <v>la loma del Peligro</v>
          </cell>
          <cell r="G6" t="str">
            <v>3046551262</v>
          </cell>
          <cell r="H6" t="str">
            <v>3107110547</v>
          </cell>
          <cell r="I6" t="str">
            <v>Tratamiento</v>
          </cell>
          <cell r="K6" t="str">
            <v>SI</v>
          </cell>
          <cell r="L6" t="str">
            <v>SI</v>
          </cell>
          <cell r="M6" t="str">
            <v>Andres Felipe Dominguez Benavides</v>
          </cell>
        </row>
        <row r="7">
          <cell r="A7">
            <v>1010119253</v>
          </cell>
          <cell r="B7">
            <v>6</v>
          </cell>
          <cell r="C7" t="str">
            <v>Karina Maria</v>
          </cell>
          <cell r="D7" t="str">
            <v>Baranquilla</v>
          </cell>
          <cell r="E7" t="str">
            <v>Carrera 8C 74A 39</v>
          </cell>
          <cell r="F7" t="str">
            <v>Al lado de Tienda Juniorista</v>
          </cell>
          <cell r="G7" t="str">
            <v>3002361294</v>
          </cell>
          <cell r="H7" t="str">
            <v>3157197865</v>
          </cell>
          <cell r="I7" t="str">
            <v>Tratamiento</v>
          </cell>
          <cell r="K7" t="str">
            <v>SI</v>
          </cell>
          <cell r="L7" t="str">
            <v>SI</v>
          </cell>
          <cell r="M7" t="str">
            <v>Karina Maria Figueroa Ortiz</v>
          </cell>
        </row>
        <row r="8">
          <cell r="A8">
            <v>10122125</v>
          </cell>
          <cell r="B8">
            <v>7</v>
          </cell>
          <cell r="C8" t="str">
            <v xml:space="preserve">JAIRO ANTONIO </v>
          </cell>
          <cell r="D8" t="str">
            <v>Baranquilla</v>
          </cell>
          <cell r="E8" t="str">
            <v>Cl 77 6E 58 apto 1</v>
          </cell>
          <cell r="F8" t="str">
            <v xml:space="preserve">Cerca de TIENDA LOS Girasoles </v>
          </cell>
          <cell r="G8" t="str">
            <v>3146551197</v>
          </cell>
          <cell r="H8" t="str">
            <v>3107451363</v>
          </cell>
          <cell r="I8" t="str">
            <v>Tratamiento</v>
          </cell>
          <cell r="K8" t="str">
            <v>SI</v>
          </cell>
          <cell r="L8" t="str">
            <v>SI</v>
          </cell>
          <cell r="M8" t="str">
            <v>Jairo Antonio Echeverri Orozco</v>
          </cell>
        </row>
        <row r="9">
          <cell r="A9">
            <v>1043435114</v>
          </cell>
          <cell r="B9">
            <v>8</v>
          </cell>
          <cell r="C9" t="str">
            <v>Greicy patricia</v>
          </cell>
          <cell r="D9" t="str">
            <v>Baranquilla</v>
          </cell>
          <cell r="E9" t="str">
            <v>Cll 60 # 8a-106</v>
          </cell>
          <cell r="F9" t="str">
            <v>Casa de esquina por una y</v>
          </cell>
          <cell r="G9" t="str">
            <v>3006197653</v>
          </cell>
          <cell r="H9" t="str">
            <v>3045636420</v>
          </cell>
          <cell r="I9" t="str">
            <v>Tratamiento</v>
          </cell>
          <cell r="K9" t="str">
            <v>SI</v>
          </cell>
          <cell r="L9" t="str">
            <v>SI</v>
          </cell>
          <cell r="M9" t="str">
            <v>Greisy Patricia Ojeda Martinez</v>
          </cell>
        </row>
        <row r="10">
          <cell r="A10">
            <v>1043665208</v>
          </cell>
          <cell r="B10">
            <v>9</v>
          </cell>
          <cell r="C10" t="str">
            <v>PAULA ANDREA</v>
          </cell>
          <cell r="D10" t="str">
            <v>Baranquilla</v>
          </cell>
          <cell r="E10" t="str">
            <v>KR 8G 60B 159</v>
          </cell>
          <cell r="F10" t="str">
            <v>Cerca del Billar la Platanera</v>
          </cell>
          <cell r="G10" t="str">
            <v>3242517649</v>
          </cell>
          <cell r="H10" t="str">
            <v>3014101191</v>
          </cell>
          <cell r="I10" t="str">
            <v>Tratamiento</v>
          </cell>
          <cell r="K10" t="str">
            <v>SI</v>
          </cell>
          <cell r="L10" t="str">
            <v>SI</v>
          </cell>
          <cell r="M10" t="str">
            <v>Paula Andra Sara Lenis</v>
          </cell>
        </row>
        <row r="11">
          <cell r="A11">
            <v>1045677797</v>
          </cell>
          <cell r="B11">
            <v>10</v>
          </cell>
          <cell r="C11" t="str">
            <v xml:space="preserve">Edgar </v>
          </cell>
          <cell r="D11" t="str">
            <v>Baranquilla</v>
          </cell>
          <cell r="E11" t="str">
            <v>Cr9calle87_27</v>
          </cell>
          <cell r="F11" t="str">
            <v xml:space="preserve">Tienda la carreta </v>
          </cell>
          <cell r="G11" t="str">
            <v>3042604999</v>
          </cell>
          <cell r="H11" t="str">
            <v>3245908607</v>
          </cell>
          <cell r="I11" t="str">
            <v>Tratamiento</v>
          </cell>
          <cell r="K11" t="str">
            <v>SI</v>
          </cell>
          <cell r="L11" t="str">
            <v>SI</v>
          </cell>
          <cell r="M11" t="str">
            <v>Edgardo De Jesus Alvarez Lozano</v>
          </cell>
        </row>
        <row r="12">
          <cell r="A12">
            <v>1045678951</v>
          </cell>
          <cell r="B12">
            <v>11</v>
          </cell>
          <cell r="C12" t="str">
            <v xml:space="preserve">FRANCISCO JAVIER </v>
          </cell>
          <cell r="D12" t="str">
            <v>Baranquilla</v>
          </cell>
          <cell r="E12" t="str">
            <v>KR 7C 74 79</v>
          </cell>
          <cell r="F12" t="str">
            <v xml:space="preserve">Cerca la tienda el Tinoco o Monumental </v>
          </cell>
          <cell r="G12" t="str">
            <v>3172236409</v>
          </cell>
          <cell r="H12" t="str">
            <v>3007649220</v>
          </cell>
          <cell r="I12" t="str">
            <v>Tratamiento</v>
          </cell>
          <cell r="K12" t="str">
            <v>SI</v>
          </cell>
          <cell r="L12" t="str">
            <v>SI</v>
          </cell>
          <cell r="M12" t="str">
            <v>Francisco Javier Herrera Villadiego</v>
          </cell>
        </row>
        <row r="13">
          <cell r="A13">
            <v>1045679578</v>
          </cell>
          <cell r="B13">
            <v>12</v>
          </cell>
          <cell r="C13" t="str">
            <v>Erides maria</v>
          </cell>
          <cell r="D13" t="str">
            <v>Baranquilla</v>
          </cell>
          <cell r="E13" t="str">
            <v>Cll 72a # 9d-36 p1 apto 2</v>
          </cell>
          <cell r="F13" t="str">
            <v>Al frente de una casa grande blanca de rejas negras</v>
          </cell>
          <cell r="G13" t="str">
            <v>3009413404</v>
          </cell>
          <cell r="H13" t="str">
            <v>3006596414</v>
          </cell>
          <cell r="I13" t="str">
            <v>Tratamiento</v>
          </cell>
          <cell r="K13" t="str">
            <v>SI</v>
          </cell>
          <cell r="L13" t="str">
            <v>SI</v>
          </cell>
          <cell r="M13" t="str">
            <v>Erides Maria Salcedo Rodriguez</v>
          </cell>
        </row>
        <row r="14">
          <cell r="A14">
            <v>1045683391</v>
          </cell>
          <cell r="B14">
            <v>13</v>
          </cell>
          <cell r="C14" t="str">
            <v>Holadys</v>
          </cell>
          <cell r="D14" t="str">
            <v>Baranquilla</v>
          </cell>
          <cell r="E14" t="str">
            <v>Diag64a-988 apto interno</v>
          </cell>
          <cell r="F14" t="str">
            <v>Parte de atrás de la casa de la cultura a</v>
          </cell>
          <cell r="G14" t="str">
            <v>3225173885</v>
          </cell>
          <cell r="H14" t="str">
            <v>3244282810</v>
          </cell>
          <cell r="I14" t="str">
            <v>Tratamiento</v>
          </cell>
          <cell r="K14" t="str">
            <v>SI</v>
          </cell>
          <cell r="L14" t="str">
            <v>SI</v>
          </cell>
          <cell r="M14" t="str">
            <v>Holadys Maria Roa Rodriguez</v>
          </cell>
        </row>
        <row r="15">
          <cell r="A15">
            <v>1045684410</v>
          </cell>
          <cell r="B15">
            <v>14</v>
          </cell>
          <cell r="C15" t="str">
            <v xml:space="preserve">Yuranis </v>
          </cell>
          <cell r="D15" t="str">
            <v>Baranquilla</v>
          </cell>
          <cell r="E15" t="str">
            <v>Cr7c##77-26</v>
          </cell>
          <cell r="F15" t="str">
            <v/>
          </cell>
          <cell r="G15" t="str">
            <v>3023267261</v>
          </cell>
          <cell r="H15" t="str">
            <v>3012689739</v>
          </cell>
          <cell r="I15" t="str">
            <v>Tratamiento</v>
          </cell>
          <cell r="K15" t="str">
            <v>SI</v>
          </cell>
          <cell r="L15" t="str">
            <v>SI</v>
          </cell>
          <cell r="M15" t="str">
            <v>Yurany Patricia Salas Camacho</v>
          </cell>
        </row>
        <row r="16">
          <cell r="A16">
            <v>1045685911</v>
          </cell>
          <cell r="B16">
            <v>15</v>
          </cell>
          <cell r="C16" t="str">
            <v>Lizeth de</v>
          </cell>
          <cell r="D16" t="str">
            <v>Baranquilla</v>
          </cell>
          <cell r="E16" t="str">
            <v>Kra 6a #58a-196</v>
          </cell>
          <cell r="F16" t="str">
            <v xml:space="preserve">
Detrás de Carrefour cordialidad </v>
          </cell>
          <cell r="G16" t="str">
            <v>3019442867</v>
          </cell>
          <cell r="H16" t="str">
            <v>3005450795</v>
          </cell>
          <cell r="I16" t="str">
            <v>Tratamiento</v>
          </cell>
          <cell r="K16" t="str">
            <v>SI</v>
          </cell>
          <cell r="L16" t="str">
            <v>SI</v>
          </cell>
          <cell r="M16" t="str">
            <v>Lizeth Esperanza Severiche Iglesias</v>
          </cell>
        </row>
        <row r="17">
          <cell r="A17">
            <v>1045691917</v>
          </cell>
          <cell r="B17">
            <v>16</v>
          </cell>
          <cell r="C17" t="str">
            <v>Alidis</v>
          </cell>
          <cell r="D17" t="str">
            <v>Baranquilla</v>
          </cell>
          <cell r="E17" t="str">
            <v>Cra 7d # 76-64</v>
          </cell>
          <cell r="F17" t="str">
            <v xml:space="preserve">Cerca del CDI del bosque </v>
          </cell>
          <cell r="G17" t="str">
            <v>3009413066</v>
          </cell>
          <cell r="H17" t="str">
            <v>3017647763</v>
          </cell>
          <cell r="I17" t="str">
            <v>Tratamiento</v>
          </cell>
          <cell r="K17" t="str">
            <v>SI</v>
          </cell>
          <cell r="L17" t="str">
            <v>SI</v>
          </cell>
          <cell r="M17" t="str">
            <v>Alidis Esther Cabarcas Martinez</v>
          </cell>
        </row>
        <row r="18">
          <cell r="A18">
            <v>1045724437</v>
          </cell>
          <cell r="B18">
            <v>17</v>
          </cell>
          <cell r="C18" t="str">
            <v xml:space="preserve">Gabriel </v>
          </cell>
          <cell r="D18" t="str">
            <v>Baranquilla</v>
          </cell>
          <cell r="E18" t="str">
            <v>Carrera 9#60b-13</v>
          </cell>
          <cell r="F18" t="str">
            <v>Casa de interior, es la carrera 9 #60b13</v>
          </cell>
          <cell r="G18" t="str">
            <v>3004052316</v>
          </cell>
          <cell r="H18" t="str">
            <v>3166531270</v>
          </cell>
          <cell r="I18" t="str">
            <v>Tratamiento</v>
          </cell>
          <cell r="K18" t="str">
            <v>SI</v>
          </cell>
          <cell r="L18" t="str">
            <v>SI</v>
          </cell>
          <cell r="M18" t="str">
            <v>Gabriel Angel Diaz Camacho</v>
          </cell>
        </row>
        <row r="19">
          <cell r="A19">
            <v>1045731398</v>
          </cell>
          <cell r="B19">
            <v>18</v>
          </cell>
          <cell r="C19" t="str">
            <v xml:space="preserve">JULITH VANESSA </v>
          </cell>
          <cell r="D19" t="str">
            <v>Baranquilla</v>
          </cell>
          <cell r="E19" t="str">
            <v>KR 8G 93 101</v>
          </cell>
          <cell r="F19" t="str">
            <v>Cerca al D1</v>
          </cell>
          <cell r="G19" t="str">
            <v>3006877851</v>
          </cell>
          <cell r="H19" t="str">
            <v>3006026090</v>
          </cell>
          <cell r="I19" t="str">
            <v>Tratamiento</v>
          </cell>
          <cell r="K19" t="str">
            <v>SI</v>
          </cell>
          <cell r="L19" t="str">
            <v>SI</v>
          </cell>
          <cell r="M19" t="str">
            <v>Julith Vanessa Morron Tapia</v>
          </cell>
        </row>
        <row r="20">
          <cell r="A20">
            <v>1045741495</v>
          </cell>
          <cell r="B20">
            <v>19</v>
          </cell>
          <cell r="C20" t="str">
            <v>YURANIS JOHANA</v>
          </cell>
          <cell r="D20" t="str">
            <v>Baranquilla</v>
          </cell>
          <cell r="E20" t="str">
            <v>Kra 8a #73c-48</v>
          </cell>
          <cell r="F20" t="str">
            <v>Por  el arroyo ,de la cancha de grama de San pio</v>
          </cell>
          <cell r="G20" t="str">
            <v>3046435331</v>
          </cell>
          <cell r="H20" t="str">
            <v>3247505798</v>
          </cell>
          <cell r="I20" t="str">
            <v>Tratamiento</v>
          </cell>
          <cell r="K20" t="str">
            <v>SI</v>
          </cell>
          <cell r="L20" t="str">
            <v>SI</v>
          </cell>
          <cell r="M20" t="str">
            <v>Yuranis Echeverria Ayala</v>
          </cell>
        </row>
        <row r="21">
          <cell r="A21">
            <v>1045743889</v>
          </cell>
          <cell r="B21">
            <v>20</v>
          </cell>
          <cell r="C21" t="str">
            <v>ELIZABETH</v>
          </cell>
          <cell r="D21" t="str">
            <v>Baranquilla</v>
          </cell>
          <cell r="E21" t="str">
            <v>8G 60 83</v>
          </cell>
          <cell r="F21" t="str">
            <v>Casa Alta de escalones color Rosa</v>
          </cell>
          <cell r="G21" t="str">
            <v>3238021271</v>
          </cell>
          <cell r="H21" t="str">
            <v/>
          </cell>
          <cell r="I21" t="str">
            <v>Tratamiento</v>
          </cell>
          <cell r="K21" t="str">
            <v>SI</v>
          </cell>
          <cell r="L21" t="str">
            <v>SI</v>
          </cell>
          <cell r="M21" t="str">
            <v>Elizabeth Tapia Yance</v>
          </cell>
        </row>
        <row r="22">
          <cell r="A22">
            <v>1045746691</v>
          </cell>
          <cell r="B22">
            <v>21</v>
          </cell>
          <cell r="C22" t="str">
            <v>Laury</v>
          </cell>
          <cell r="D22" t="str">
            <v>Baranquilla</v>
          </cell>
          <cell r="E22" t="str">
            <v>Calle6#63c50</v>
          </cell>
          <cell r="F22" t="str">
            <v/>
          </cell>
          <cell r="G22" t="str">
            <v>3244429931</v>
          </cell>
          <cell r="H22" t="str">
            <v>3002150551</v>
          </cell>
          <cell r="I22" t="str">
            <v>Tratamiento</v>
          </cell>
          <cell r="K22" t="str">
            <v>SI</v>
          </cell>
          <cell r="L22" t="str">
            <v>SI</v>
          </cell>
          <cell r="M22" t="str">
            <v>Laury Esther Contreras Santamaria</v>
          </cell>
        </row>
        <row r="23">
          <cell r="A23">
            <v>1045748346</v>
          </cell>
          <cell r="B23">
            <v>22</v>
          </cell>
          <cell r="C23" t="str">
            <v>Ivan alberto</v>
          </cell>
          <cell r="D23" t="str">
            <v>Baranquilla</v>
          </cell>
          <cell r="E23" t="str">
            <v>Dg 63d # 9k 47</v>
          </cell>
          <cell r="F23" t="str">
            <v xml:space="preserve">Cerca de una tienda </v>
          </cell>
          <cell r="G23" t="str">
            <v>3007765703</v>
          </cell>
          <cell r="H23" t="str">
            <v>3015442844</v>
          </cell>
          <cell r="I23" t="str">
            <v>Tratamiento</v>
          </cell>
          <cell r="K23" t="str">
            <v>SI</v>
          </cell>
          <cell r="L23" t="str">
            <v>SI</v>
          </cell>
          <cell r="M23" t="str">
            <v>Ivan alberto</v>
          </cell>
        </row>
        <row r="24">
          <cell r="A24">
            <v>1045759593</v>
          </cell>
          <cell r="B24">
            <v>23</v>
          </cell>
          <cell r="C24" t="str">
            <v>LAINIS ARNETH</v>
          </cell>
          <cell r="D24" t="str">
            <v>Baranquilla</v>
          </cell>
          <cell r="E24" t="str">
            <v xml:space="preserve">Dg 64 9K 07 apto 2 </v>
          </cell>
          <cell r="F24" t="str">
            <v>Diagonal a la Tienda JJ</v>
          </cell>
          <cell r="G24" t="str">
            <v>3022504244</v>
          </cell>
          <cell r="H24" t="str">
            <v>3007546970</v>
          </cell>
          <cell r="I24" t="str">
            <v>Tratamiento</v>
          </cell>
          <cell r="K24" t="str">
            <v>SI</v>
          </cell>
          <cell r="L24" t="str">
            <v>SI</v>
          </cell>
          <cell r="M24" t="str">
            <v>Lainys Arleth Escudero Garcia</v>
          </cell>
        </row>
        <row r="25">
          <cell r="A25">
            <v>1047048484</v>
          </cell>
          <cell r="B25">
            <v>24</v>
          </cell>
          <cell r="C25" t="str">
            <v>América</v>
          </cell>
          <cell r="D25" t="str">
            <v>Baranquilla</v>
          </cell>
          <cell r="E25" t="str">
            <v>Calle 72 a 09d -55</v>
          </cell>
          <cell r="F25" t="str">
            <v/>
          </cell>
          <cell r="G25" t="str">
            <v>3022741473</v>
          </cell>
          <cell r="H25" t="str">
            <v>3046752980</v>
          </cell>
          <cell r="I25" t="str">
            <v>Tratamiento</v>
          </cell>
          <cell r="K25" t="str">
            <v>SI</v>
          </cell>
          <cell r="L25" t="str">
            <v>SI</v>
          </cell>
          <cell r="M25" t="str">
            <v>América Mercedes Ruiz</v>
          </cell>
        </row>
        <row r="26">
          <cell r="A26">
            <v>1047221609</v>
          </cell>
          <cell r="B26">
            <v>25</v>
          </cell>
          <cell r="C26" t="str">
            <v xml:space="preserve">Cristina </v>
          </cell>
          <cell r="D26" t="str">
            <v>Baranquilla</v>
          </cell>
          <cell r="E26" t="str">
            <v>Cr8g#94-72</v>
          </cell>
          <cell r="F26" t="str">
            <v>Diagonal a tiendas d1</v>
          </cell>
          <cell r="G26" t="str">
            <v>3044069171</v>
          </cell>
          <cell r="H26" t="str">
            <v>3002398828</v>
          </cell>
          <cell r="I26" t="str">
            <v>Tratamiento</v>
          </cell>
          <cell r="J26" t="str">
            <v>Baranquilla</v>
          </cell>
          <cell r="K26" t="str">
            <v>SI</v>
          </cell>
          <cell r="L26" t="str">
            <v>SI</v>
          </cell>
          <cell r="M26" t="str">
            <v>Cristina Paola Diaz Hernandez</v>
          </cell>
        </row>
        <row r="27">
          <cell r="A27">
            <v>1047223166</v>
          </cell>
          <cell r="B27">
            <v>26</v>
          </cell>
          <cell r="C27" t="str">
            <v xml:space="preserve">José gregorio </v>
          </cell>
          <cell r="D27" t="str">
            <v>Baranquilla</v>
          </cell>
          <cell r="E27" t="str">
            <v>Cr7c76-84</v>
          </cell>
          <cell r="F27" t="str">
            <v/>
          </cell>
          <cell r="G27" t="str">
            <v>3243199230</v>
          </cell>
          <cell r="H27" t="str">
            <v>3116553092</v>
          </cell>
          <cell r="I27" t="str">
            <v>Tratamiento</v>
          </cell>
          <cell r="K27" t="str">
            <v>SI</v>
          </cell>
          <cell r="L27" t="str">
            <v>SI</v>
          </cell>
          <cell r="M27" t="str">
            <v>Jose Gregorio Barrios Cabarcas</v>
          </cell>
        </row>
        <row r="28">
          <cell r="A28">
            <v>1047226056</v>
          </cell>
          <cell r="B28">
            <v>27</v>
          </cell>
          <cell r="C28" t="str">
            <v xml:space="preserve">Yenis patricia </v>
          </cell>
          <cell r="D28" t="str">
            <v>Baranquilla</v>
          </cell>
          <cell r="E28" t="str">
            <v>Cll 88 # 7- 54</v>
          </cell>
          <cell r="F28" t="str">
            <v>Cerca de la tienda la bendicione de Dios</v>
          </cell>
          <cell r="G28" t="str">
            <v>3011206033</v>
          </cell>
          <cell r="H28" t="str">
            <v>3104403702</v>
          </cell>
          <cell r="I28" t="str">
            <v>Tratamiento</v>
          </cell>
          <cell r="K28" t="str">
            <v>SI</v>
          </cell>
          <cell r="L28" t="str">
            <v>SI</v>
          </cell>
          <cell r="M28" t="str">
            <v>Yenis Patricia Pacheco Pantoja</v>
          </cell>
        </row>
        <row r="29">
          <cell r="A29">
            <v>1047227573</v>
          </cell>
          <cell r="B29">
            <v>28</v>
          </cell>
          <cell r="C29" t="str">
            <v xml:space="preserve">GENY VICTORIA </v>
          </cell>
          <cell r="D29" t="str">
            <v>Baranquilla</v>
          </cell>
          <cell r="E29" t="str">
            <v>KR 6B 72 135</v>
          </cell>
          <cell r="F29" t="str">
            <v xml:space="preserve">DG Tienda hermanos Sampayo </v>
          </cell>
          <cell r="G29" t="str">
            <v>3003978007</v>
          </cell>
          <cell r="H29" t="str">
            <v>3105998357</v>
          </cell>
          <cell r="I29" t="str">
            <v>Tratamiento</v>
          </cell>
          <cell r="J29" t="str">
            <v>Baranquilla</v>
          </cell>
          <cell r="K29" t="str">
            <v>SI</v>
          </cell>
          <cell r="L29" t="str">
            <v>SI</v>
          </cell>
          <cell r="M29" t="str">
            <v>EDINSON D JESUS BARBOSA VILORIA</v>
          </cell>
        </row>
        <row r="30">
          <cell r="A30">
            <v>1048220109</v>
          </cell>
          <cell r="B30">
            <v>29</v>
          </cell>
          <cell r="C30" t="str">
            <v xml:space="preserve">Miguel </v>
          </cell>
          <cell r="D30" t="str">
            <v>Baranquilla</v>
          </cell>
          <cell r="E30" t="str">
            <v>Kra 9 # 61-54</v>
          </cell>
          <cell r="F30" t="str">
            <v xml:space="preserve">A la vuelta de billares el perro </v>
          </cell>
          <cell r="G30" t="str">
            <v>3012006858</v>
          </cell>
          <cell r="H30" t="str">
            <v>3042020350</v>
          </cell>
          <cell r="I30" t="str">
            <v>Tratamiento</v>
          </cell>
          <cell r="K30" t="str">
            <v>SI</v>
          </cell>
          <cell r="L30" t="str">
            <v>SI</v>
          </cell>
          <cell r="M30" t="str">
            <v>Miguel Angel Miranda Cardona</v>
          </cell>
        </row>
        <row r="31">
          <cell r="A31">
            <v>1129487310</v>
          </cell>
          <cell r="B31">
            <v>30</v>
          </cell>
          <cell r="C31" t="str">
            <v>Nancy isabel</v>
          </cell>
          <cell r="D31" t="str">
            <v>Baranquilla</v>
          </cell>
          <cell r="E31" t="str">
            <v>Cr 7d # 76-58</v>
          </cell>
          <cell r="F31" t="str">
            <v xml:space="preserve">Diagonal al CDI del bosque </v>
          </cell>
          <cell r="G31" t="str">
            <v>3022204704</v>
          </cell>
          <cell r="H31" t="str">
            <v>3004745168</v>
          </cell>
          <cell r="I31" t="str">
            <v>Tratamiento</v>
          </cell>
          <cell r="K31" t="str">
            <v>SI</v>
          </cell>
          <cell r="L31" t="str">
            <v>SI</v>
          </cell>
          <cell r="M31" t="str">
            <v>Nancy Isabel Narvaez Suarez</v>
          </cell>
        </row>
        <row r="32">
          <cell r="A32">
            <v>1129497775</v>
          </cell>
          <cell r="B32">
            <v>31</v>
          </cell>
          <cell r="C32" t="str">
            <v xml:space="preserve">MARIBEL ESTHER </v>
          </cell>
          <cell r="D32" t="str">
            <v>Baranquilla</v>
          </cell>
          <cell r="E32" t="str">
            <v>KR 9 93 18</v>
          </cell>
          <cell r="F32" t="str">
            <v>Cerca de la carreta</v>
          </cell>
          <cell r="G32" t="str">
            <v>3002552369</v>
          </cell>
          <cell r="H32" t="str">
            <v>3009997267</v>
          </cell>
          <cell r="I32" t="str">
            <v>Tratamiento</v>
          </cell>
          <cell r="K32" t="str">
            <v>SI</v>
          </cell>
          <cell r="L32" t="str">
            <v>SI</v>
          </cell>
          <cell r="M32" t="str">
            <v>Maribel Esther Estrada Tesillo</v>
          </cell>
        </row>
        <row r="33">
          <cell r="A33">
            <v>1129498810</v>
          </cell>
          <cell r="B33">
            <v>32</v>
          </cell>
          <cell r="C33" t="str">
            <v>Silvia elena</v>
          </cell>
          <cell r="D33" t="str">
            <v>Baranquilla</v>
          </cell>
          <cell r="E33" t="str">
            <v>Kr9k1 de 64b-25</v>
          </cell>
          <cell r="F33" t="str">
            <v>Sector bola rosada</v>
          </cell>
          <cell r="G33" t="str">
            <v>3153571514</v>
          </cell>
          <cell r="H33" t="str">
            <v>3126789310</v>
          </cell>
          <cell r="I33" t="str">
            <v>Tratamiento</v>
          </cell>
          <cell r="K33" t="str">
            <v>SI</v>
          </cell>
          <cell r="L33" t="str">
            <v>SI</v>
          </cell>
          <cell r="M33" t="str">
            <v>Silvia Elena Rada De Los Reyes</v>
          </cell>
        </row>
        <row r="34">
          <cell r="A34">
            <v>1129520081</v>
          </cell>
          <cell r="B34">
            <v>33</v>
          </cell>
          <cell r="C34" t="str">
            <v xml:space="preserve">Islena isabel </v>
          </cell>
          <cell r="D34" t="str">
            <v>Baranquilla</v>
          </cell>
          <cell r="E34" t="str">
            <v>Cra 6b # 72-113</v>
          </cell>
          <cell r="F34" t="str">
            <v xml:space="preserve">Casa alta amarilla </v>
          </cell>
          <cell r="G34" t="str">
            <v>3009751696</v>
          </cell>
          <cell r="H34" t="str">
            <v>3105998357</v>
          </cell>
          <cell r="I34" t="str">
            <v>Tratamiento</v>
          </cell>
          <cell r="K34" t="str">
            <v>SI</v>
          </cell>
          <cell r="L34" t="str">
            <v>SI</v>
          </cell>
          <cell r="M34" t="str">
            <v>Islena Aguas Guzman</v>
          </cell>
        </row>
        <row r="35">
          <cell r="A35">
            <v>1129566300</v>
          </cell>
          <cell r="B35">
            <v>34</v>
          </cell>
          <cell r="C35" t="str">
            <v xml:space="preserve">Katherine paola </v>
          </cell>
          <cell r="D35" t="str">
            <v>Baranquilla</v>
          </cell>
          <cell r="E35" t="str">
            <v>Cll 63a # 9k 37</v>
          </cell>
          <cell r="F35" t="str">
            <v>Subiendo por mercaditos la 9</v>
          </cell>
          <cell r="G35" t="str">
            <v>3013712870</v>
          </cell>
          <cell r="H35" t="str">
            <v>3243090859</v>
          </cell>
          <cell r="I35" t="str">
            <v>Tratamiento</v>
          </cell>
          <cell r="J35" t="str">
            <v>Baranquilla</v>
          </cell>
          <cell r="K35" t="str">
            <v>SI</v>
          </cell>
          <cell r="L35" t="str">
            <v>SI</v>
          </cell>
          <cell r="M35" t="str">
            <v>Katherine Paola Laguna Marquez</v>
          </cell>
        </row>
        <row r="36">
          <cell r="A36">
            <v>1140822745</v>
          </cell>
          <cell r="B36">
            <v>35</v>
          </cell>
          <cell r="C36" t="str">
            <v>Judith maria</v>
          </cell>
          <cell r="D36" t="str">
            <v>Baranquilla</v>
          </cell>
          <cell r="E36" t="str">
            <v>Calle 63 A 9k 85</v>
          </cell>
          <cell r="F36" t="str">
            <v>Al frente casa con techo de color rojo</v>
          </cell>
          <cell r="G36" t="str">
            <v>3023046156</v>
          </cell>
          <cell r="H36" t="str">
            <v>3147297797</v>
          </cell>
          <cell r="I36" t="str">
            <v>Tratamiento</v>
          </cell>
          <cell r="J36"/>
          <cell r="K36" t="str">
            <v>SI</v>
          </cell>
          <cell r="L36" t="str">
            <v>SI</v>
          </cell>
          <cell r="M36" t="str">
            <v>Leidis Paola Moreno Blanco</v>
          </cell>
        </row>
        <row r="37">
          <cell r="A37">
            <v>1140837632</v>
          </cell>
          <cell r="B37">
            <v>36</v>
          </cell>
          <cell r="C37" t="str">
            <v>Yuldor</v>
          </cell>
          <cell r="D37" t="str">
            <v>Baranquilla</v>
          </cell>
          <cell r="E37" t="str">
            <v>Calle 61 #9-61</v>
          </cell>
          <cell r="F37" t="str">
            <v xml:space="preserve">A la cola del patio de Salomón </v>
          </cell>
          <cell r="G37" t="str">
            <v>3001734532</v>
          </cell>
          <cell r="H37" t="str">
            <v>3004186179</v>
          </cell>
          <cell r="I37" t="str">
            <v>Tratamiento</v>
          </cell>
          <cell r="K37" t="str">
            <v>SI</v>
          </cell>
          <cell r="L37" t="str">
            <v>SI</v>
          </cell>
          <cell r="M37" t="str">
            <v>Juldo Emrriquel Muñoz Pajaro</v>
          </cell>
        </row>
        <row r="38">
          <cell r="A38">
            <v>1143224673</v>
          </cell>
          <cell r="B38">
            <v>37</v>
          </cell>
          <cell r="C38" t="str">
            <v xml:space="preserve">Sivirley </v>
          </cell>
          <cell r="D38" t="str">
            <v>Baranquilla</v>
          </cell>
          <cell r="E38" t="str">
            <v>Cr 8b#93-34</v>
          </cell>
          <cell r="F38" t="str">
            <v xml:space="preserve">La misericordia de Dios </v>
          </cell>
          <cell r="G38" t="str">
            <v>3242032383</v>
          </cell>
          <cell r="H38" t="str">
            <v>3012943637</v>
          </cell>
          <cell r="I38" t="str">
            <v>Tratamiento</v>
          </cell>
          <cell r="K38" t="str">
            <v>SI</v>
          </cell>
          <cell r="L38" t="str">
            <v>SI</v>
          </cell>
          <cell r="M38" t="str">
            <v>Sivirley Elena Fonseca Florian</v>
          </cell>
        </row>
        <row r="39">
          <cell r="A39">
            <v>1143229612</v>
          </cell>
          <cell r="B39">
            <v>38</v>
          </cell>
          <cell r="C39" t="str">
            <v xml:space="preserve">OLGA LUCIA </v>
          </cell>
          <cell r="D39" t="str">
            <v>Baranquilla</v>
          </cell>
          <cell r="E39" t="str">
            <v>Cl 88 7C 33</v>
          </cell>
          <cell r="F39" t="str">
            <v xml:space="preserve">Cerca la tienda Brisas del Norte </v>
          </cell>
          <cell r="G39" t="str">
            <v>3239198265</v>
          </cell>
          <cell r="H39" t="str">
            <v>3005942812</v>
          </cell>
          <cell r="I39" t="str">
            <v>Tratamiento</v>
          </cell>
          <cell r="K39" t="str">
            <v>SI</v>
          </cell>
          <cell r="L39" t="str">
            <v>SI</v>
          </cell>
          <cell r="M39" t="str">
            <v>Olga Lucia Barreto Mendoza</v>
          </cell>
        </row>
        <row r="40">
          <cell r="A40">
            <v>1143243433</v>
          </cell>
          <cell r="B40">
            <v>39</v>
          </cell>
          <cell r="C40" t="str">
            <v xml:space="preserve">Efigencia </v>
          </cell>
          <cell r="D40" t="str">
            <v>Baranquilla</v>
          </cell>
          <cell r="E40" t="str">
            <v>Kra 7b $71-02</v>
          </cell>
          <cell r="F40" t="str">
            <v xml:space="preserve">La tienda de Richard </v>
          </cell>
          <cell r="G40" t="str">
            <v>3225234177</v>
          </cell>
          <cell r="H40" t="str">
            <v>3005448934</v>
          </cell>
          <cell r="I40" t="str">
            <v>Tratamiento</v>
          </cell>
          <cell r="K40" t="str">
            <v>SI</v>
          </cell>
          <cell r="L40" t="str">
            <v>SI</v>
          </cell>
          <cell r="M40" t="str">
            <v>Efigenia Navarro Solano</v>
          </cell>
        </row>
        <row r="41">
          <cell r="A41">
            <v>1143246211</v>
          </cell>
          <cell r="B41">
            <v>40</v>
          </cell>
          <cell r="C41" t="str">
            <v xml:space="preserve">Kelly johana </v>
          </cell>
          <cell r="D41" t="str">
            <v>Baranquilla</v>
          </cell>
          <cell r="E41" t="str">
            <v>Cra 9a # 80- 39 apto 3</v>
          </cell>
          <cell r="F41" t="str">
            <v xml:space="preserve">Una cuadra después de la cárcel </v>
          </cell>
          <cell r="G41" t="str">
            <v>3012781248</v>
          </cell>
          <cell r="H41" t="str">
            <v/>
          </cell>
          <cell r="I41" t="str">
            <v>Tratamiento</v>
          </cell>
          <cell r="K41" t="str">
            <v>SI</v>
          </cell>
          <cell r="L41" t="str">
            <v>SI</v>
          </cell>
          <cell r="M41" t="str">
            <v>KELLY JOHANA VASQUEZ PACHECO</v>
          </cell>
        </row>
        <row r="42">
          <cell r="A42">
            <v>1143247447</v>
          </cell>
          <cell r="B42">
            <v>41</v>
          </cell>
          <cell r="C42" t="str">
            <v xml:space="preserve">JUAN CARLOS </v>
          </cell>
          <cell r="D42" t="str">
            <v>Baranquilla</v>
          </cell>
          <cell r="E42" t="str">
            <v>Cl 63A 9K 25 apto</v>
          </cell>
          <cell r="F42" t="str">
            <v>Cerca de tienda la amañadora</v>
          </cell>
          <cell r="G42" t="str">
            <v>3244235227</v>
          </cell>
          <cell r="H42" t="str">
            <v>3153836291</v>
          </cell>
          <cell r="I42" t="str">
            <v>Tratamiento</v>
          </cell>
          <cell r="J42"/>
          <cell r="K42" t="str">
            <v>SI</v>
          </cell>
          <cell r="L42" t="str">
            <v>SI</v>
          </cell>
          <cell r="M42" t="str">
            <v>Juan Carlos Cantillo Oliveros</v>
          </cell>
        </row>
        <row r="43">
          <cell r="A43">
            <v>1143259102</v>
          </cell>
          <cell r="B43">
            <v>42</v>
          </cell>
          <cell r="C43" t="str">
            <v xml:space="preserve">CARMEN PATRICIA </v>
          </cell>
          <cell r="D43" t="str">
            <v>Baranquilla</v>
          </cell>
          <cell r="E43" t="str">
            <v xml:space="preserve">KR 9 60 78 apto 2 </v>
          </cell>
          <cell r="F43" t="str">
            <v>Frente a la tienda los recuerdos de Elsa</v>
          </cell>
          <cell r="G43" t="str">
            <v>3023493434</v>
          </cell>
          <cell r="H43" t="str">
            <v>3042004586</v>
          </cell>
          <cell r="I43" t="str">
            <v>Tratamiento</v>
          </cell>
          <cell r="K43" t="str">
            <v>SI</v>
          </cell>
          <cell r="L43" t="str">
            <v>SI</v>
          </cell>
          <cell r="M43" t="str">
            <v>CARMEN PATRICIA PINEDI REALES</v>
          </cell>
        </row>
        <row r="44">
          <cell r="A44">
            <v>1149440235</v>
          </cell>
          <cell r="B44">
            <v>43</v>
          </cell>
          <cell r="C44" t="str">
            <v>Miryan rosa</v>
          </cell>
          <cell r="D44" t="str">
            <v>Baranquilla</v>
          </cell>
          <cell r="E44" t="str">
            <v>Cll 88 # 7a- 19</v>
          </cell>
          <cell r="F44" t="str">
            <v>Frente de un apartamento de dos pisos</v>
          </cell>
          <cell r="G44" t="str">
            <v>3002522177</v>
          </cell>
          <cell r="H44" t="str">
            <v>3244819667</v>
          </cell>
          <cell r="I44" t="str">
            <v>Tratamiento</v>
          </cell>
          <cell r="K44" t="str">
            <v>SI</v>
          </cell>
          <cell r="L44" t="str">
            <v>SI</v>
          </cell>
          <cell r="M44" t="str">
            <v>Miryan Rosa Pacheco Pantoja</v>
          </cell>
        </row>
        <row r="45">
          <cell r="A45">
            <v>1193327320</v>
          </cell>
          <cell r="B45">
            <v>44</v>
          </cell>
          <cell r="C45" t="str">
            <v xml:space="preserve">ROCIO DEL CARMEN </v>
          </cell>
          <cell r="D45" t="str">
            <v>Baranquilla</v>
          </cell>
          <cell r="E45" t="str">
            <v>Calle 73 7B 07</v>
          </cell>
          <cell r="F45" t="str">
            <v xml:space="preserve">Casa después de la esquina  casa Blanca </v>
          </cell>
          <cell r="G45" t="str">
            <v>3007053420</v>
          </cell>
          <cell r="H45" t="str">
            <v>3023460942</v>
          </cell>
          <cell r="I45" t="str">
            <v>Tratamiento</v>
          </cell>
          <cell r="K45" t="str">
            <v>SI</v>
          </cell>
          <cell r="L45" t="str">
            <v>SI</v>
          </cell>
          <cell r="M45" t="str">
            <v>Rocio Del Carmen Blanco Arroyo</v>
          </cell>
        </row>
        <row r="46">
          <cell r="A46">
            <v>1193371842</v>
          </cell>
          <cell r="B46">
            <v>45</v>
          </cell>
          <cell r="C46" t="str">
            <v>YENIFER PAOLA</v>
          </cell>
          <cell r="D46" t="str">
            <v>Baranquilla</v>
          </cell>
          <cell r="E46" t="str">
            <v>KR 8A 73 32</v>
          </cell>
          <cell r="F46" t="str">
            <v>Orilla del arroyo y atrás de Cai de Policía</v>
          </cell>
          <cell r="G46" t="str">
            <v>3024501053</v>
          </cell>
          <cell r="H46" t="str">
            <v>3117625266</v>
          </cell>
          <cell r="I46" t="str">
            <v>Tratamiento</v>
          </cell>
          <cell r="K46" t="str">
            <v>SI</v>
          </cell>
          <cell r="L46" t="str">
            <v>SI</v>
          </cell>
          <cell r="M46" t="str">
            <v>YENIFER PAOLA SANDOVAL LOPEZ</v>
          </cell>
        </row>
        <row r="47">
          <cell r="A47">
            <v>12534970</v>
          </cell>
          <cell r="B47">
            <v>46</v>
          </cell>
          <cell r="C47" t="str">
            <v xml:space="preserve">José María </v>
          </cell>
          <cell r="D47" t="str">
            <v>Baranquilla</v>
          </cell>
          <cell r="E47" t="str">
            <v>Kra 8b #60b-141</v>
          </cell>
          <cell r="F47" t="str">
            <v>A 200 mts de carnicería viky</v>
          </cell>
          <cell r="G47" t="str">
            <v>3103454151</v>
          </cell>
          <cell r="H47" t="str">
            <v>3244687312</v>
          </cell>
          <cell r="I47" t="str">
            <v>Tratamiento</v>
          </cell>
          <cell r="K47" t="str">
            <v>SI</v>
          </cell>
          <cell r="L47" t="str">
            <v>SI</v>
          </cell>
          <cell r="M47" t="str">
            <v>Jose Maria Bertel Torregrosa</v>
          </cell>
        </row>
        <row r="48">
          <cell r="A48">
            <v>12549369</v>
          </cell>
          <cell r="B48">
            <v>47</v>
          </cell>
          <cell r="C48" t="str">
            <v xml:space="preserve">Francisco </v>
          </cell>
          <cell r="D48" t="str">
            <v>Baranquilla</v>
          </cell>
          <cell r="E48" t="str">
            <v>Cll 75 # 7c- 44</v>
          </cell>
          <cell r="F48" t="str">
            <v xml:space="preserve">Casa en construcción </v>
          </cell>
          <cell r="G48" t="str">
            <v>3002625465</v>
          </cell>
          <cell r="H48" t="str">
            <v>3043356756</v>
          </cell>
          <cell r="I48" t="str">
            <v>Tratamiento</v>
          </cell>
          <cell r="K48" t="str">
            <v>SI</v>
          </cell>
          <cell r="L48" t="str">
            <v>SI</v>
          </cell>
          <cell r="M48" t="str">
            <v xml:space="preserve">Francisco </v>
          </cell>
        </row>
        <row r="49">
          <cell r="A49">
            <v>13665069</v>
          </cell>
          <cell r="B49">
            <v>48</v>
          </cell>
          <cell r="C49" t="str">
            <v xml:space="preserve">Rodulfo </v>
          </cell>
          <cell r="D49" t="str">
            <v>Baranquilla</v>
          </cell>
          <cell r="E49" t="str">
            <v>Cr8gcalle93-62</v>
          </cell>
          <cell r="F49" t="str">
            <v>Frente a tiendas d1</v>
          </cell>
          <cell r="G49" t="str">
            <v>3008460729</v>
          </cell>
          <cell r="H49" t="str">
            <v>3013614530</v>
          </cell>
          <cell r="I49" t="str">
            <v>Tratamiento</v>
          </cell>
          <cell r="J49" t="str">
            <v>Baranquilla</v>
          </cell>
          <cell r="K49" t="str">
            <v>SI</v>
          </cell>
          <cell r="L49" t="str">
            <v>SI</v>
          </cell>
          <cell r="M49" t="str">
            <v>Rodulfo Garcia Ruidiaz</v>
          </cell>
        </row>
        <row r="50">
          <cell r="A50">
            <v>17152604</v>
          </cell>
          <cell r="B50">
            <v>49</v>
          </cell>
          <cell r="C50" t="str">
            <v>Luis Alberto</v>
          </cell>
          <cell r="D50" t="str">
            <v>Baranquilla</v>
          </cell>
          <cell r="E50" t="str">
            <v>Calle77#7c-41</v>
          </cell>
          <cell r="F50" t="str">
            <v/>
          </cell>
          <cell r="G50" t="str">
            <v>3233762728</v>
          </cell>
          <cell r="H50" t="str">
            <v>3042107244</v>
          </cell>
          <cell r="I50" t="str">
            <v>Tratamiento</v>
          </cell>
          <cell r="K50" t="str">
            <v>SI</v>
          </cell>
          <cell r="L50" t="str">
            <v>SI</v>
          </cell>
          <cell r="M50" t="str">
            <v>Luis Alberto Becerra</v>
          </cell>
        </row>
        <row r="51">
          <cell r="A51">
            <v>17808718</v>
          </cell>
          <cell r="B51">
            <v>50</v>
          </cell>
          <cell r="C51" t="str">
            <v xml:space="preserve">Jose Pedro </v>
          </cell>
          <cell r="D51" t="str">
            <v>Baranquilla</v>
          </cell>
          <cell r="E51" t="str">
            <v>Cr6b73c41</v>
          </cell>
          <cell r="F51" t="str">
            <v/>
          </cell>
          <cell r="G51" t="str">
            <v>3045516539</v>
          </cell>
          <cell r="H51" t="str">
            <v>3044184119</v>
          </cell>
          <cell r="I51" t="str">
            <v>Tratamiento</v>
          </cell>
          <cell r="J51" t="str">
            <v>Baranquilla</v>
          </cell>
          <cell r="K51" t="str">
            <v>SI</v>
          </cell>
          <cell r="L51" t="str">
            <v>SI</v>
          </cell>
          <cell r="M51" t="str">
            <v>Jose Pedro Martinez Esalas</v>
          </cell>
        </row>
        <row r="52">
          <cell r="A52">
            <v>17849804</v>
          </cell>
          <cell r="B52">
            <v>51</v>
          </cell>
          <cell r="C52" t="str">
            <v xml:space="preserve">MARTÍN RAFAEL </v>
          </cell>
          <cell r="D52" t="str">
            <v>Baranquilla</v>
          </cell>
          <cell r="E52" t="str">
            <v>CL 77 6E 77</v>
          </cell>
          <cell r="F52" t="str">
            <v xml:space="preserve">Cerca de tío Cochito </v>
          </cell>
          <cell r="G52" t="str">
            <v>3107451363</v>
          </cell>
          <cell r="H52" t="str">
            <v>3146551197</v>
          </cell>
          <cell r="I52" t="str">
            <v>Tratamiento</v>
          </cell>
          <cell r="K52" t="str">
            <v>SI</v>
          </cell>
          <cell r="L52" t="str">
            <v>SI</v>
          </cell>
          <cell r="M52" t="str">
            <v xml:space="preserve">MARTÍN RAFAEL </v>
          </cell>
        </row>
        <row r="53">
          <cell r="A53">
            <v>18932393</v>
          </cell>
          <cell r="B53">
            <v>52</v>
          </cell>
          <cell r="C53" t="str">
            <v>REGINALDO ENRIQUE</v>
          </cell>
          <cell r="D53" t="str">
            <v>Baranquilla</v>
          </cell>
          <cell r="E53" t="str">
            <v>CL 60 8A 96</v>
          </cell>
          <cell r="F53" t="str">
            <v>Casa Salmón</v>
          </cell>
          <cell r="G53" t="str">
            <v>3006463357</v>
          </cell>
          <cell r="H53" t="str">
            <v>3012291826</v>
          </cell>
          <cell r="I53" t="str">
            <v>Tratamiento</v>
          </cell>
          <cell r="K53" t="str">
            <v>SI</v>
          </cell>
          <cell r="L53" t="str">
            <v>SI</v>
          </cell>
          <cell r="M53" t="str">
            <v>Reginaldo Enrique Galvan Jimenez</v>
          </cell>
        </row>
        <row r="54">
          <cell r="A54">
            <v>19582075</v>
          </cell>
          <cell r="B54">
            <v>53</v>
          </cell>
          <cell r="C54" t="str">
            <v xml:space="preserve">Manuel calixto </v>
          </cell>
          <cell r="D54" t="str">
            <v>Baranquilla</v>
          </cell>
          <cell r="E54" t="str">
            <v>Cll 8 apto 2</v>
          </cell>
          <cell r="F54" t="str">
            <v>Al frente del caí san pio</v>
          </cell>
          <cell r="G54" t="str">
            <v/>
          </cell>
          <cell r="H54" t="str">
            <v/>
          </cell>
          <cell r="I54" t="str">
            <v>Tratamiento</v>
          </cell>
          <cell r="K54" t="str">
            <v>SI</v>
          </cell>
          <cell r="L54" t="str">
            <v>SI</v>
          </cell>
          <cell r="M54" t="str">
            <v>Manuel Calixto De Avila Bermudez</v>
          </cell>
        </row>
        <row r="55">
          <cell r="A55">
            <v>22295551</v>
          </cell>
          <cell r="B55">
            <v>54</v>
          </cell>
          <cell r="C55" t="str">
            <v xml:space="preserve">LUCILA </v>
          </cell>
          <cell r="D55" t="str">
            <v>Baranquilla</v>
          </cell>
          <cell r="E55" t="str">
            <v>KR 8G 60B 53</v>
          </cell>
          <cell r="F55" t="str">
            <v xml:space="preserve">Cerca de billares la Platanera </v>
          </cell>
          <cell r="G55" t="str">
            <v>3112738287</v>
          </cell>
          <cell r="H55" t="str">
            <v>3014688580</v>
          </cell>
          <cell r="I55" t="str">
            <v>Tratamiento</v>
          </cell>
          <cell r="K55" t="str">
            <v>SI</v>
          </cell>
          <cell r="L55" t="str">
            <v>SI</v>
          </cell>
          <cell r="M55" t="str">
            <v>Lucila Angarita De Pertuz</v>
          </cell>
        </row>
        <row r="56">
          <cell r="A56">
            <v>22304817</v>
          </cell>
          <cell r="B56">
            <v>55</v>
          </cell>
          <cell r="C56" t="str">
            <v>Maria</v>
          </cell>
          <cell r="D56" t="str">
            <v>Baranquilla</v>
          </cell>
          <cell r="E56" t="str">
            <v>Kra 7b #74-24</v>
          </cell>
          <cell r="F56" t="str">
            <v>Frente Colegio de shakira</v>
          </cell>
          <cell r="G56" t="str">
            <v>3261970</v>
          </cell>
          <cell r="H56" t="str">
            <v>3042085356</v>
          </cell>
          <cell r="I56" t="str">
            <v>Tratamiento</v>
          </cell>
          <cell r="K56" t="str">
            <v>SI</v>
          </cell>
          <cell r="L56" t="str">
            <v>SI</v>
          </cell>
          <cell r="M56" t="str">
            <v>Maria Del Cristo Arcon Ojeda</v>
          </cell>
        </row>
        <row r="57">
          <cell r="A57">
            <v>22333001</v>
          </cell>
          <cell r="B57">
            <v>56</v>
          </cell>
          <cell r="C57" t="str">
            <v>Mérida</v>
          </cell>
          <cell r="D57" t="str">
            <v>Baranquilla</v>
          </cell>
          <cell r="E57" t="str">
            <v>Cl 73C 7E 35</v>
          </cell>
          <cell r="F57" t="str">
            <v>Cerca del Parque y Cai Policía casa rosada</v>
          </cell>
          <cell r="G57" t="str">
            <v>3022642631</v>
          </cell>
          <cell r="H57" t="str">
            <v>3148404870</v>
          </cell>
          <cell r="I57" t="str">
            <v>Tratamiento</v>
          </cell>
          <cell r="K57" t="str">
            <v>SI</v>
          </cell>
          <cell r="L57" t="str">
            <v>SI</v>
          </cell>
          <cell r="M57" t="str">
            <v>Merida Del Carmen Mercado Pacheco</v>
          </cell>
        </row>
        <row r="58">
          <cell r="A58">
            <v>22365884</v>
          </cell>
          <cell r="B58">
            <v>57</v>
          </cell>
          <cell r="C58" t="str">
            <v xml:space="preserve">Elena Hortencia </v>
          </cell>
          <cell r="D58" t="str">
            <v>Baranquilla</v>
          </cell>
          <cell r="E58" t="str">
            <v>Carrera 8C 74 75</v>
          </cell>
          <cell r="F58" t="str">
            <v>2 casa de la tienda donde Tony</v>
          </cell>
          <cell r="G58" t="str">
            <v>3242213383</v>
          </cell>
          <cell r="H58" t="str">
            <v>3022553868</v>
          </cell>
          <cell r="I58" t="str">
            <v>Tratamiento</v>
          </cell>
          <cell r="K58" t="str">
            <v>SI</v>
          </cell>
          <cell r="L58" t="str">
            <v>SI</v>
          </cell>
          <cell r="M58" t="str">
            <v>Elena Hortensia De Avila Guerra</v>
          </cell>
        </row>
        <row r="59">
          <cell r="A59">
            <v>22374314</v>
          </cell>
          <cell r="B59">
            <v>58</v>
          </cell>
          <cell r="C59" t="str">
            <v>LUz MARIA</v>
          </cell>
          <cell r="D59" t="str">
            <v>Baranquilla</v>
          </cell>
          <cell r="E59" t="str">
            <v>Cl 77 7B 03</v>
          </cell>
          <cell r="F59" t="str">
            <v xml:space="preserve">Frente al Súper Efectivo </v>
          </cell>
          <cell r="G59" t="str">
            <v>3022660346</v>
          </cell>
          <cell r="H59" t="str">
            <v>3006897940</v>
          </cell>
          <cell r="I59" t="str">
            <v>Tratamiento</v>
          </cell>
          <cell r="K59" t="str">
            <v>SI</v>
          </cell>
          <cell r="L59" t="str">
            <v>SI</v>
          </cell>
          <cell r="M59" t="str">
            <v>Luz Maria Gonzalez Stevenson</v>
          </cell>
        </row>
        <row r="60">
          <cell r="A60">
            <v>22377867</v>
          </cell>
          <cell r="B60">
            <v>59</v>
          </cell>
          <cell r="C60" t="str">
            <v>Concepción</v>
          </cell>
          <cell r="D60" t="str">
            <v>Baranquilla</v>
          </cell>
          <cell r="E60" t="str">
            <v>Calle 80 #7c-76</v>
          </cell>
          <cell r="F60" t="str">
            <v xml:space="preserve">Diagonal al arroyo </v>
          </cell>
          <cell r="G60" t="str">
            <v>3023490114</v>
          </cell>
          <cell r="H60" t="str">
            <v>3053490111</v>
          </cell>
          <cell r="I60" t="str">
            <v>Tratamiento</v>
          </cell>
          <cell r="K60" t="str">
            <v>SI</v>
          </cell>
          <cell r="L60" t="str">
            <v>SI</v>
          </cell>
          <cell r="M60" t="str">
            <v>CONCEPCION ELVIRA CUESTA ACOSTA</v>
          </cell>
        </row>
        <row r="61">
          <cell r="A61">
            <v>22378889</v>
          </cell>
          <cell r="B61">
            <v>60</v>
          </cell>
          <cell r="C61" t="str">
            <v xml:space="preserve">ETILBIA </v>
          </cell>
          <cell r="D61" t="str">
            <v>Baranquilla</v>
          </cell>
          <cell r="E61" t="str">
            <v>Carrera 8C 73C36</v>
          </cell>
          <cell r="F61" t="str">
            <v>Al lado de Yesenia Barreto</v>
          </cell>
          <cell r="G61" t="str">
            <v>No tiene</v>
          </cell>
          <cell r="H61" t="str">
            <v>3205488193</v>
          </cell>
          <cell r="I61" t="str">
            <v>Tratamiento</v>
          </cell>
          <cell r="K61" t="str">
            <v>SI</v>
          </cell>
          <cell r="L61" t="str">
            <v>SI</v>
          </cell>
          <cell r="M61" t="str">
            <v>Etilvia Altamar De Redondo</v>
          </cell>
        </row>
        <row r="62">
          <cell r="A62">
            <v>22383297</v>
          </cell>
          <cell r="B62">
            <v>61</v>
          </cell>
          <cell r="C62" t="str">
            <v>Blanca yolanda</v>
          </cell>
          <cell r="D62" t="str">
            <v>Baranquilla</v>
          </cell>
          <cell r="E62" t="str">
            <v>Cra 8c # 93 -57 apto 1</v>
          </cell>
          <cell r="F62" t="str">
            <v xml:space="preserve">A un costado del colegio ines de esperanza jesus </v>
          </cell>
          <cell r="G62" t="str">
            <v>3004783362</v>
          </cell>
          <cell r="H62" t="str">
            <v/>
          </cell>
          <cell r="I62" t="str">
            <v>Tratamiento</v>
          </cell>
          <cell r="K62" t="str">
            <v>SI</v>
          </cell>
          <cell r="L62" t="str">
            <v>SI</v>
          </cell>
          <cell r="M62" t="str">
            <v>BLANCA YOLANDA MEJíA GUZMáN</v>
          </cell>
        </row>
        <row r="63">
          <cell r="A63">
            <v>22385229</v>
          </cell>
          <cell r="B63">
            <v>62</v>
          </cell>
          <cell r="C63" t="str">
            <v>Nidia</v>
          </cell>
          <cell r="D63" t="str">
            <v>Baranquilla</v>
          </cell>
          <cell r="E63" t="str">
            <v>Calle 72# 7b-10</v>
          </cell>
          <cell r="F63" t="str">
            <v>Bajando la cruz roja</v>
          </cell>
          <cell r="G63" t="str">
            <v>3042722067</v>
          </cell>
          <cell r="H63" t="str">
            <v>3126788599</v>
          </cell>
          <cell r="I63" t="str">
            <v>Tratamiento</v>
          </cell>
          <cell r="K63" t="str">
            <v>SI</v>
          </cell>
          <cell r="L63" t="str">
            <v>SI</v>
          </cell>
          <cell r="M63" t="str">
            <v>Nidia Del Carmen Castro Tapia</v>
          </cell>
        </row>
        <row r="64">
          <cell r="A64">
            <v>22393271</v>
          </cell>
          <cell r="B64">
            <v>63</v>
          </cell>
          <cell r="C64" t="str">
            <v>Josefa maria</v>
          </cell>
          <cell r="D64" t="str">
            <v>Baranquilla</v>
          </cell>
          <cell r="E64" t="str">
            <v>Calle 65#9k-55</v>
          </cell>
          <cell r="F64" t="str">
            <v xml:space="preserve">A una cuadra de la tienda la campana </v>
          </cell>
          <cell r="G64" t="str">
            <v>3022650421</v>
          </cell>
          <cell r="H64" t="str">
            <v>3016817231</v>
          </cell>
          <cell r="I64" t="str">
            <v>Tratamiento</v>
          </cell>
          <cell r="K64" t="str">
            <v>SI</v>
          </cell>
          <cell r="L64" t="str">
            <v>SI</v>
          </cell>
          <cell r="M64" t="str">
            <v>Josefa Maria San Martin De Villa</v>
          </cell>
        </row>
        <row r="65">
          <cell r="A65">
            <v>22414805</v>
          </cell>
          <cell r="B65">
            <v>64</v>
          </cell>
          <cell r="C65" t="str">
            <v>Saray María</v>
          </cell>
          <cell r="D65" t="str">
            <v>Baranquilla</v>
          </cell>
          <cell r="E65" t="str">
            <v>Cr6b#73-56</v>
          </cell>
          <cell r="F65" t="str">
            <v/>
          </cell>
          <cell r="G65" t="str">
            <v>3024635645</v>
          </cell>
          <cell r="H65" t="str">
            <v>3014408543</v>
          </cell>
          <cell r="I65" t="str">
            <v>Tratamiento</v>
          </cell>
          <cell r="J65"/>
          <cell r="K65" t="str">
            <v>SI</v>
          </cell>
          <cell r="L65" t="str">
            <v>SI</v>
          </cell>
          <cell r="M65" t="str">
            <v>Saray Maria Cervantes De Vazquez</v>
          </cell>
        </row>
        <row r="66">
          <cell r="A66">
            <v>22420818</v>
          </cell>
          <cell r="B66">
            <v>65</v>
          </cell>
          <cell r="C66" t="str">
            <v>Maria</v>
          </cell>
          <cell r="D66" t="str">
            <v>Baranquilla</v>
          </cell>
          <cell r="E66" t="str">
            <v xml:space="preserve">Calle 61 # 9-04
</v>
          </cell>
          <cell r="F66" t="str">
            <v>Es la esquina  del arroyo</v>
          </cell>
          <cell r="G66" t="str">
            <v>3651196</v>
          </cell>
          <cell r="H66" t="str">
            <v>3156018069</v>
          </cell>
          <cell r="I66" t="str">
            <v>Tratamiento</v>
          </cell>
          <cell r="K66" t="str">
            <v>SI</v>
          </cell>
          <cell r="L66" t="str">
            <v>SI</v>
          </cell>
          <cell r="M66" t="str">
            <v>Maria Policarpa Porto de Díaz</v>
          </cell>
        </row>
        <row r="67">
          <cell r="A67">
            <v>22421041</v>
          </cell>
          <cell r="B67">
            <v>66</v>
          </cell>
          <cell r="C67" t="str">
            <v xml:space="preserve">Mercedes </v>
          </cell>
          <cell r="D67" t="str">
            <v>Baranquilla</v>
          </cell>
          <cell r="E67" t="str">
            <v>Kra 8c #74a-26</v>
          </cell>
          <cell r="F67" t="str">
            <v xml:space="preserve">A una cuadra de la carcel del bosque </v>
          </cell>
          <cell r="G67" t="str">
            <v>3157197865</v>
          </cell>
          <cell r="H67" t="str">
            <v>3002361294</v>
          </cell>
          <cell r="I67" t="str">
            <v>Tratamiento</v>
          </cell>
          <cell r="K67" t="str">
            <v>SI</v>
          </cell>
          <cell r="L67" t="str">
            <v>SI</v>
          </cell>
          <cell r="M67" t="str">
            <v>Mercedes Marriaga De Laguna</v>
          </cell>
        </row>
        <row r="68">
          <cell r="A68">
            <v>22440120</v>
          </cell>
          <cell r="B68">
            <v>67</v>
          </cell>
          <cell r="C68" t="str">
            <v xml:space="preserve">RUTH MERCEDES </v>
          </cell>
          <cell r="D68" t="str">
            <v>Baranquilla</v>
          </cell>
          <cell r="E68" t="str">
            <v>Carrera 8C 73D 86</v>
          </cell>
          <cell r="F68" t="str">
            <v>Al lado de la tienda el Rubí</v>
          </cell>
          <cell r="G68" t="str">
            <v>3013981727</v>
          </cell>
          <cell r="H68" t="str">
            <v>3003890552</v>
          </cell>
          <cell r="I68" t="str">
            <v>Tratamiento</v>
          </cell>
          <cell r="K68" t="str">
            <v>SI</v>
          </cell>
          <cell r="L68" t="str">
            <v>SI</v>
          </cell>
          <cell r="M68" t="str">
            <v>Ruth Mercedes Asensio Ferrer</v>
          </cell>
        </row>
        <row r="69">
          <cell r="A69">
            <v>22446557</v>
          </cell>
          <cell r="B69">
            <v>68</v>
          </cell>
          <cell r="C69" t="str">
            <v xml:space="preserve">Angelica </v>
          </cell>
          <cell r="D69" t="str">
            <v>Baranquilla</v>
          </cell>
          <cell r="E69" t="str">
            <v>Kra 6e #74-12</v>
          </cell>
          <cell r="F69" t="str">
            <v>Bajando 5 y 6</v>
          </cell>
          <cell r="G69" t="str">
            <v>3002431133</v>
          </cell>
          <cell r="H69" t="str">
            <v>3146678360</v>
          </cell>
          <cell r="I69" t="str">
            <v>Tratamiento</v>
          </cell>
          <cell r="K69" t="str">
            <v>SI</v>
          </cell>
          <cell r="L69" t="str">
            <v>SI</v>
          </cell>
          <cell r="M69" t="str">
            <v>Angélica Maria Jinete Hernandez</v>
          </cell>
        </row>
        <row r="70">
          <cell r="A70">
            <v>22446587</v>
          </cell>
          <cell r="B70">
            <v>69</v>
          </cell>
          <cell r="C70" t="str">
            <v>Yomaira del socorro</v>
          </cell>
          <cell r="D70" t="str">
            <v>Baranquilla</v>
          </cell>
          <cell r="E70" t="str">
            <v>Cra 7d # 76-64 apto 1</v>
          </cell>
          <cell r="F70" t="str">
            <v xml:space="preserve">Diagonal al CDI del bosque </v>
          </cell>
          <cell r="G70" t="str">
            <v>3243692702</v>
          </cell>
          <cell r="H70" t="str">
            <v>3156322684</v>
          </cell>
          <cell r="I70" t="str">
            <v>Tratamiento</v>
          </cell>
          <cell r="K70" t="str">
            <v>SI</v>
          </cell>
          <cell r="L70" t="str">
            <v>SI</v>
          </cell>
          <cell r="M70" t="str">
            <v>Yomaira Socorro De La Hoz Solano</v>
          </cell>
        </row>
        <row r="71">
          <cell r="A71">
            <v>22467946</v>
          </cell>
          <cell r="B71">
            <v>70</v>
          </cell>
          <cell r="C71" t="str">
            <v>Dora</v>
          </cell>
          <cell r="D71" t="str">
            <v>Baranquilla</v>
          </cell>
          <cell r="E71" t="str">
            <v>Kra 8g #87-40 apto interno</v>
          </cell>
          <cell r="F71" t="str">
            <v xml:space="preserve">Por tienda la carretera </v>
          </cell>
          <cell r="G71" t="str">
            <v>3244296698</v>
          </cell>
          <cell r="H71" t="str">
            <v>3044596837</v>
          </cell>
          <cell r="I71" t="str">
            <v>Tratamiento</v>
          </cell>
          <cell r="K71" t="str">
            <v>SI</v>
          </cell>
          <cell r="L71" t="str">
            <v>SI</v>
          </cell>
          <cell r="M71" t="str">
            <v>Dora Isabel Parejo Orozco</v>
          </cell>
        </row>
        <row r="72">
          <cell r="A72">
            <v>22502121</v>
          </cell>
          <cell r="B72">
            <v>71</v>
          </cell>
          <cell r="C72" t="str">
            <v>Ines del rocio</v>
          </cell>
          <cell r="D72" t="str">
            <v>Baranquilla</v>
          </cell>
          <cell r="E72" t="str">
            <v xml:space="preserve">Cr 9c # 75-45 </v>
          </cell>
          <cell r="F72" t="str">
            <v>Frente a la cancha la bombonera</v>
          </cell>
          <cell r="G72" t="str">
            <v>3025902878</v>
          </cell>
          <cell r="H72" t="str">
            <v>3205717986</v>
          </cell>
          <cell r="I72" t="str">
            <v>Tratamiento</v>
          </cell>
          <cell r="K72" t="str">
            <v>SI</v>
          </cell>
          <cell r="L72" t="str">
            <v>SI</v>
          </cell>
          <cell r="M72" t="str">
            <v>Ines Del Rocio De La Rosa Ricardo</v>
          </cell>
        </row>
        <row r="73">
          <cell r="A73">
            <v>22502647</v>
          </cell>
          <cell r="B73">
            <v>72</v>
          </cell>
          <cell r="C73" t="str">
            <v>Elizabeth maria</v>
          </cell>
          <cell r="D73" t="str">
            <v>Baranquilla</v>
          </cell>
          <cell r="E73" t="str">
            <v>Kr 8c #73d-70</v>
          </cell>
          <cell r="F73" t="str">
            <v>Casa blanca, frente casa verde de murales</v>
          </cell>
          <cell r="G73" t="str">
            <v>3011335502</v>
          </cell>
          <cell r="H73" t="str">
            <v>3205488193</v>
          </cell>
          <cell r="I73" t="str">
            <v>Tratamiento</v>
          </cell>
          <cell r="K73" t="str">
            <v>SI</v>
          </cell>
          <cell r="L73" t="str">
            <v>SI</v>
          </cell>
          <cell r="M73" t="str">
            <v>Elizabeth Maria Redondo Sandoval</v>
          </cell>
        </row>
        <row r="74">
          <cell r="A74">
            <v>22503243</v>
          </cell>
          <cell r="B74">
            <v>73</v>
          </cell>
          <cell r="C74" t="str">
            <v>Gloria</v>
          </cell>
          <cell r="D74" t="str">
            <v>Baranquilla</v>
          </cell>
          <cell r="E74" t="str">
            <v>Kra 9# 60-27</v>
          </cell>
          <cell r="F74" t="str">
            <v xml:space="preserve">Diagonal Val colegio amarillo </v>
          </cell>
          <cell r="G74" t="str">
            <v>3244920173</v>
          </cell>
          <cell r="H74" t="str">
            <v>3183095041</v>
          </cell>
          <cell r="I74" t="str">
            <v>Tratamiento</v>
          </cell>
          <cell r="K74" t="str">
            <v>SI</v>
          </cell>
          <cell r="L74" t="str">
            <v>SI</v>
          </cell>
          <cell r="M74" t="str">
            <v>Gloria Maria Meza Jaimes</v>
          </cell>
        </row>
        <row r="75">
          <cell r="A75">
            <v>22505364</v>
          </cell>
          <cell r="B75">
            <v>74</v>
          </cell>
          <cell r="C75" t="str">
            <v>Karen johana</v>
          </cell>
          <cell r="D75" t="str">
            <v>Baranquilla</v>
          </cell>
          <cell r="E75" t="str">
            <v>Dg64 # 9-26</v>
          </cell>
          <cell r="F75" t="str">
            <v>Al frente de casa grande amarilla</v>
          </cell>
          <cell r="G75" t="str">
            <v>3016113771</v>
          </cell>
          <cell r="H75" t="str">
            <v>3207124903</v>
          </cell>
          <cell r="I75" t="str">
            <v>Tratamiento</v>
          </cell>
          <cell r="K75" t="str">
            <v>SI</v>
          </cell>
          <cell r="L75" t="str">
            <v>SI</v>
          </cell>
          <cell r="M75" t="str">
            <v>Karen Johana Camargo Rodriguez</v>
          </cell>
        </row>
        <row r="76">
          <cell r="A76">
            <v>22518128</v>
          </cell>
          <cell r="B76">
            <v>75</v>
          </cell>
          <cell r="C76" t="str">
            <v xml:space="preserve">Milagros </v>
          </cell>
          <cell r="D76" t="str">
            <v>Baranquilla</v>
          </cell>
          <cell r="E76" t="str">
            <v>Calle 776b74</v>
          </cell>
          <cell r="F76" t="str">
            <v/>
          </cell>
          <cell r="G76" t="str">
            <v>3128825557</v>
          </cell>
          <cell r="H76" t="str">
            <v>3005062813</v>
          </cell>
          <cell r="I76" t="str">
            <v>Tratamiento</v>
          </cell>
          <cell r="K76" t="str">
            <v>SI</v>
          </cell>
          <cell r="L76" t="str">
            <v>SI</v>
          </cell>
          <cell r="M76" t="str">
            <v>Milagro Del Socorro Molinares Causado</v>
          </cell>
        </row>
        <row r="77">
          <cell r="A77">
            <v>22532457</v>
          </cell>
          <cell r="B77">
            <v>76</v>
          </cell>
          <cell r="C77" t="str">
            <v xml:space="preserve">Miladis </v>
          </cell>
          <cell r="D77" t="str">
            <v>Baranquilla</v>
          </cell>
          <cell r="E77" t="str">
            <v>Kra 8c #73c-101 apt1</v>
          </cell>
          <cell r="F77" t="str">
            <v>La cancha San pio está detrás de la casa</v>
          </cell>
          <cell r="G77" t="str">
            <v>3123093463</v>
          </cell>
          <cell r="H77" t="str">
            <v>3205488193</v>
          </cell>
          <cell r="I77" t="str">
            <v>Tratamiento</v>
          </cell>
          <cell r="K77" t="str">
            <v>SI</v>
          </cell>
          <cell r="L77" t="str">
            <v>SI</v>
          </cell>
          <cell r="M77" t="str">
            <v>Miladis Del Carmen Redondo Patiño</v>
          </cell>
        </row>
        <row r="78">
          <cell r="A78">
            <v>22548648</v>
          </cell>
          <cell r="B78">
            <v>77</v>
          </cell>
          <cell r="C78" t="str">
            <v xml:space="preserve">Enis </v>
          </cell>
          <cell r="D78" t="str">
            <v>Baranquilla</v>
          </cell>
          <cell r="E78" t="str">
            <v>Cr8g#60b58apto2</v>
          </cell>
          <cell r="F78" t="str">
            <v xml:space="preserve">Billares la platanera </v>
          </cell>
          <cell r="G78" t="str">
            <v>3023792613</v>
          </cell>
          <cell r="H78" t="str">
            <v>3012548866</v>
          </cell>
          <cell r="I78" t="str">
            <v>Tratamiento</v>
          </cell>
          <cell r="K78" t="str">
            <v>SI</v>
          </cell>
          <cell r="L78" t="str">
            <v>SI</v>
          </cell>
          <cell r="M78" t="str">
            <v>Enys Yojana Cassiani Valdez</v>
          </cell>
        </row>
        <row r="79">
          <cell r="A79">
            <v>22567435</v>
          </cell>
          <cell r="B79">
            <v>78</v>
          </cell>
          <cell r="C79" t="str">
            <v xml:space="preserve">Rosalba </v>
          </cell>
          <cell r="D79" t="str">
            <v>Baranquilla</v>
          </cell>
          <cell r="E79" t="str">
            <v>Cr7b#80-10</v>
          </cell>
          <cell r="F79" t="str">
            <v/>
          </cell>
          <cell r="G79" t="str">
            <v>3184809996</v>
          </cell>
          <cell r="H79" t="str">
            <v>3187575989</v>
          </cell>
          <cell r="I79" t="str">
            <v>Tratamiento</v>
          </cell>
          <cell r="K79" t="str">
            <v>SI</v>
          </cell>
          <cell r="L79" t="str">
            <v>SI</v>
          </cell>
          <cell r="M79" t="str">
            <v>Rosalba Maria Moreira Solano</v>
          </cell>
        </row>
        <row r="80">
          <cell r="A80">
            <v>22590461</v>
          </cell>
          <cell r="B80">
            <v>79</v>
          </cell>
          <cell r="C80" t="str">
            <v>Diana</v>
          </cell>
          <cell r="D80" t="str">
            <v>Baranquilla</v>
          </cell>
          <cell r="E80" t="str">
            <v>Calle 88 #7e-14</v>
          </cell>
          <cell r="F80" t="str">
            <v>La tienda San Benito a dos cuadras</v>
          </cell>
          <cell r="G80" t="str">
            <v>3022172888</v>
          </cell>
          <cell r="H80" t="str">
            <v>3024244009</v>
          </cell>
          <cell r="I80" t="str">
            <v>Tratamiento</v>
          </cell>
          <cell r="K80" t="str">
            <v>SI</v>
          </cell>
          <cell r="L80" t="str">
            <v>SI</v>
          </cell>
          <cell r="M80" t="str">
            <v>Diana Patricia Herrera Bonett</v>
          </cell>
        </row>
        <row r="81">
          <cell r="A81">
            <v>22645794</v>
          </cell>
          <cell r="B81">
            <v>80</v>
          </cell>
          <cell r="C81" t="str">
            <v>Lizbeth</v>
          </cell>
          <cell r="D81" t="str">
            <v>Baranquilla</v>
          </cell>
          <cell r="E81" t="str">
            <v>Kr 8c #74-88 apartamento 1</v>
          </cell>
          <cell r="F81" t="str">
            <v xml:space="preserve">Árbol podado, al frente de tienda blanca </v>
          </cell>
          <cell r="G81" t="str">
            <v>3009411182</v>
          </cell>
          <cell r="H81" t="str">
            <v>3045594968</v>
          </cell>
          <cell r="I81" t="str">
            <v>Tratamiento</v>
          </cell>
          <cell r="J81" t="str">
            <v>Baranquilla</v>
          </cell>
          <cell r="K81" t="str">
            <v>SI</v>
          </cell>
          <cell r="L81" t="str">
            <v>SI</v>
          </cell>
          <cell r="M81" t="str">
            <v>LIZBETH SANDOVAL ORTEGA</v>
          </cell>
        </row>
        <row r="82">
          <cell r="A82">
            <v>22646716</v>
          </cell>
          <cell r="B82">
            <v>81</v>
          </cell>
          <cell r="C82" t="str">
            <v xml:space="preserve">Heidy yomaira </v>
          </cell>
          <cell r="D82" t="str">
            <v>Baranquilla</v>
          </cell>
          <cell r="E82" t="str">
            <v>Cr8a1#60b106</v>
          </cell>
          <cell r="F82" t="str">
            <v xml:space="preserve">Estadero el lobo </v>
          </cell>
          <cell r="G82" t="str">
            <v>3017688404</v>
          </cell>
          <cell r="H82" t="str">
            <v>3012014959</v>
          </cell>
          <cell r="I82" t="str">
            <v>Tratamiento</v>
          </cell>
          <cell r="K82" t="str">
            <v>SI</v>
          </cell>
          <cell r="L82" t="str">
            <v>SI</v>
          </cell>
          <cell r="M82" t="str">
            <v>Heidy Yomaira Valdez Salgado</v>
          </cell>
        </row>
        <row r="83">
          <cell r="A83">
            <v>22648878</v>
          </cell>
          <cell r="B83">
            <v>82</v>
          </cell>
          <cell r="C83" t="str">
            <v xml:space="preserve">Rosiris concepción </v>
          </cell>
          <cell r="D83" t="str">
            <v>Baranquilla</v>
          </cell>
          <cell r="E83" t="str">
            <v>Cll 87 # 9- 11</v>
          </cell>
          <cell r="F83" t="str">
            <v>Detrás de la pared de la carcel</v>
          </cell>
          <cell r="G83" t="str">
            <v>3012339520</v>
          </cell>
          <cell r="H83" t="str">
            <v>3008304664</v>
          </cell>
          <cell r="I83" t="str">
            <v>Tratamiento</v>
          </cell>
          <cell r="K83" t="str">
            <v>SI</v>
          </cell>
          <cell r="L83" t="str">
            <v>SI</v>
          </cell>
          <cell r="M83" t="str">
            <v>Rosiris Concepcion Castro Berrio</v>
          </cell>
        </row>
        <row r="84">
          <cell r="A84">
            <v>22655403</v>
          </cell>
          <cell r="B84">
            <v>83</v>
          </cell>
          <cell r="C84" t="str">
            <v>Yolima isabel</v>
          </cell>
          <cell r="D84" t="str">
            <v>Baranquilla</v>
          </cell>
          <cell r="E84" t="str">
            <v>Kra 8g # 60-21</v>
          </cell>
          <cell r="F84" t="str">
            <v>Al frente de una casa grande de rejas blancas</v>
          </cell>
          <cell r="G84" t="str">
            <v>3002221627</v>
          </cell>
          <cell r="H84" t="str">
            <v>3024104352</v>
          </cell>
          <cell r="I84" t="str">
            <v>Tratamiento</v>
          </cell>
          <cell r="K84" t="str">
            <v>SI</v>
          </cell>
          <cell r="L84" t="str">
            <v>SI</v>
          </cell>
          <cell r="M84" t="str">
            <v>Yolima Isabel Obeso Torres</v>
          </cell>
        </row>
        <row r="85">
          <cell r="A85">
            <v>22703396</v>
          </cell>
          <cell r="B85">
            <v>84</v>
          </cell>
          <cell r="C85" t="str">
            <v xml:space="preserve">Amalia </v>
          </cell>
          <cell r="D85" t="str">
            <v>Baranquilla</v>
          </cell>
          <cell r="E85" t="str">
            <v>Kra 9 #87-96</v>
          </cell>
          <cell r="F85" t="str">
            <v xml:space="preserve">A una cuadrade la carretera </v>
          </cell>
          <cell r="G85" t="str">
            <v>3003122416</v>
          </cell>
          <cell r="H85" t="str">
            <v>3043352972</v>
          </cell>
          <cell r="I85" t="str">
            <v>Tratamiento</v>
          </cell>
          <cell r="K85" t="str">
            <v>SI</v>
          </cell>
          <cell r="L85" t="str">
            <v>SI</v>
          </cell>
          <cell r="M85" t="str">
            <v>Amalia De Jesus Blanco Castillo</v>
          </cell>
        </row>
        <row r="86">
          <cell r="A86">
            <v>22732410</v>
          </cell>
          <cell r="B86">
            <v>85</v>
          </cell>
          <cell r="C86" t="str">
            <v>Monica liliana</v>
          </cell>
          <cell r="D86" t="str">
            <v>Baranquilla</v>
          </cell>
          <cell r="E86" t="str">
            <v>Carrera 7b 73 106</v>
          </cell>
          <cell r="F86" t="str">
            <v>Al lado de la casa de las monjas</v>
          </cell>
          <cell r="G86" t="str">
            <v>3004849636</v>
          </cell>
          <cell r="H86" t="str">
            <v xml:space="preserve">No tengo </v>
          </cell>
          <cell r="I86" t="str">
            <v>Tratamiento</v>
          </cell>
          <cell r="J86"/>
          <cell r="K86" t="str">
            <v>SI</v>
          </cell>
          <cell r="L86" t="str">
            <v>SI</v>
          </cell>
          <cell r="M86" t="str">
            <v>Monica Lopez Liliana Camargo</v>
          </cell>
        </row>
        <row r="87">
          <cell r="A87">
            <v>22736024</v>
          </cell>
          <cell r="B87">
            <v>86</v>
          </cell>
          <cell r="C87" t="str">
            <v xml:space="preserve">Karolay </v>
          </cell>
          <cell r="D87" t="str">
            <v>Baranquilla</v>
          </cell>
          <cell r="E87" t="str">
            <v>Cra 8c # 87- 16</v>
          </cell>
          <cell r="F87" t="str">
            <v>Cerca de la parelilla de la carcel</v>
          </cell>
          <cell r="G87" t="str">
            <v>3184501154</v>
          </cell>
          <cell r="H87" t="str">
            <v>3053114070</v>
          </cell>
          <cell r="I87" t="str">
            <v>Tratamiento</v>
          </cell>
          <cell r="K87" t="str">
            <v>SI</v>
          </cell>
          <cell r="L87" t="str">
            <v>SI</v>
          </cell>
          <cell r="M87" t="str">
            <v xml:space="preserve">SI </v>
          </cell>
        </row>
        <row r="88">
          <cell r="A88">
            <v>22744721</v>
          </cell>
          <cell r="B88">
            <v>87</v>
          </cell>
          <cell r="C88" t="str">
            <v>Maria</v>
          </cell>
          <cell r="D88" t="str">
            <v>Baranquilla</v>
          </cell>
          <cell r="E88" t="str">
            <v>Kra 7e #75-48</v>
          </cell>
          <cell r="F88" t="str">
            <v xml:space="preserve">Por el arroyo </v>
          </cell>
          <cell r="G88" t="str">
            <v>3145728516</v>
          </cell>
          <cell r="H88" t="str">
            <v>3006525218</v>
          </cell>
          <cell r="I88" t="str">
            <v>Tratamiento</v>
          </cell>
          <cell r="K88" t="str">
            <v>SI</v>
          </cell>
          <cell r="L88" t="str">
            <v>SI</v>
          </cell>
          <cell r="M88" t="str">
            <v>Maria Esther Ojeda Vanegas</v>
          </cell>
        </row>
        <row r="89">
          <cell r="A89">
            <v>22845935</v>
          </cell>
          <cell r="B89">
            <v>88</v>
          </cell>
          <cell r="C89" t="str">
            <v>Ana</v>
          </cell>
          <cell r="D89" t="str">
            <v>Baranquilla</v>
          </cell>
          <cell r="E89" t="str">
            <v>Calle 93 #8c-24</v>
          </cell>
          <cell r="F89" t="str">
            <v xml:space="preserve">Por la tienda la carretera </v>
          </cell>
          <cell r="G89" t="str">
            <v>3007284388</v>
          </cell>
          <cell r="H89" t="str">
            <v>3022920044</v>
          </cell>
          <cell r="I89" t="str">
            <v>Tratamiento</v>
          </cell>
          <cell r="K89" t="str">
            <v>SI</v>
          </cell>
          <cell r="L89" t="str">
            <v>SI</v>
          </cell>
          <cell r="M89" t="str">
            <v>Ana Delia Ortiz De Ospino</v>
          </cell>
        </row>
        <row r="90">
          <cell r="A90">
            <v>22954309</v>
          </cell>
          <cell r="B90">
            <v>89</v>
          </cell>
          <cell r="C90" t="str">
            <v xml:space="preserve">Manuela </v>
          </cell>
          <cell r="D90" t="str">
            <v>Baranquilla</v>
          </cell>
          <cell r="E90" t="str">
            <v>CRA 86 #60B-131</v>
          </cell>
          <cell r="F90" t="str">
            <v>Casa azul, ventana marron</v>
          </cell>
          <cell r="G90" t="str">
            <v>3012620524</v>
          </cell>
          <cell r="H90" t="str">
            <v>3017688404</v>
          </cell>
          <cell r="I90" t="str">
            <v>Tratamiento</v>
          </cell>
          <cell r="J90" t="str">
            <v>Baranquilla</v>
          </cell>
          <cell r="K90" t="str">
            <v>SI</v>
          </cell>
          <cell r="L90" t="str">
            <v>SI</v>
          </cell>
          <cell r="M90" t="str">
            <v>Manuela Salgado Cañate</v>
          </cell>
        </row>
        <row r="91">
          <cell r="A91">
            <v>23070779</v>
          </cell>
          <cell r="B91">
            <v>90</v>
          </cell>
          <cell r="C91" t="str">
            <v xml:space="preserve">GILBA TERESA </v>
          </cell>
          <cell r="D91" t="str">
            <v>Baranquilla</v>
          </cell>
          <cell r="E91" t="str">
            <v>Cl 61 9 51</v>
          </cell>
          <cell r="F91" t="str">
            <v xml:space="preserve">Casa de piso alto y árbol de Mango </v>
          </cell>
          <cell r="G91" t="str">
            <v>3013729211</v>
          </cell>
          <cell r="H91" t="str">
            <v>3204143216</v>
          </cell>
          <cell r="I91" t="str">
            <v>Tratamiento</v>
          </cell>
          <cell r="K91" t="str">
            <v>SI</v>
          </cell>
          <cell r="L91" t="str">
            <v>SI</v>
          </cell>
          <cell r="M91" t="str">
            <v>Ilba Tereza Villa Maza</v>
          </cell>
        </row>
        <row r="92">
          <cell r="A92">
            <v>23242735</v>
          </cell>
          <cell r="B92">
            <v>91</v>
          </cell>
          <cell r="C92" t="str">
            <v>EMELINA ROSA</v>
          </cell>
          <cell r="D92" t="str">
            <v>Baranquilla</v>
          </cell>
          <cell r="E92" t="str">
            <v>KR 9 60 78 apto interno</v>
          </cell>
          <cell r="F92" t="str">
            <v xml:space="preserve">Frente la tienda los recuerdos de Elsa </v>
          </cell>
          <cell r="G92" t="str">
            <v>3017936115</v>
          </cell>
          <cell r="H92" t="str">
            <v>3023493434</v>
          </cell>
          <cell r="I92" t="str">
            <v>Tratamiento</v>
          </cell>
          <cell r="J92" t="str">
            <v>Baranquilla</v>
          </cell>
          <cell r="K92" t="str">
            <v>SI</v>
          </cell>
          <cell r="L92" t="str">
            <v>SI</v>
          </cell>
          <cell r="M92" t="str">
            <v>Emelina Rosa Pajaro Cardenas</v>
          </cell>
        </row>
        <row r="93">
          <cell r="A93">
            <v>25954420</v>
          </cell>
          <cell r="B93">
            <v>92</v>
          </cell>
          <cell r="C93" t="str">
            <v>EDITH DEL CARMEN</v>
          </cell>
          <cell r="D93" t="str">
            <v>Baranquilla</v>
          </cell>
          <cell r="E93" t="str">
            <v>Cl 88 7C 33 Apto 1</v>
          </cell>
          <cell r="F93" t="str">
            <v xml:space="preserve">CERCA LA TIENDA BRISAS DE CARIBE </v>
          </cell>
          <cell r="G93" t="str">
            <v>3005942812</v>
          </cell>
          <cell r="H93" t="str">
            <v>3045256769</v>
          </cell>
          <cell r="I93" t="str">
            <v>Tratamiento</v>
          </cell>
          <cell r="J93" t="str">
            <v>Baranquilla</v>
          </cell>
          <cell r="K93" t="str">
            <v>SI</v>
          </cell>
          <cell r="L93" t="str">
            <v>SI</v>
          </cell>
          <cell r="M93" t="str">
            <v>Edith del Carmen Mendoza Sanchez</v>
          </cell>
        </row>
        <row r="94">
          <cell r="A94">
            <v>26718435</v>
          </cell>
          <cell r="B94">
            <v>93</v>
          </cell>
          <cell r="C94" t="str">
            <v>Aura helena</v>
          </cell>
          <cell r="D94" t="str">
            <v>Baranquilla</v>
          </cell>
          <cell r="E94" t="str">
            <v>Cr7ccalle75-27</v>
          </cell>
          <cell r="F94" t="str">
            <v>Cerca al cai</v>
          </cell>
          <cell r="G94" t="str">
            <v>3006712521</v>
          </cell>
          <cell r="H94" t="str">
            <v>3013115123</v>
          </cell>
          <cell r="I94" t="str">
            <v>Tratamiento</v>
          </cell>
          <cell r="K94" t="str">
            <v>SI</v>
          </cell>
          <cell r="L94" t="str">
            <v>SI</v>
          </cell>
          <cell r="M94" t="str">
            <v>Aura Elena Torregrosa De Charrys</v>
          </cell>
        </row>
        <row r="95">
          <cell r="A95">
            <v>32580754</v>
          </cell>
          <cell r="B95">
            <v>94</v>
          </cell>
          <cell r="C95" t="str">
            <v>JEYDI MARIA</v>
          </cell>
          <cell r="D95" t="str">
            <v>Baranquilla</v>
          </cell>
          <cell r="E95" t="str">
            <v>Cl 73D 8G 33</v>
          </cell>
          <cell r="F95" t="str">
            <v>Tienda la Estrella donde Ñaña</v>
          </cell>
          <cell r="G95" t="str">
            <v>3006626284</v>
          </cell>
          <cell r="H95" t="str">
            <v>3044920473</v>
          </cell>
          <cell r="I95" t="str">
            <v>Tratamiento</v>
          </cell>
          <cell r="K95" t="str">
            <v>SI</v>
          </cell>
          <cell r="L95" t="str">
            <v>SI</v>
          </cell>
          <cell r="M95" t="str">
            <v>Jeidys Maria Torres Santiago</v>
          </cell>
        </row>
        <row r="96">
          <cell r="A96">
            <v>32612783</v>
          </cell>
          <cell r="B96">
            <v>95</v>
          </cell>
          <cell r="C96" t="str">
            <v>Yarleni</v>
          </cell>
          <cell r="D96" t="str">
            <v>Baranquilla</v>
          </cell>
          <cell r="E96" t="str">
            <v xml:space="preserve">Carrera 7d 75 27 </v>
          </cell>
          <cell r="F96" t="str">
            <v xml:space="preserve">Cerca a la panaderia ricura del bosque </v>
          </cell>
          <cell r="G96" t="str">
            <v>3005137032</v>
          </cell>
          <cell r="H96" t="str">
            <v>3162794624</v>
          </cell>
          <cell r="I96" t="str">
            <v>Tratamiento</v>
          </cell>
          <cell r="K96" t="str">
            <v>SI</v>
          </cell>
          <cell r="L96" t="str">
            <v>SI</v>
          </cell>
          <cell r="M96" t="str">
            <v>Yarlenis Santa Cruz Florez</v>
          </cell>
        </row>
        <row r="97">
          <cell r="A97">
            <v>32613935</v>
          </cell>
          <cell r="B97">
            <v>96</v>
          </cell>
          <cell r="C97" t="str">
            <v>NUBIA LUZ</v>
          </cell>
          <cell r="D97" t="str">
            <v>Baranquilla</v>
          </cell>
          <cell r="E97" t="str">
            <v>KR 9 93 20</v>
          </cell>
          <cell r="F97" t="str">
            <v>Cerca al estadero la Carreta</v>
          </cell>
          <cell r="G97" t="str">
            <v>3242607068</v>
          </cell>
          <cell r="H97" t="str">
            <v>3218372016</v>
          </cell>
          <cell r="I97" t="str">
            <v>Tratamiento</v>
          </cell>
          <cell r="K97" t="str">
            <v>SI</v>
          </cell>
          <cell r="L97" t="str">
            <v>SI</v>
          </cell>
          <cell r="M97" t="str">
            <v>Nubia Luz Valverde Maldonado</v>
          </cell>
        </row>
        <row r="98">
          <cell r="A98">
            <v>32623209</v>
          </cell>
          <cell r="B98">
            <v>97</v>
          </cell>
          <cell r="C98" t="str">
            <v>Luisa julio</v>
          </cell>
          <cell r="D98" t="str">
            <v>Baranquilla</v>
          </cell>
          <cell r="E98" t="str">
            <v>Cll80#7c42</v>
          </cell>
          <cell r="F98" t="str">
            <v/>
          </cell>
          <cell r="G98" t="str">
            <v>3009413038</v>
          </cell>
          <cell r="H98" t="str">
            <v>3245071600</v>
          </cell>
          <cell r="I98" t="str">
            <v>Tratamiento</v>
          </cell>
          <cell r="K98" t="str">
            <v>SI</v>
          </cell>
          <cell r="L98" t="str">
            <v>SI</v>
          </cell>
          <cell r="M98" t="str">
            <v>Luisa Julio Gomez</v>
          </cell>
        </row>
        <row r="99">
          <cell r="A99">
            <v>32629512</v>
          </cell>
          <cell r="B99">
            <v>98</v>
          </cell>
          <cell r="C99" t="str">
            <v xml:space="preserve">Ana isabel </v>
          </cell>
          <cell r="D99" t="str">
            <v>Baranquilla</v>
          </cell>
          <cell r="E99" t="str">
            <v>Cll 61 # 9-31</v>
          </cell>
          <cell r="F99" t="str">
            <v xml:space="preserve">Casa de tabla </v>
          </cell>
          <cell r="G99" t="str">
            <v>3025064300</v>
          </cell>
          <cell r="H99" t="str">
            <v>3001734532</v>
          </cell>
          <cell r="I99" t="str">
            <v>Tratamiento</v>
          </cell>
          <cell r="K99" t="str">
            <v>SI</v>
          </cell>
          <cell r="L99" t="str">
            <v>SI</v>
          </cell>
          <cell r="M99" t="str">
            <v>Ana Isabel Obezo Sanchez</v>
          </cell>
        </row>
        <row r="100">
          <cell r="A100">
            <v>32634688</v>
          </cell>
          <cell r="B100">
            <v>99</v>
          </cell>
          <cell r="C100" t="str">
            <v>Ana</v>
          </cell>
          <cell r="D100" t="str">
            <v>Baranquilla</v>
          </cell>
          <cell r="E100" t="str">
            <v>Cr8g94_38</v>
          </cell>
          <cell r="F100" t="str">
            <v/>
          </cell>
          <cell r="G100" t="str">
            <v>3006391505</v>
          </cell>
          <cell r="H100" t="str">
            <v>3022686266</v>
          </cell>
          <cell r="I100" t="str">
            <v>Tratamiento</v>
          </cell>
          <cell r="K100" t="str">
            <v>SI</v>
          </cell>
          <cell r="L100" t="str">
            <v>SI</v>
          </cell>
          <cell r="M100" t="str">
            <v>ANA DELIA MONTERO</v>
          </cell>
        </row>
        <row r="101">
          <cell r="A101">
            <v>32636575</v>
          </cell>
          <cell r="B101">
            <v>100</v>
          </cell>
          <cell r="C101" t="str">
            <v xml:space="preserve">MARÍA CONCEPCIÓN </v>
          </cell>
          <cell r="D101" t="str">
            <v>Baranquilla</v>
          </cell>
          <cell r="E101" t="str">
            <v>KR 8G 93 139</v>
          </cell>
          <cell r="F101" t="str">
            <v>Cerca del D1</v>
          </cell>
          <cell r="G101" t="str">
            <v/>
          </cell>
          <cell r="H101" t="str">
            <v>3006877851</v>
          </cell>
          <cell r="I101" t="str">
            <v>Tratamiento</v>
          </cell>
          <cell r="J101" t="str">
            <v>Baranquilla</v>
          </cell>
          <cell r="K101" t="str">
            <v>SI</v>
          </cell>
          <cell r="L101" t="str">
            <v>SI</v>
          </cell>
          <cell r="M101" t="str">
            <v>MARIA CONCEPCION AREVALO</v>
          </cell>
        </row>
        <row r="102">
          <cell r="A102">
            <v>32639848</v>
          </cell>
          <cell r="B102">
            <v>101</v>
          </cell>
          <cell r="C102" t="str">
            <v>Maria</v>
          </cell>
          <cell r="D102" t="str">
            <v>Baranquilla</v>
          </cell>
          <cell r="E102" t="str">
            <v>Calle 75 #7c-18</v>
          </cell>
          <cell r="F102" t="str">
            <v xml:space="preserve">Por la tienda la abundancia </v>
          </cell>
          <cell r="G102" t="str">
            <v>3007649220</v>
          </cell>
          <cell r="H102" t="str">
            <v>3006813248</v>
          </cell>
          <cell r="I102" t="str">
            <v>Tratamiento</v>
          </cell>
          <cell r="K102" t="str">
            <v>SI</v>
          </cell>
          <cell r="L102" t="str">
            <v>SI</v>
          </cell>
          <cell r="M102" t="str">
            <v>Maria Ernestina De La Hoz Galvis</v>
          </cell>
        </row>
        <row r="103">
          <cell r="A103">
            <v>32648994</v>
          </cell>
          <cell r="B103">
            <v>102</v>
          </cell>
          <cell r="C103" t="str">
            <v>Berta ester</v>
          </cell>
          <cell r="D103" t="str">
            <v>Baranquilla</v>
          </cell>
          <cell r="E103" t="str">
            <v>Kra 9k #64b-29</v>
          </cell>
          <cell r="F103" t="str">
            <v xml:space="preserve">Al frente de la tienda la terraza </v>
          </cell>
          <cell r="G103" t="str">
            <v>3012989932</v>
          </cell>
          <cell r="H103" t="str">
            <v>3023488625</v>
          </cell>
          <cell r="I103" t="str">
            <v>Tratamiento</v>
          </cell>
          <cell r="K103" t="str">
            <v>SI</v>
          </cell>
          <cell r="L103" t="str">
            <v>SI</v>
          </cell>
          <cell r="M103" t="str">
            <v>BERTHA JIMENEZ</v>
          </cell>
        </row>
        <row r="104">
          <cell r="A104">
            <v>32650703</v>
          </cell>
          <cell r="B104">
            <v>103</v>
          </cell>
          <cell r="C104" t="str">
            <v>Mara</v>
          </cell>
          <cell r="D104" t="str">
            <v>Baranquilla</v>
          </cell>
          <cell r="E104" t="str">
            <v>Calle 77 #6e-71 apto</v>
          </cell>
          <cell r="F104" t="str">
            <v>Bajando por la clínica San ingnacio</v>
          </cell>
          <cell r="G104" t="str">
            <v>32650703</v>
          </cell>
          <cell r="H104" t="str">
            <v>3146551197</v>
          </cell>
          <cell r="I104" t="str">
            <v>Tratamiento</v>
          </cell>
          <cell r="K104" t="str">
            <v>SI</v>
          </cell>
          <cell r="L104" t="str">
            <v>SI</v>
          </cell>
          <cell r="M104" t="str">
            <v>Mara Isabel Hernandez Diaz</v>
          </cell>
        </row>
        <row r="105">
          <cell r="A105">
            <v>32665786</v>
          </cell>
          <cell r="B105">
            <v>104</v>
          </cell>
          <cell r="C105" t="str">
            <v xml:space="preserve">Héctor </v>
          </cell>
          <cell r="D105" t="str">
            <v>Baranquilla</v>
          </cell>
          <cell r="E105" t="str">
            <v>Calle 74 #6e-36</v>
          </cell>
          <cell r="F105" t="str">
            <v xml:space="preserve">A una cuadra de la tienda tres hermanos </v>
          </cell>
          <cell r="G105" t="str">
            <v>3146678360</v>
          </cell>
          <cell r="H105" t="str">
            <v>3002431133</v>
          </cell>
          <cell r="I105" t="str">
            <v>Tratamiento</v>
          </cell>
          <cell r="J105" t="str">
            <v>ALIS MARGOT ES JEFE DE HOGAR</v>
          </cell>
          <cell r="K105" t="str">
            <v>SI</v>
          </cell>
          <cell r="L105" t="str">
            <v>SI</v>
          </cell>
          <cell r="M105" t="str">
            <v>Alis Margoth Sarmiento Ramos</v>
          </cell>
        </row>
        <row r="106">
          <cell r="A106">
            <v>32673448</v>
          </cell>
          <cell r="B106">
            <v>105</v>
          </cell>
          <cell r="C106" t="str">
            <v>María mercedes</v>
          </cell>
          <cell r="D106" t="str">
            <v>Baranquilla</v>
          </cell>
          <cell r="E106" t="str">
            <v>Cll 87 # 9-06</v>
          </cell>
          <cell r="F106" t="str">
            <v>Casa verde de esquina, después de la carcel</v>
          </cell>
          <cell r="G106" t="str">
            <v>3105295934</v>
          </cell>
          <cell r="H106" t="str">
            <v>3135783313</v>
          </cell>
          <cell r="I106" t="str">
            <v>Tratamiento</v>
          </cell>
          <cell r="K106" t="str">
            <v>SI</v>
          </cell>
          <cell r="L106" t="str">
            <v>SI</v>
          </cell>
          <cell r="M106" t="str">
            <v>Maria Mercedes Guzman Prado</v>
          </cell>
        </row>
        <row r="107">
          <cell r="A107">
            <v>32674359</v>
          </cell>
          <cell r="B107">
            <v>106</v>
          </cell>
          <cell r="C107" t="str">
            <v>Rogelio daniel</v>
          </cell>
          <cell r="D107" t="str">
            <v>Baranquilla</v>
          </cell>
          <cell r="E107" t="str">
            <v>Cr 8g # 93- 187</v>
          </cell>
          <cell r="F107" t="str">
            <v xml:space="preserve">Cerca de mr tiburón </v>
          </cell>
          <cell r="G107" t="str">
            <v>3148965066</v>
          </cell>
          <cell r="H107" t="str">
            <v>3006877851</v>
          </cell>
          <cell r="I107" t="str">
            <v>Tratamiento</v>
          </cell>
          <cell r="K107" t="str">
            <v>SI</v>
          </cell>
          <cell r="L107" t="str">
            <v>SI</v>
          </cell>
          <cell r="M107" t="str">
            <v>Irene Sanjuan Castro</v>
          </cell>
        </row>
        <row r="108">
          <cell r="A108">
            <v>32674864</v>
          </cell>
          <cell r="B108">
            <v>107</v>
          </cell>
          <cell r="C108" t="str">
            <v xml:space="preserve">Ana María </v>
          </cell>
          <cell r="D108" t="str">
            <v>Baranquilla</v>
          </cell>
          <cell r="E108" t="str">
            <v>Calle63a#9k25</v>
          </cell>
          <cell r="F108" t="str">
            <v>Bajando por billares el perro</v>
          </cell>
          <cell r="G108" t="str">
            <v>3013983100</v>
          </cell>
          <cell r="H108" t="str">
            <v>3153836291</v>
          </cell>
          <cell r="I108" t="str">
            <v>Tratamiento</v>
          </cell>
          <cell r="K108" t="str">
            <v>SI</v>
          </cell>
          <cell r="L108" t="str">
            <v>SI</v>
          </cell>
          <cell r="M108" t="str">
            <v>Ana María Oliveros De Cantillo</v>
          </cell>
        </row>
        <row r="109">
          <cell r="A109">
            <v>32682939</v>
          </cell>
          <cell r="B109">
            <v>108</v>
          </cell>
          <cell r="C109" t="str">
            <v>Maribel</v>
          </cell>
          <cell r="D109" t="str">
            <v>Baranquilla</v>
          </cell>
          <cell r="E109" t="str">
            <v>Kra 7h #77-39</v>
          </cell>
          <cell r="F109" t="str">
            <v>La parte de atrás de la carcel</v>
          </cell>
          <cell r="G109" t="str">
            <v>3244324193</v>
          </cell>
          <cell r="H109" t="str">
            <v>3017781809</v>
          </cell>
          <cell r="I109" t="str">
            <v>Tratamiento</v>
          </cell>
          <cell r="K109" t="str">
            <v>SI</v>
          </cell>
          <cell r="L109" t="str">
            <v>SI</v>
          </cell>
          <cell r="M109" t="str">
            <v>Maribel De Los Santos Castro Esparragoza</v>
          </cell>
        </row>
        <row r="110">
          <cell r="A110">
            <v>32688218</v>
          </cell>
          <cell r="B110">
            <v>109</v>
          </cell>
          <cell r="C110" t="str">
            <v>Luz helena</v>
          </cell>
          <cell r="D110" t="str">
            <v>Baranquilla</v>
          </cell>
          <cell r="E110" t="str">
            <v>Cr8g#60b63</v>
          </cell>
          <cell r="F110" t="str">
            <v>Billares el platanera</v>
          </cell>
          <cell r="G110" t="str">
            <v>3017189350</v>
          </cell>
          <cell r="H110" t="str">
            <v>3004172250</v>
          </cell>
          <cell r="I110" t="str">
            <v>Tratamiento</v>
          </cell>
          <cell r="K110" t="str">
            <v>SI</v>
          </cell>
          <cell r="L110" t="str">
            <v>SI</v>
          </cell>
          <cell r="M110" t="str">
            <v>Luz Elena Ruiz Gonzales</v>
          </cell>
        </row>
        <row r="111">
          <cell r="A111">
            <v>32688521</v>
          </cell>
          <cell r="B111">
            <v>110</v>
          </cell>
          <cell r="C111" t="str">
            <v>Juana</v>
          </cell>
          <cell r="D111" t="str">
            <v>Baranquilla</v>
          </cell>
          <cell r="E111" t="str">
            <v>Calle 88 #7e-100</v>
          </cell>
          <cell r="F111" t="str">
            <v xml:space="preserve">Tienda San Benito </v>
          </cell>
          <cell r="G111" t="str">
            <v>0</v>
          </cell>
          <cell r="H111" t="str">
            <v>3022926689</v>
          </cell>
          <cell r="I111" t="str">
            <v>Tratamiento</v>
          </cell>
          <cell r="K111" t="str">
            <v>SI</v>
          </cell>
          <cell r="L111" t="str">
            <v>SI</v>
          </cell>
          <cell r="M111" t="str">
            <v>Juana Bautista Orozco Ortega</v>
          </cell>
        </row>
        <row r="112">
          <cell r="A112">
            <v>32690815</v>
          </cell>
          <cell r="B112">
            <v>111</v>
          </cell>
          <cell r="C112" t="str">
            <v xml:space="preserve">Sol teresa </v>
          </cell>
          <cell r="D112" t="str">
            <v>Baranquilla</v>
          </cell>
          <cell r="E112" t="str">
            <v>Calle65c#9k-181</v>
          </cell>
          <cell r="F112" t="str">
            <v>Billares el papi</v>
          </cell>
          <cell r="G112" t="str">
            <v>3042265421</v>
          </cell>
          <cell r="H112" t="str">
            <v>3004980098</v>
          </cell>
          <cell r="I112" t="str">
            <v>Tratamiento</v>
          </cell>
          <cell r="K112" t="str">
            <v>SI</v>
          </cell>
          <cell r="L112" t="str">
            <v>SI</v>
          </cell>
          <cell r="M112" t="str">
            <v>Sol Teresa Ortega Aguilar</v>
          </cell>
        </row>
        <row r="113">
          <cell r="A113">
            <v>32694200</v>
          </cell>
          <cell r="B113">
            <v>112</v>
          </cell>
          <cell r="C113" t="str">
            <v>Lía esther</v>
          </cell>
          <cell r="D113" t="str">
            <v>Baranquilla</v>
          </cell>
          <cell r="E113" t="str">
            <v>Cr 6e # 73c 20</v>
          </cell>
          <cell r="F113" t="str">
            <v>Alado de un taller de soldadura</v>
          </cell>
          <cell r="G113" t="str">
            <v>3117580877</v>
          </cell>
          <cell r="H113" t="str">
            <v>3117580877</v>
          </cell>
          <cell r="I113" t="str">
            <v>Tratamiento</v>
          </cell>
          <cell r="K113" t="str">
            <v>SI</v>
          </cell>
          <cell r="L113" t="str">
            <v>SI</v>
          </cell>
          <cell r="M113" t="str">
            <v>Lia Esther De La Torre Araujo</v>
          </cell>
        </row>
        <row r="114">
          <cell r="A114">
            <v>32707038</v>
          </cell>
          <cell r="B114">
            <v>113</v>
          </cell>
          <cell r="C114" t="str">
            <v>Vilma isabel</v>
          </cell>
          <cell r="D114" t="str">
            <v>Baranquilla</v>
          </cell>
          <cell r="E114" t="str">
            <v>Cr 9 # 87- 35</v>
          </cell>
          <cell r="F114" t="str">
            <v>Casa alta, frente de una casa amarilla</v>
          </cell>
          <cell r="G114" t="str">
            <v>3005066545</v>
          </cell>
          <cell r="H114" t="str">
            <v>3132682819</v>
          </cell>
          <cell r="I114" t="str">
            <v>Tratamiento</v>
          </cell>
          <cell r="K114" t="str">
            <v>SI</v>
          </cell>
          <cell r="L114" t="str">
            <v>SI</v>
          </cell>
          <cell r="M114" t="str">
            <v>Vilma Isabel Diaz Ortega</v>
          </cell>
        </row>
        <row r="115">
          <cell r="A115">
            <v>32708738</v>
          </cell>
          <cell r="B115">
            <v>114</v>
          </cell>
          <cell r="C115" t="str">
            <v>Miladys esther</v>
          </cell>
          <cell r="D115" t="str">
            <v>Baranquilla</v>
          </cell>
          <cell r="E115" t="str">
            <v>Diagonal 64b 9J1 13</v>
          </cell>
          <cell r="F115" t="str">
            <v>Diagonal al hospital del bosque</v>
          </cell>
          <cell r="G115" t="str">
            <v>3005938494</v>
          </cell>
          <cell r="H115" t="str">
            <v>3016426435</v>
          </cell>
          <cell r="I115" t="str">
            <v>Tratamiento</v>
          </cell>
          <cell r="K115" t="str">
            <v>SI</v>
          </cell>
          <cell r="L115" t="str">
            <v>SI</v>
          </cell>
          <cell r="M115" t="str">
            <v>Miladis Esther Better Gutierrez</v>
          </cell>
        </row>
        <row r="116">
          <cell r="A116">
            <v>32709507</v>
          </cell>
          <cell r="B116">
            <v>115</v>
          </cell>
          <cell r="C116" t="str">
            <v xml:space="preserve">GLORIA ESTHER </v>
          </cell>
          <cell r="D116" t="str">
            <v>Baranquilla</v>
          </cell>
          <cell r="E116" t="str">
            <v>Carrera 8C 74 32</v>
          </cell>
          <cell r="F116" t="str">
            <v>Frente la tienda Juniorista</v>
          </cell>
          <cell r="G116" t="str">
            <v>3242463910</v>
          </cell>
          <cell r="H116" t="str">
            <v>3216471526</v>
          </cell>
          <cell r="I116" t="str">
            <v>Tratamiento</v>
          </cell>
          <cell r="K116" t="str">
            <v>SI</v>
          </cell>
          <cell r="L116" t="str">
            <v>SI</v>
          </cell>
          <cell r="M116" t="str">
            <v>Gloria Ester Laguna Marriaga</v>
          </cell>
        </row>
        <row r="117">
          <cell r="A117">
            <v>32710701</v>
          </cell>
          <cell r="B117">
            <v>116</v>
          </cell>
          <cell r="C117" t="str">
            <v xml:space="preserve">Carmen María </v>
          </cell>
          <cell r="D117" t="str">
            <v>Baranquilla</v>
          </cell>
          <cell r="E117" t="str">
            <v>Cr8c#73c-101</v>
          </cell>
          <cell r="F117" t="str">
            <v xml:space="preserve">El cai zona de la cárcel </v>
          </cell>
          <cell r="G117" t="str">
            <v>3205488193</v>
          </cell>
          <cell r="H117" t="str">
            <v>3123093463</v>
          </cell>
          <cell r="I117" t="str">
            <v>Tratamiento</v>
          </cell>
          <cell r="K117" t="str">
            <v>SI</v>
          </cell>
          <cell r="L117" t="str">
            <v>SI</v>
          </cell>
          <cell r="M117" t="str">
            <v>Carmen Maria Redondo Sandoval</v>
          </cell>
        </row>
        <row r="118">
          <cell r="A118">
            <v>32712481</v>
          </cell>
          <cell r="B118">
            <v>117</v>
          </cell>
          <cell r="C118" t="str">
            <v xml:space="preserve">JUDITH CECILIA </v>
          </cell>
          <cell r="D118" t="str">
            <v>Baranquilla</v>
          </cell>
          <cell r="E118" t="str">
            <v>DG 64A 9 90</v>
          </cell>
          <cell r="F118" t="str">
            <v xml:space="preserve">Detrás de casa de la cultura </v>
          </cell>
          <cell r="G118" t="str">
            <v>3187036843</v>
          </cell>
          <cell r="H118" t="str">
            <v>3244282810</v>
          </cell>
          <cell r="I118" t="str">
            <v>Tratamiento</v>
          </cell>
          <cell r="K118" t="str">
            <v>SI</v>
          </cell>
          <cell r="L118" t="str">
            <v>SI</v>
          </cell>
          <cell r="M118" t="str">
            <v>Judith Cecilia Rodriguez Escobar</v>
          </cell>
        </row>
        <row r="119">
          <cell r="A119">
            <v>32716378</v>
          </cell>
          <cell r="B119">
            <v>118</v>
          </cell>
          <cell r="C119" t="str">
            <v>Enilda</v>
          </cell>
          <cell r="D119" t="str">
            <v>Baranquilla</v>
          </cell>
          <cell r="E119" t="str">
            <v>Calle 73 c#7-54</v>
          </cell>
          <cell r="F119" t="str">
            <v>Carpinteria ojitos</v>
          </cell>
          <cell r="G119" t="str">
            <v>3136388637</v>
          </cell>
          <cell r="H119" t="str">
            <v>3196996958</v>
          </cell>
          <cell r="I119" t="str">
            <v>Tratamiento</v>
          </cell>
          <cell r="K119" t="str">
            <v>SI</v>
          </cell>
          <cell r="L119" t="str">
            <v>SI</v>
          </cell>
          <cell r="M119" t="str">
            <v>Enilda Isabel Manga Altamar</v>
          </cell>
        </row>
        <row r="120">
          <cell r="A120">
            <v>32717266</v>
          </cell>
          <cell r="B120">
            <v>119</v>
          </cell>
          <cell r="C120" t="str">
            <v xml:space="preserve">Dorelis patricia </v>
          </cell>
          <cell r="D120" t="str">
            <v>Baranquilla</v>
          </cell>
          <cell r="E120" t="str">
            <v>Cll 63a # 9 37 apto 1</v>
          </cell>
          <cell r="F120" t="str">
            <v>Subiendo por mercaditos la 9</v>
          </cell>
          <cell r="G120" t="str">
            <v>3003993671</v>
          </cell>
          <cell r="H120" t="str">
            <v>3043414347</v>
          </cell>
          <cell r="I120" t="str">
            <v>Tratamiento</v>
          </cell>
          <cell r="J120"/>
          <cell r="K120" t="str">
            <v>SI</v>
          </cell>
          <cell r="L120" t="str">
            <v>SI</v>
          </cell>
          <cell r="M120" t="str">
            <v xml:space="preserve">SI </v>
          </cell>
        </row>
        <row r="121">
          <cell r="A121">
            <v>32727855</v>
          </cell>
          <cell r="B121">
            <v>120</v>
          </cell>
          <cell r="C121" t="str">
            <v xml:space="preserve">YUDIS ISABEL </v>
          </cell>
          <cell r="D121" t="str">
            <v>Baranquilla</v>
          </cell>
          <cell r="E121" t="str">
            <v>KR 8G 94 38 apto 1</v>
          </cell>
          <cell r="F121" t="str">
            <v xml:space="preserve">Frente a Mr TIBURÓN </v>
          </cell>
          <cell r="G121" t="str">
            <v>3022686266</v>
          </cell>
          <cell r="H121" t="str">
            <v>3185446030</v>
          </cell>
          <cell r="I121" t="str">
            <v>Tratamiento</v>
          </cell>
          <cell r="K121" t="str">
            <v>SI</v>
          </cell>
          <cell r="L121" t="str">
            <v>SI</v>
          </cell>
          <cell r="M121" t="str">
            <v>Yudys Isabel Mendoza Montero</v>
          </cell>
        </row>
        <row r="122">
          <cell r="A122">
            <v>32733938</v>
          </cell>
          <cell r="B122">
            <v>121</v>
          </cell>
          <cell r="C122" t="str">
            <v xml:space="preserve">Teresa </v>
          </cell>
          <cell r="D122" t="str">
            <v>Baranquilla</v>
          </cell>
          <cell r="E122" t="str">
            <v>Kra 9 #60-66</v>
          </cell>
          <cell r="F122" t="str">
            <v>Al frente de la tienda los recuerdos de elsa</v>
          </cell>
          <cell r="G122" t="str">
            <v>3218390390</v>
          </cell>
          <cell r="H122" t="str">
            <v>3218738189</v>
          </cell>
          <cell r="I122" t="str">
            <v>Tratamiento</v>
          </cell>
          <cell r="K122" t="str">
            <v>SI</v>
          </cell>
          <cell r="L122" t="str">
            <v>SI</v>
          </cell>
          <cell r="M122" t="str">
            <v>Teresa Rosa Martinez Cárdenas</v>
          </cell>
        </row>
        <row r="123">
          <cell r="A123">
            <v>32734044</v>
          </cell>
          <cell r="B123">
            <v>122</v>
          </cell>
          <cell r="C123" t="str">
            <v>Elsa Regina</v>
          </cell>
          <cell r="D123" t="str">
            <v>Baranquilla</v>
          </cell>
          <cell r="E123" t="str">
            <v>Cr9#60-78</v>
          </cell>
          <cell r="F123" t="str">
            <v xml:space="preserve">La loma del peligro </v>
          </cell>
          <cell r="G123" t="str">
            <v>3042004586</v>
          </cell>
          <cell r="H123" t="str">
            <v>3042250675</v>
          </cell>
          <cell r="I123" t="str">
            <v>Tratamiento</v>
          </cell>
          <cell r="K123" t="str">
            <v>SI</v>
          </cell>
          <cell r="L123" t="str">
            <v>SI</v>
          </cell>
          <cell r="M123" t="str">
            <v>Elsa Regina Reales Pajaro</v>
          </cell>
        </row>
        <row r="124">
          <cell r="A124">
            <v>32736975</v>
          </cell>
          <cell r="B124">
            <v>123</v>
          </cell>
          <cell r="C124" t="str">
            <v>Nancy esther</v>
          </cell>
          <cell r="D124" t="str">
            <v>Baranquilla</v>
          </cell>
          <cell r="E124" t="str">
            <v>Cll 77 6e-101</v>
          </cell>
          <cell r="F124" t="str">
            <v>Frente de la tienda los girasoles</v>
          </cell>
          <cell r="G124" t="str">
            <v>3046046699</v>
          </cell>
          <cell r="H124" t="str">
            <v>3042631019</v>
          </cell>
          <cell r="I124" t="str">
            <v>Tratamiento</v>
          </cell>
          <cell r="K124" t="str">
            <v>SI</v>
          </cell>
          <cell r="L124" t="str">
            <v>SI</v>
          </cell>
          <cell r="M124" t="str">
            <v xml:space="preserve">SI </v>
          </cell>
        </row>
        <row r="125">
          <cell r="A125">
            <v>32740221</v>
          </cell>
          <cell r="B125">
            <v>124</v>
          </cell>
          <cell r="C125" t="str">
            <v>Ofelia</v>
          </cell>
          <cell r="D125" t="str">
            <v>Baranquilla</v>
          </cell>
          <cell r="E125" t="str">
            <v>Cr8g#60b89</v>
          </cell>
          <cell r="F125" t="str">
            <v>Billares la platanera</v>
          </cell>
          <cell r="G125" t="str">
            <v>3235339925</v>
          </cell>
          <cell r="H125" t="str">
            <v>3244512519</v>
          </cell>
          <cell r="I125" t="str">
            <v>Tratamiento</v>
          </cell>
          <cell r="K125" t="str">
            <v>SI</v>
          </cell>
          <cell r="L125" t="str">
            <v>SI</v>
          </cell>
          <cell r="M125" t="str">
            <v>Ofelia Guerrero Torres</v>
          </cell>
        </row>
        <row r="126">
          <cell r="A126">
            <v>32740999</v>
          </cell>
          <cell r="B126">
            <v>125</v>
          </cell>
          <cell r="C126" t="str">
            <v>Mara judith</v>
          </cell>
          <cell r="D126" t="str">
            <v>Baranquilla</v>
          </cell>
          <cell r="E126" t="str">
            <v>Diag 64b9j05</v>
          </cell>
          <cell r="F126" t="str">
            <v>Frente al camino del bosque María</v>
          </cell>
          <cell r="G126" t="str">
            <v>3002594926</v>
          </cell>
          <cell r="H126" t="str">
            <v>3242355015</v>
          </cell>
          <cell r="I126" t="str">
            <v>Tratamiento</v>
          </cell>
          <cell r="K126" t="str">
            <v>SI</v>
          </cell>
          <cell r="L126" t="str">
            <v>SI</v>
          </cell>
          <cell r="M126" t="str">
            <v>Mara Judith Ahumada Lopez</v>
          </cell>
        </row>
        <row r="127">
          <cell r="A127">
            <v>32741994</v>
          </cell>
          <cell r="B127">
            <v>126</v>
          </cell>
          <cell r="C127" t="str">
            <v>Manuela ester</v>
          </cell>
          <cell r="D127" t="str">
            <v>Baranquilla</v>
          </cell>
          <cell r="E127" t="str">
            <v>Cr7e#7320</v>
          </cell>
          <cell r="F127" t="str">
            <v xml:space="preserve">Iglesia pio </v>
          </cell>
          <cell r="G127" t="str">
            <v>3012528443</v>
          </cell>
          <cell r="H127" t="str">
            <v>3044291097</v>
          </cell>
          <cell r="I127" t="str">
            <v>Tratamiento</v>
          </cell>
          <cell r="K127" t="str">
            <v>SI</v>
          </cell>
          <cell r="L127" t="str">
            <v>SI</v>
          </cell>
          <cell r="M127" t="str">
            <v>Manuela Ester Blanco De La Rosa</v>
          </cell>
        </row>
        <row r="128">
          <cell r="A128">
            <v>32744428</v>
          </cell>
          <cell r="B128">
            <v>127</v>
          </cell>
          <cell r="C128" t="str">
            <v xml:space="preserve">Ingrid enid </v>
          </cell>
          <cell r="D128" t="str">
            <v>Baranquilla</v>
          </cell>
          <cell r="E128" t="str">
            <v>Kr7c#77-16</v>
          </cell>
          <cell r="F128" t="str">
            <v>Tienda las mañanitas</v>
          </cell>
          <cell r="G128" t="str">
            <v>3017241442</v>
          </cell>
          <cell r="H128" t="str">
            <v>3233111231</v>
          </cell>
          <cell r="I128" t="str">
            <v>Tratamiento</v>
          </cell>
          <cell r="K128" t="str">
            <v>SI</v>
          </cell>
          <cell r="L128" t="str">
            <v>SI</v>
          </cell>
          <cell r="M128" t="str">
            <v>INGRIS ENID RODRIGUEZ MARTINEZ</v>
          </cell>
        </row>
        <row r="129">
          <cell r="A129">
            <v>32752555</v>
          </cell>
          <cell r="B129">
            <v>128</v>
          </cell>
          <cell r="C129" t="str">
            <v xml:space="preserve">ENEDITH DEL CARMEN </v>
          </cell>
          <cell r="D129" t="str">
            <v>Baranquilla</v>
          </cell>
          <cell r="E129" t="str">
            <v>KR 9 58 26</v>
          </cell>
          <cell r="F129" t="str">
            <v xml:space="preserve">Loma el Peligro </v>
          </cell>
          <cell r="G129" t="str">
            <v>3014661702</v>
          </cell>
          <cell r="H129" t="str">
            <v/>
          </cell>
          <cell r="I129" t="str">
            <v>Tratamiento</v>
          </cell>
          <cell r="J129" t="str">
            <v>Baranquilla</v>
          </cell>
          <cell r="K129" t="str">
            <v>SI</v>
          </cell>
          <cell r="L129" t="str">
            <v>SI</v>
          </cell>
          <cell r="M129" t="str">
            <v>ENEDITH DEL ORTEGA ZUÑIGA</v>
          </cell>
        </row>
        <row r="130">
          <cell r="A130">
            <v>32764598</v>
          </cell>
          <cell r="B130">
            <v>129</v>
          </cell>
          <cell r="C130" t="str">
            <v>Dalys</v>
          </cell>
          <cell r="D130" t="str">
            <v>Baranquilla</v>
          </cell>
          <cell r="E130" t="str">
            <v>Calle 61 #9-62</v>
          </cell>
          <cell r="F130" t="str">
            <v xml:space="preserve">Por la y del bosque </v>
          </cell>
          <cell r="G130" t="str">
            <v>3004186179,</v>
          </cell>
          <cell r="H130" t="str">
            <v>3045593855</v>
          </cell>
          <cell r="I130" t="str">
            <v>Tratamiento</v>
          </cell>
          <cell r="K130" t="str">
            <v>SI</v>
          </cell>
          <cell r="L130" t="str">
            <v>SI</v>
          </cell>
          <cell r="M130" t="str">
            <v>Dalys Esther Muñoz Torres</v>
          </cell>
        </row>
        <row r="131">
          <cell r="A131">
            <v>32772911</v>
          </cell>
          <cell r="B131">
            <v>130</v>
          </cell>
          <cell r="C131" t="str">
            <v>Patricia yanet</v>
          </cell>
          <cell r="D131" t="str">
            <v>Baranquilla</v>
          </cell>
          <cell r="E131" t="str">
            <v>Cr9#58-34</v>
          </cell>
          <cell r="F131" t="str">
            <v xml:space="preserve">La loma del peligro </v>
          </cell>
          <cell r="G131" t="str">
            <v>3045478656</v>
          </cell>
          <cell r="H131" t="str">
            <v>3007268894</v>
          </cell>
          <cell r="I131" t="str">
            <v>Tratamiento</v>
          </cell>
          <cell r="K131" t="str">
            <v>SI</v>
          </cell>
          <cell r="L131" t="str">
            <v>SI</v>
          </cell>
          <cell r="M131" t="str">
            <v>Patricia Yaneth Rojas Gutierrez</v>
          </cell>
        </row>
        <row r="132">
          <cell r="A132">
            <v>32778590</v>
          </cell>
          <cell r="B132">
            <v>131</v>
          </cell>
          <cell r="C132" t="str">
            <v xml:space="preserve">Piedad 
</v>
          </cell>
          <cell r="D132" t="str">
            <v>Baranquilla</v>
          </cell>
          <cell r="E132" t="str">
            <v>Carrera 8c#93-57 apartamento 1</v>
          </cell>
          <cell r="F132" t="str">
            <v xml:space="preserve">Casa amarilla frente al colegio </v>
          </cell>
          <cell r="G132" t="str">
            <v>3004783361</v>
          </cell>
          <cell r="H132" t="str">
            <v>3027293679</v>
          </cell>
          <cell r="I132" t="str">
            <v>Tratamiento</v>
          </cell>
          <cell r="K132" t="str">
            <v>SI</v>
          </cell>
          <cell r="L132" t="str">
            <v>SI</v>
          </cell>
          <cell r="M132" t="str">
            <v>Piedad Isabel Escorcia Barros</v>
          </cell>
        </row>
        <row r="133">
          <cell r="A133">
            <v>32779874</v>
          </cell>
          <cell r="B133">
            <v>132</v>
          </cell>
          <cell r="C133" t="str">
            <v>Eufemia</v>
          </cell>
          <cell r="D133" t="str">
            <v>Baranquilla</v>
          </cell>
          <cell r="E133" t="str">
            <v>Kra 9 #72a-68 apto1</v>
          </cell>
          <cell r="F133" t="str">
            <v>A 3 cuadras del tintan</v>
          </cell>
          <cell r="G133" t="str">
            <v>3005255412</v>
          </cell>
          <cell r="H133" t="str">
            <v>3225119413</v>
          </cell>
          <cell r="I133" t="str">
            <v>Tratamiento</v>
          </cell>
          <cell r="K133" t="str">
            <v>SI</v>
          </cell>
          <cell r="L133" t="str">
            <v>SI</v>
          </cell>
          <cell r="M133" t="str">
            <v>Eufemia Hernandez Saenz</v>
          </cell>
        </row>
        <row r="134">
          <cell r="A134">
            <v>32783129</v>
          </cell>
          <cell r="B134">
            <v>133</v>
          </cell>
          <cell r="C134" t="str">
            <v>GALINA ISABEL</v>
          </cell>
          <cell r="D134" t="str">
            <v>Baranquilla</v>
          </cell>
          <cell r="E134" t="str">
            <v>Dg 65 9K 58</v>
          </cell>
          <cell r="F134" t="str">
            <v>Casa con palmeras frente a casa</v>
          </cell>
          <cell r="G134" t="str">
            <v>3022953937</v>
          </cell>
          <cell r="H134" t="str">
            <v>3126849727</v>
          </cell>
          <cell r="I134" t="str">
            <v>Tratamiento</v>
          </cell>
          <cell r="J134" t="str">
            <v>Baranquilla</v>
          </cell>
          <cell r="K134" t="str">
            <v>SI</v>
          </cell>
          <cell r="L134" t="str">
            <v>SI</v>
          </cell>
          <cell r="M134" t="str">
            <v>Galina Isabel mendoza Alemán</v>
          </cell>
        </row>
        <row r="135">
          <cell r="A135">
            <v>32783797</v>
          </cell>
          <cell r="B135">
            <v>134</v>
          </cell>
          <cell r="C135" t="str">
            <v xml:space="preserve">Yolanda </v>
          </cell>
          <cell r="D135" t="str">
            <v>Baranquilla</v>
          </cell>
          <cell r="E135" t="str">
            <v>Kra 8g #87-40</v>
          </cell>
          <cell r="F135" t="str">
            <v xml:space="preserve">Por la  tienda la carretera </v>
          </cell>
          <cell r="G135" t="str">
            <v>3044596837</v>
          </cell>
          <cell r="H135" t="str">
            <v>3001302802</v>
          </cell>
          <cell r="I135" t="str">
            <v>Tratamiento</v>
          </cell>
          <cell r="K135" t="str">
            <v>SI</v>
          </cell>
          <cell r="L135" t="str">
            <v>SI</v>
          </cell>
          <cell r="M135" t="str">
            <v>Yolanda Maria Orozco Murillo</v>
          </cell>
        </row>
        <row r="136">
          <cell r="A136">
            <v>32785097</v>
          </cell>
          <cell r="B136">
            <v>135</v>
          </cell>
          <cell r="C136" t="str">
            <v>Virina</v>
          </cell>
          <cell r="D136" t="str">
            <v>Baranquilla</v>
          </cell>
          <cell r="E136" t="str">
            <v>Cr8g#60b140</v>
          </cell>
          <cell r="F136" t="str">
            <v/>
          </cell>
          <cell r="G136" t="str">
            <v>300456977</v>
          </cell>
          <cell r="H136" t="str">
            <v>3022380386</v>
          </cell>
          <cell r="I136" t="str">
            <v>Tratamiento</v>
          </cell>
          <cell r="K136" t="str">
            <v>SI</v>
          </cell>
          <cell r="L136" t="str">
            <v>SI</v>
          </cell>
          <cell r="M136" t="str">
            <v>Virina Del Carmen Rocha Camacho</v>
          </cell>
        </row>
        <row r="137">
          <cell r="A137">
            <v>32790051</v>
          </cell>
          <cell r="B137">
            <v>136</v>
          </cell>
          <cell r="C137" t="str">
            <v>Doris</v>
          </cell>
          <cell r="D137" t="str">
            <v>Baranquilla</v>
          </cell>
          <cell r="E137" t="str">
            <v>Calle 77#7B-59</v>
          </cell>
          <cell r="F137" t="str">
            <v>Apartamento 1, color blanco, frente de casa verde</v>
          </cell>
          <cell r="G137" t="str">
            <v>3007037012</v>
          </cell>
          <cell r="H137" t="str">
            <v>3042356495</v>
          </cell>
          <cell r="I137" t="str">
            <v>Tratamiento</v>
          </cell>
          <cell r="J137" t="str">
            <v>Baranquilla</v>
          </cell>
          <cell r="K137" t="str">
            <v>SI</v>
          </cell>
          <cell r="L137" t="str">
            <v>SI</v>
          </cell>
          <cell r="M137" t="str">
            <v>Doris Marina Barrios Polo</v>
          </cell>
        </row>
        <row r="138">
          <cell r="A138">
            <v>32796944</v>
          </cell>
          <cell r="B138">
            <v>137</v>
          </cell>
          <cell r="C138" t="str">
            <v>Gilama rosa</v>
          </cell>
          <cell r="D138" t="str">
            <v>Baranquilla</v>
          </cell>
          <cell r="E138" t="str">
            <v>Kra 8c #73d-26</v>
          </cell>
          <cell r="F138" t="str">
            <v xml:space="preserve">Dos cuadra del parque San pio </v>
          </cell>
          <cell r="G138" t="str">
            <v>3008249098</v>
          </cell>
          <cell r="H138" t="str">
            <v>3052280810</v>
          </cell>
          <cell r="I138" t="str">
            <v>Tratamiento</v>
          </cell>
          <cell r="K138" t="str">
            <v>SI</v>
          </cell>
          <cell r="L138" t="str">
            <v>SI</v>
          </cell>
          <cell r="M138" t="str">
            <v>Gilma Rosa Torres Santiago</v>
          </cell>
        </row>
        <row r="139">
          <cell r="A139">
            <v>32797627</v>
          </cell>
          <cell r="B139">
            <v>138</v>
          </cell>
          <cell r="C139" t="str">
            <v>Nelci</v>
          </cell>
          <cell r="D139" t="str">
            <v>Baranquilla</v>
          </cell>
          <cell r="E139" t="str">
            <v>Carrera 7D #76-48</v>
          </cell>
          <cell r="F139" t="str">
            <v>Frente a una guardería casa blsnca</v>
          </cell>
          <cell r="G139" t="str">
            <v>3246530407</v>
          </cell>
          <cell r="H139" t="str">
            <v>3015809806</v>
          </cell>
          <cell r="I139" t="str">
            <v>Tratamiento</v>
          </cell>
          <cell r="K139" t="str">
            <v>SI</v>
          </cell>
          <cell r="L139" t="str">
            <v>SI</v>
          </cell>
          <cell r="M139" t="str">
            <v>Nelsi Beatriz Gonzalez Suarez</v>
          </cell>
        </row>
        <row r="140">
          <cell r="A140">
            <v>32800662</v>
          </cell>
          <cell r="B140">
            <v>139</v>
          </cell>
          <cell r="C140" t="str">
            <v xml:space="preserve">Luisa </v>
          </cell>
          <cell r="D140" t="str">
            <v>Baranquilla</v>
          </cell>
          <cell r="E140" t="str">
            <v>Cll72a # 8a 36</v>
          </cell>
          <cell r="F140" t="str">
            <v>Bajando una loma cerca del arroyo</v>
          </cell>
          <cell r="G140" t="str">
            <v/>
          </cell>
          <cell r="H140" t="str">
            <v>3117625266</v>
          </cell>
          <cell r="I140" t="str">
            <v>Tratamiento</v>
          </cell>
          <cell r="K140" t="str">
            <v>SI</v>
          </cell>
          <cell r="L140" t="str">
            <v>SI</v>
          </cell>
          <cell r="M140" t="str">
            <v>LUISA BASTIDAS ROMERO</v>
          </cell>
        </row>
        <row r="141">
          <cell r="A141">
            <v>32802610</v>
          </cell>
          <cell r="B141">
            <v>140</v>
          </cell>
          <cell r="C141" t="str">
            <v>Tulia</v>
          </cell>
          <cell r="D141" t="str">
            <v>Baranquilla</v>
          </cell>
          <cell r="E141" t="str">
            <v>Kra 8g #87-20 apto1</v>
          </cell>
          <cell r="F141" t="str">
            <v xml:space="preserve">Tienda la carretera </v>
          </cell>
          <cell r="G141" t="str">
            <v>3042391354</v>
          </cell>
          <cell r="H141" t="str">
            <v>3014122468</v>
          </cell>
          <cell r="I141" t="str">
            <v>Tratamiento</v>
          </cell>
          <cell r="K141" t="str">
            <v>SI</v>
          </cell>
          <cell r="L141" t="str">
            <v>SI</v>
          </cell>
          <cell r="M141" t="str">
            <v>Tulia Ines Pardo Diaz</v>
          </cell>
        </row>
        <row r="142">
          <cell r="A142">
            <v>32803448</v>
          </cell>
          <cell r="B142">
            <v>141</v>
          </cell>
          <cell r="C142" t="str">
            <v>CAROLINA ESTHER</v>
          </cell>
          <cell r="D142" t="str">
            <v>Baranquilla</v>
          </cell>
          <cell r="E142" t="str">
            <v>KR 8G 94 50 apto</v>
          </cell>
          <cell r="F142" t="str">
            <v>Cerca ferretería Torcoroma</v>
          </cell>
          <cell r="G142" t="str">
            <v>3014489717</v>
          </cell>
          <cell r="H142" t="str">
            <v>3234174711</v>
          </cell>
          <cell r="I142" t="str">
            <v>Tratamiento</v>
          </cell>
          <cell r="K142" t="str">
            <v>SI</v>
          </cell>
          <cell r="L142" t="str">
            <v>SI</v>
          </cell>
          <cell r="M142" t="str">
            <v>Carolina Esther Martinez Arevalo</v>
          </cell>
        </row>
        <row r="143">
          <cell r="A143">
            <v>32803484</v>
          </cell>
          <cell r="B143">
            <v>142</v>
          </cell>
          <cell r="C143" t="str">
            <v xml:space="preserve">Sonia Isabel </v>
          </cell>
          <cell r="D143" t="str">
            <v>Baranquilla</v>
          </cell>
          <cell r="E143" t="str">
            <v>Calle777c-44</v>
          </cell>
          <cell r="F143" t="str">
            <v/>
          </cell>
          <cell r="G143" t="str">
            <v>3042107244</v>
          </cell>
          <cell r="H143" t="str">
            <v>3024269517</v>
          </cell>
          <cell r="I143" t="str">
            <v>Tratamiento</v>
          </cell>
          <cell r="K143" t="str">
            <v>SI</v>
          </cell>
          <cell r="L143" t="str">
            <v>SI</v>
          </cell>
          <cell r="M143" t="str">
            <v>Sonia Isabel Martinez Santos</v>
          </cell>
        </row>
        <row r="144">
          <cell r="A144">
            <v>32810131</v>
          </cell>
          <cell r="B144">
            <v>143</v>
          </cell>
          <cell r="C144" t="str">
            <v>FIDELINA MARIA</v>
          </cell>
          <cell r="D144" t="str">
            <v>Baranquilla</v>
          </cell>
          <cell r="E144" t="str">
            <v xml:space="preserve">KR 6E 74 16 apto </v>
          </cell>
          <cell r="F144" t="str">
            <v xml:space="preserve">Detrás del Colegio Pies Descalzo </v>
          </cell>
          <cell r="G144" t="str">
            <v xml:space="preserve">No tiene </v>
          </cell>
          <cell r="H144" t="str">
            <v>3146678360</v>
          </cell>
          <cell r="I144" t="str">
            <v>Tratamiento</v>
          </cell>
          <cell r="K144" t="str">
            <v>SI</v>
          </cell>
          <cell r="L144" t="str">
            <v>SI</v>
          </cell>
          <cell r="M144" t="str">
            <v>Fidelina Maria Perez Barragán</v>
          </cell>
        </row>
        <row r="145">
          <cell r="A145">
            <v>32812129</v>
          </cell>
          <cell r="B145">
            <v>144</v>
          </cell>
          <cell r="C145" t="str">
            <v>DIANA ESTHER</v>
          </cell>
          <cell r="D145" t="str">
            <v>Baranquilla</v>
          </cell>
          <cell r="E145" t="str">
            <v>CL 71 7B 14</v>
          </cell>
          <cell r="F145" t="str">
            <v xml:space="preserve">Calle los Magníficos </v>
          </cell>
          <cell r="G145" t="str">
            <v/>
          </cell>
          <cell r="H145" t="str">
            <v>3170652356</v>
          </cell>
          <cell r="I145" t="str">
            <v>Tratamiento</v>
          </cell>
          <cell r="K145" t="str">
            <v>SI</v>
          </cell>
          <cell r="L145" t="str">
            <v>SI</v>
          </cell>
          <cell r="M145" t="str">
            <v>Diana Esther Escorcia Gonzalez</v>
          </cell>
        </row>
        <row r="146">
          <cell r="A146">
            <v>32812890</v>
          </cell>
          <cell r="B146">
            <v>145</v>
          </cell>
          <cell r="C146" t="str">
            <v>Rosalba</v>
          </cell>
          <cell r="D146" t="str">
            <v>Baranquilla</v>
          </cell>
          <cell r="E146" t="str">
            <v>Cra 7d # 75-27</v>
          </cell>
          <cell r="F146" t="str">
            <v>Cerca de la panadería ricuras del bosque</v>
          </cell>
          <cell r="G146" t="str">
            <v>3162794624</v>
          </cell>
          <cell r="H146" t="str">
            <v>3106166224</v>
          </cell>
          <cell r="I146" t="str">
            <v>Tratamiento</v>
          </cell>
          <cell r="K146" t="str">
            <v>SI</v>
          </cell>
          <cell r="L146" t="str">
            <v>SI</v>
          </cell>
          <cell r="M146" t="str">
            <v>Rosalba Florez Barreto</v>
          </cell>
        </row>
        <row r="147">
          <cell r="A147">
            <v>32840396</v>
          </cell>
          <cell r="B147">
            <v>146</v>
          </cell>
          <cell r="C147" t="str">
            <v xml:space="preserve">Ingrid Esther </v>
          </cell>
          <cell r="D147" t="str">
            <v>Baranquilla</v>
          </cell>
          <cell r="E147" t="str">
            <v>KR 8C 93 69</v>
          </cell>
          <cell r="F147" t="str">
            <v>Frente al Colegio Esperanza del Sur</v>
          </cell>
          <cell r="G147" t="str">
            <v>3023541288</v>
          </cell>
          <cell r="H147" t="str">
            <v>3027293679</v>
          </cell>
          <cell r="I147" t="str">
            <v>Tratamiento</v>
          </cell>
          <cell r="J147" t="str">
            <v>Baranquilla</v>
          </cell>
          <cell r="K147" t="str">
            <v>SI</v>
          </cell>
          <cell r="L147" t="str">
            <v>SI</v>
          </cell>
          <cell r="M147" t="str">
            <v>Ingris Esther Dita Caballero</v>
          </cell>
        </row>
        <row r="148">
          <cell r="A148">
            <v>32843980</v>
          </cell>
          <cell r="B148">
            <v>147</v>
          </cell>
          <cell r="C148" t="str">
            <v xml:space="preserve">Esperanza </v>
          </cell>
          <cell r="D148" t="str">
            <v>Baranquilla</v>
          </cell>
          <cell r="E148" t="str">
            <v>Cr8g#60b73</v>
          </cell>
          <cell r="F148" t="str">
            <v>Billares el platanera</v>
          </cell>
          <cell r="G148" t="str">
            <v>3022380386</v>
          </cell>
          <cell r="H148" t="str">
            <v>3006465485</v>
          </cell>
          <cell r="I148" t="str">
            <v>Tratamiento</v>
          </cell>
          <cell r="K148" t="str">
            <v>SI</v>
          </cell>
          <cell r="L148" t="str">
            <v>SI</v>
          </cell>
          <cell r="M148" t="str">
            <v>Esperanza Vanegas Ruiz</v>
          </cell>
        </row>
        <row r="149">
          <cell r="A149">
            <v>32850495</v>
          </cell>
          <cell r="B149">
            <v>148</v>
          </cell>
          <cell r="C149" t="str">
            <v>Elena</v>
          </cell>
          <cell r="D149" t="str">
            <v>Baranquilla</v>
          </cell>
          <cell r="E149" t="str">
            <v>Calle 80 #7e-47</v>
          </cell>
          <cell r="F149" t="str">
            <v>Frente de cárcel distrital del bosque</v>
          </cell>
          <cell r="G149" t="str">
            <v>3011084500</v>
          </cell>
          <cell r="H149" t="str">
            <v>3022990127</v>
          </cell>
          <cell r="I149" t="str">
            <v>Tratamiento</v>
          </cell>
          <cell r="K149" t="str">
            <v>SI</v>
          </cell>
          <cell r="L149" t="str">
            <v>SI</v>
          </cell>
          <cell r="M149" t="str">
            <v>Elena</v>
          </cell>
        </row>
        <row r="150">
          <cell r="A150">
            <v>32884029</v>
          </cell>
          <cell r="B150">
            <v>149</v>
          </cell>
          <cell r="C150" t="str">
            <v xml:space="preserve">MONICA PATRICIA </v>
          </cell>
          <cell r="D150" t="str">
            <v>Baranquilla</v>
          </cell>
          <cell r="E150" t="str">
            <v>DG 64 9K 07 Apartamento 1</v>
          </cell>
          <cell r="F150" t="str">
            <v>Frente a la tienda el Gran Punto de la 64</v>
          </cell>
          <cell r="G150" t="str">
            <v>3242797753</v>
          </cell>
          <cell r="H150" t="str">
            <v>3022504244</v>
          </cell>
          <cell r="I150" t="str">
            <v>Tratamiento</v>
          </cell>
          <cell r="K150" t="str">
            <v>SI</v>
          </cell>
          <cell r="L150" t="str">
            <v>SI</v>
          </cell>
          <cell r="M150" t="str">
            <v>Monica Patricia Garcia Imitola</v>
          </cell>
        </row>
        <row r="151">
          <cell r="A151">
            <v>32884556</v>
          </cell>
          <cell r="B151">
            <v>150</v>
          </cell>
          <cell r="C151" t="str">
            <v xml:space="preserve">Mabel Esther </v>
          </cell>
          <cell r="D151" t="str">
            <v>Baranquilla</v>
          </cell>
          <cell r="E151" t="str">
            <v>Cl 88 7 54</v>
          </cell>
          <cell r="F151" t="str">
            <v>Cerca a la tienda la Bendición de Dios</v>
          </cell>
          <cell r="G151" t="str">
            <v>3104403702</v>
          </cell>
          <cell r="H151" t="str">
            <v>3106941456</v>
          </cell>
          <cell r="I151" t="str">
            <v>Tratamiento</v>
          </cell>
          <cell r="K151" t="str">
            <v>SI</v>
          </cell>
          <cell r="L151" t="str">
            <v>SI</v>
          </cell>
          <cell r="M151" t="str">
            <v>Mabel Esther Pacheco Pantoja</v>
          </cell>
        </row>
        <row r="152">
          <cell r="A152">
            <v>32884723</v>
          </cell>
          <cell r="B152">
            <v>151</v>
          </cell>
          <cell r="C152" t="str">
            <v>Francia elena</v>
          </cell>
          <cell r="D152" t="str">
            <v>Baranquilla</v>
          </cell>
          <cell r="E152" t="str">
            <v>Cll 60e # 8a1 7</v>
          </cell>
          <cell r="F152" t="str">
            <v>En la esquina hay una carnicería</v>
          </cell>
          <cell r="G152" t="str">
            <v>3026350603</v>
          </cell>
          <cell r="H152" t="str">
            <v>3006197653</v>
          </cell>
          <cell r="I152" t="str">
            <v>Tratamiento</v>
          </cell>
          <cell r="K152" t="str">
            <v>SI</v>
          </cell>
          <cell r="L152" t="str">
            <v>SI</v>
          </cell>
          <cell r="M152" t="str">
            <v>Francia Elena Urina Figueroa</v>
          </cell>
        </row>
        <row r="153">
          <cell r="A153">
            <v>32893688</v>
          </cell>
          <cell r="B153">
            <v>152</v>
          </cell>
          <cell r="C153" t="str">
            <v>aida luz</v>
          </cell>
          <cell r="D153" t="str">
            <v>Baranquilla</v>
          </cell>
          <cell r="E153" t="str">
            <v>Kr 8c #74 -88</v>
          </cell>
          <cell r="F153" t="str">
            <v xml:space="preserve">Frente a una bajada, casa verde </v>
          </cell>
          <cell r="G153" t="str">
            <v>3009411182</v>
          </cell>
          <cell r="H153" t="str">
            <v>3004381214</v>
          </cell>
          <cell r="I153" t="str">
            <v>Tratamiento</v>
          </cell>
          <cell r="K153" t="str">
            <v>SI</v>
          </cell>
          <cell r="L153" t="str">
            <v>SI</v>
          </cell>
          <cell r="M153" t="str">
            <v>Aida Luz Ortega Jimenez</v>
          </cell>
        </row>
        <row r="154">
          <cell r="A154">
            <v>32894006</v>
          </cell>
          <cell r="B154">
            <v>153</v>
          </cell>
          <cell r="C154" t="str">
            <v>Dilsa maria</v>
          </cell>
          <cell r="D154" t="str">
            <v>Baranquilla</v>
          </cell>
          <cell r="E154" t="str">
            <v>Carrera 8c 74 A 22</v>
          </cell>
          <cell r="F154" t="str">
            <v>Diagonal a la tienda la preferida</v>
          </cell>
          <cell r="G154" t="str">
            <v>3043185416</v>
          </cell>
          <cell r="H154" t="str">
            <v>3002359185</v>
          </cell>
          <cell r="I154" t="str">
            <v>Tratamiento</v>
          </cell>
          <cell r="K154" t="str">
            <v>SI</v>
          </cell>
          <cell r="L154" t="str">
            <v>SI</v>
          </cell>
          <cell r="M154" t="str">
            <v>Dilsa Maria Zuares Anaya</v>
          </cell>
        </row>
        <row r="155">
          <cell r="A155">
            <v>34977363</v>
          </cell>
          <cell r="B155">
            <v>154</v>
          </cell>
          <cell r="C155" t="str">
            <v>Ana</v>
          </cell>
          <cell r="D155" t="str">
            <v>Baranquilla</v>
          </cell>
          <cell r="E155" t="str">
            <v>Kra 9 #60-24</v>
          </cell>
          <cell r="F155" t="str">
            <v>Bajando por ricoson 3 cuadras</v>
          </cell>
          <cell r="G155" t="str">
            <v>3234895703</v>
          </cell>
          <cell r="H155" t="str">
            <v>3218738189</v>
          </cell>
          <cell r="I155" t="str">
            <v>Tratamiento</v>
          </cell>
          <cell r="J155" t="str">
            <v>Baranquilla</v>
          </cell>
          <cell r="K155" t="str">
            <v>SI</v>
          </cell>
          <cell r="L155" t="str">
            <v>SI</v>
          </cell>
          <cell r="M155" t="str">
            <v>Felix Quintero</v>
          </cell>
        </row>
        <row r="156">
          <cell r="A156">
            <v>37926108</v>
          </cell>
          <cell r="B156">
            <v>155</v>
          </cell>
          <cell r="C156" t="str">
            <v xml:space="preserve">MARIA DE LAD MERCEDES </v>
          </cell>
          <cell r="D156" t="str">
            <v>Baranquilla</v>
          </cell>
          <cell r="E156" t="str">
            <v>CL 88 7E 92</v>
          </cell>
          <cell r="F156" t="str">
            <v>Diagonal a miscelánea Mireya</v>
          </cell>
          <cell r="G156" t="str">
            <v>3207232570</v>
          </cell>
          <cell r="H156" t="str">
            <v>3022926689</v>
          </cell>
          <cell r="I156" t="str">
            <v>Tratamiento</v>
          </cell>
          <cell r="K156" t="str">
            <v>SI</v>
          </cell>
          <cell r="L156" t="str">
            <v>SI</v>
          </cell>
          <cell r="M156" t="str">
            <v>Maria De Las Mercedes Orozco Ortega</v>
          </cell>
        </row>
        <row r="157">
          <cell r="A157">
            <v>42271248</v>
          </cell>
          <cell r="B157">
            <v>156</v>
          </cell>
          <cell r="C157" t="str">
            <v xml:space="preserve"> Jhoel </v>
          </cell>
          <cell r="D157" t="str">
            <v>Baranquilla</v>
          </cell>
          <cell r="E157" t="str">
            <v>Cr8c74a-57</v>
          </cell>
          <cell r="F157" t="str">
            <v>Dónde pachin el chef (restaurante)</v>
          </cell>
          <cell r="G157" t="str">
            <v>3058031075</v>
          </cell>
          <cell r="H157" t="str">
            <v>3175350910</v>
          </cell>
          <cell r="I157" t="str">
            <v>Tratamiento</v>
          </cell>
          <cell r="K157" t="str">
            <v>SI</v>
          </cell>
          <cell r="L157" t="str">
            <v>SI</v>
          </cell>
          <cell r="M157" t="str">
            <v>Jhoel Adolfo Caballero Solano</v>
          </cell>
        </row>
        <row r="158">
          <cell r="A158">
            <v>45578869</v>
          </cell>
          <cell r="B158">
            <v>157</v>
          </cell>
          <cell r="C158" t="str">
            <v>Farine</v>
          </cell>
          <cell r="D158" t="str">
            <v>Baranquilla</v>
          </cell>
          <cell r="E158" t="str">
            <v>Carrera 8g#60b-80</v>
          </cell>
          <cell r="F158" t="str">
            <v xml:space="preserve">Color amarillo ,piso de cuadros </v>
          </cell>
          <cell r="G158" t="str">
            <v>3013568236</v>
          </cell>
          <cell r="H158" t="str">
            <v>3006784741</v>
          </cell>
          <cell r="I158" t="str">
            <v>Tratamiento</v>
          </cell>
          <cell r="K158" t="str">
            <v>SI</v>
          </cell>
          <cell r="L158" t="str">
            <v>SI</v>
          </cell>
          <cell r="M158" t="str">
            <v>Farina Ester Suarez Carvajal</v>
          </cell>
        </row>
        <row r="159">
          <cell r="A159">
            <v>45584758</v>
          </cell>
          <cell r="B159">
            <v>158</v>
          </cell>
          <cell r="C159" t="str">
            <v>Danith</v>
          </cell>
          <cell r="D159" t="str">
            <v>Baranquilla</v>
          </cell>
          <cell r="E159" t="str">
            <v>Calle72-8a-09</v>
          </cell>
          <cell r="F159" t="str">
            <v>Diagonal a la iglesia San pio buscando el arrollo</v>
          </cell>
          <cell r="G159" t="str">
            <v>3117625266</v>
          </cell>
          <cell r="H159" t="str">
            <v>3108927516</v>
          </cell>
          <cell r="I159" t="str">
            <v>Tratamiento</v>
          </cell>
          <cell r="K159" t="str">
            <v>SI</v>
          </cell>
          <cell r="L159" t="str">
            <v>SI</v>
          </cell>
          <cell r="M159" t="str">
            <v>FALTA QUE LEWIS MANDE</v>
          </cell>
        </row>
        <row r="160">
          <cell r="A160">
            <v>5122512</v>
          </cell>
          <cell r="B160">
            <v>159</v>
          </cell>
          <cell r="C160" t="str">
            <v xml:space="preserve">Argemiro Manuel </v>
          </cell>
          <cell r="D160" t="str">
            <v>Baranquilla</v>
          </cell>
          <cell r="E160" t="str">
            <v>Cr70#76_67</v>
          </cell>
          <cell r="F160" t="str">
            <v/>
          </cell>
          <cell r="G160" t="str">
            <v>3144544622</v>
          </cell>
          <cell r="H160" t="str">
            <v>3004745168</v>
          </cell>
          <cell r="I160" t="str">
            <v>Tratamiento</v>
          </cell>
          <cell r="K160" t="str">
            <v>SI</v>
          </cell>
          <cell r="L160" t="str">
            <v>SI</v>
          </cell>
          <cell r="M160" t="str">
            <v>Argemiro Manuel Peña Palacin</v>
          </cell>
        </row>
        <row r="161">
          <cell r="A161">
            <v>52136819</v>
          </cell>
          <cell r="B161">
            <v>160</v>
          </cell>
          <cell r="C161" t="str">
            <v xml:space="preserve">XIOMARA </v>
          </cell>
          <cell r="D161" t="str">
            <v>Baranquilla</v>
          </cell>
          <cell r="E161" t="str">
            <v>Cl 64B 9k 34</v>
          </cell>
          <cell r="F161" t="str">
            <v xml:space="preserve">Via del paso al Bosque </v>
          </cell>
          <cell r="G161" t="str">
            <v>3013264995</v>
          </cell>
          <cell r="H161" t="str">
            <v>3043975356</v>
          </cell>
          <cell r="I161" t="str">
            <v>Tratamiento</v>
          </cell>
          <cell r="K161" t="str">
            <v>SI</v>
          </cell>
          <cell r="L161" t="str">
            <v>SI</v>
          </cell>
          <cell r="M161" t="str">
            <v>XIOMARA</v>
          </cell>
        </row>
        <row r="162">
          <cell r="A162">
            <v>55231073</v>
          </cell>
          <cell r="B162">
            <v>161</v>
          </cell>
          <cell r="C162" t="str">
            <v xml:space="preserve">Luz </v>
          </cell>
          <cell r="D162" t="str">
            <v>Baranquilla</v>
          </cell>
          <cell r="E162" t="str">
            <v>Kra 9# 58-14</v>
          </cell>
          <cell r="F162" t="str">
            <v xml:space="preserve">Bajando la loma el peligro </v>
          </cell>
          <cell r="G162" t="str">
            <v>3028369373</v>
          </cell>
          <cell r="H162" t="str">
            <v>3014305103</v>
          </cell>
          <cell r="I162" t="str">
            <v>Tratamiento</v>
          </cell>
          <cell r="K162" t="str">
            <v>SI</v>
          </cell>
          <cell r="L162" t="str">
            <v>SI</v>
          </cell>
          <cell r="M162" t="str">
            <v>Luz Aida Albis Tapias</v>
          </cell>
        </row>
        <row r="163">
          <cell r="A163">
            <v>55232316</v>
          </cell>
          <cell r="B163">
            <v>162</v>
          </cell>
          <cell r="C163" t="str">
            <v xml:space="preserve">Zoila </v>
          </cell>
          <cell r="D163" t="str">
            <v>Baranquilla</v>
          </cell>
          <cell r="E163" t="str">
            <v>Kra 7e$ 75-48 apto1</v>
          </cell>
          <cell r="F163" t="str">
            <v xml:space="preserve">A media cuadra del bulevar de la 76
</v>
          </cell>
          <cell r="G163" t="str">
            <v>322731156</v>
          </cell>
          <cell r="H163" t="str">
            <v>3014356007</v>
          </cell>
          <cell r="I163" t="str">
            <v>Tratamiento</v>
          </cell>
          <cell r="K163" t="str">
            <v>SI</v>
          </cell>
          <cell r="L163" t="str">
            <v>SI</v>
          </cell>
          <cell r="M163" t="str">
            <v>DANI PATIÑO</v>
          </cell>
        </row>
        <row r="164">
          <cell r="A164">
            <v>57304740</v>
          </cell>
          <cell r="B164">
            <v>163</v>
          </cell>
          <cell r="C164" t="str">
            <v xml:space="preserve">CLAUDIA </v>
          </cell>
          <cell r="D164" t="str">
            <v>Baranquilla</v>
          </cell>
          <cell r="E164" t="str">
            <v>KR 7H 80 13</v>
          </cell>
          <cell r="F164" t="str">
            <v xml:space="preserve">Cerca de la cárcel </v>
          </cell>
          <cell r="G164" t="str">
            <v xml:space="preserve">No tiene </v>
          </cell>
          <cell r="H164" t="str">
            <v>3181809996</v>
          </cell>
          <cell r="I164" t="str">
            <v>Tratamiento</v>
          </cell>
          <cell r="K164" t="str">
            <v>SI</v>
          </cell>
          <cell r="L164" t="str">
            <v>SI</v>
          </cell>
          <cell r="M164" t="str">
            <v>FALTA QUE LEWIS MANDE</v>
          </cell>
        </row>
        <row r="165">
          <cell r="A165">
            <v>64558825</v>
          </cell>
          <cell r="B165">
            <v>164</v>
          </cell>
          <cell r="C165" t="str">
            <v>Rosalba</v>
          </cell>
          <cell r="D165" t="str">
            <v>Baranquilla</v>
          </cell>
          <cell r="E165" t="str">
            <v>Kra 7h#80-23</v>
          </cell>
          <cell r="F165" t="str">
            <v xml:space="preserve">Tienda San Benito </v>
          </cell>
          <cell r="G165" t="str">
            <v>3122602747</v>
          </cell>
          <cell r="H165" t="str">
            <v>3181809996</v>
          </cell>
          <cell r="I165" t="str">
            <v>Tratamiento</v>
          </cell>
          <cell r="K165" t="str">
            <v>SI</v>
          </cell>
          <cell r="L165" t="str">
            <v>SI</v>
          </cell>
          <cell r="M165" t="str">
            <v>FALTA QUE LEWIS MANDE</v>
          </cell>
        </row>
        <row r="166">
          <cell r="A166">
            <v>72042663</v>
          </cell>
          <cell r="B166">
            <v>165</v>
          </cell>
          <cell r="C166" t="str">
            <v xml:space="preserve">Julio </v>
          </cell>
          <cell r="D166" t="str">
            <v>Baranquilla</v>
          </cell>
          <cell r="E166" t="str">
            <v>Calle 76#7c-54</v>
          </cell>
          <cell r="F166" t="str">
            <v>Casa blanca, frente al instituto olguita</v>
          </cell>
          <cell r="G166" t="str">
            <v>3236354482</v>
          </cell>
          <cell r="H166" t="str">
            <v>3142633973</v>
          </cell>
          <cell r="I166" t="str">
            <v>Tratamiento</v>
          </cell>
          <cell r="K166" t="str">
            <v>SI</v>
          </cell>
          <cell r="L166" t="str">
            <v>SI</v>
          </cell>
          <cell r="M166" t="str">
            <v>MARYURIS OTERO</v>
          </cell>
        </row>
        <row r="167">
          <cell r="A167">
            <v>72129785</v>
          </cell>
          <cell r="B167">
            <v>166</v>
          </cell>
          <cell r="C167" t="str">
            <v>Jose</v>
          </cell>
          <cell r="D167" t="str">
            <v>Baranquilla</v>
          </cell>
          <cell r="E167" t="str">
            <v>Kra 9 #60-54</v>
          </cell>
          <cell r="F167" t="str">
            <v>Diagonal a la tienda los 2 hermnos</v>
          </cell>
          <cell r="G167" t="str">
            <v>3243850758</v>
          </cell>
          <cell r="H167" t="str">
            <v>3043301751</v>
          </cell>
          <cell r="I167" t="str">
            <v>Tratamiento</v>
          </cell>
          <cell r="K167" t="str">
            <v>SI</v>
          </cell>
          <cell r="L167" t="str">
            <v>SI</v>
          </cell>
          <cell r="M167" t="str">
            <v>FALTA QUE LEWIS MANDE</v>
          </cell>
        </row>
        <row r="168">
          <cell r="A168">
            <v>72132483</v>
          </cell>
          <cell r="B168">
            <v>167</v>
          </cell>
          <cell r="C168" t="str">
            <v xml:space="preserve">Francisco </v>
          </cell>
          <cell r="D168" t="str">
            <v>Baranquilla</v>
          </cell>
          <cell r="E168" t="str">
            <v>Calle 88# 7-38</v>
          </cell>
          <cell r="F168" t="str">
            <v xml:space="preserve">Cerca de San Martin </v>
          </cell>
          <cell r="G168" t="str">
            <v>3172162206</v>
          </cell>
          <cell r="H168" t="str">
            <v>3106941456</v>
          </cell>
          <cell r="I168" t="str">
            <v>Tratamiento</v>
          </cell>
          <cell r="K168" t="str">
            <v>SI</v>
          </cell>
          <cell r="L168" t="str">
            <v>SI</v>
          </cell>
          <cell r="M168" t="str">
            <v>FALTA QUE LEWIS MANDE</v>
          </cell>
        </row>
        <row r="169">
          <cell r="A169">
            <v>72144157</v>
          </cell>
          <cell r="B169">
            <v>168</v>
          </cell>
          <cell r="C169" t="str">
            <v xml:space="preserve">Erlen </v>
          </cell>
          <cell r="D169" t="str">
            <v>Baranquilla</v>
          </cell>
          <cell r="E169" t="str">
            <v>Calle 73 9k04</v>
          </cell>
          <cell r="F169" t="str">
            <v xml:space="preserve">El taconazo </v>
          </cell>
          <cell r="G169" t="str">
            <v>3009441723</v>
          </cell>
          <cell r="H169" t="str">
            <v>3004186179</v>
          </cell>
          <cell r="I169" t="str">
            <v>Tratamiento</v>
          </cell>
          <cell r="K169" t="str">
            <v>SI</v>
          </cell>
          <cell r="L169" t="str">
            <v>SI</v>
          </cell>
          <cell r="M169" t="str">
            <v>ERLEN MUÑOZ TORRES</v>
          </cell>
        </row>
        <row r="170">
          <cell r="A170">
            <v>72145817</v>
          </cell>
          <cell r="B170">
            <v>169</v>
          </cell>
          <cell r="C170" t="str">
            <v xml:space="preserve">Javier </v>
          </cell>
          <cell r="D170" t="str">
            <v>Baranquilla</v>
          </cell>
          <cell r="E170" t="str">
            <v>Calle72a8c122</v>
          </cell>
          <cell r="F170" t="str">
            <v>Tienda la 72</v>
          </cell>
          <cell r="G170" t="str">
            <v>3107230753</v>
          </cell>
          <cell r="H170" t="str">
            <v>3116213158</v>
          </cell>
          <cell r="I170" t="str">
            <v>Tratamiento</v>
          </cell>
          <cell r="K170" t="str">
            <v>SI</v>
          </cell>
          <cell r="L170" t="str">
            <v>SI</v>
          </cell>
          <cell r="M170" t="str">
            <v>Javier Jesus Ortega De Las Salas</v>
          </cell>
        </row>
        <row r="171">
          <cell r="A171">
            <v>72146737</v>
          </cell>
          <cell r="B171">
            <v>170</v>
          </cell>
          <cell r="C171" t="str">
            <v>Marcelino de jesus</v>
          </cell>
          <cell r="D171" t="str">
            <v>Baranquilla</v>
          </cell>
          <cell r="E171" t="str">
            <v>Kr 9b dg 64b 50 apto 1</v>
          </cell>
          <cell r="F171" t="str">
            <v>Cerca de la casa cultural de bosque</v>
          </cell>
          <cell r="G171" t="str">
            <v>3142737084</v>
          </cell>
          <cell r="H171" t="str">
            <v>3145937267</v>
          </cell>
          <cell r="I171" t="str">
            <v>Tratamiento</v>
          </cell>
          <cell r="K171" t="str">
            <v>SI</v>
          </cell>
          <cell r="L171" t="str">
            <v>SI</v>
          </cell>
          <cell r="M171" t="str">
            <v>Marcelino De Jesus Santiago Arrieta</v>
          </cell>
        </row>
        <row r="172">
          <cell r="A172">
            <v>72178853</v>
          </cell>
          <cell r="B172">
            <v>171</v>
          </cell>
          <cell r="C172" t="str">
            <v xml:space="preserve">YOFAY LUIS </v>
          </cell>
          <cell r="D172" t="str">
            <v>Baranquilla</v>
          </cell>
          <cell r="E172" t="str">
            <v>KR 8G 60B 120</v>
          </cell>
          <cell r="F172" t="str">
            <v>Cerca del Billar el Platanal</v>
          </cell>
          <cell r="G172" t="str">
            <v>3008820943</v>
          </cell>
          <cell r="H172" t="str">
            <v>3126322670</v>
          </cell>
          <cell r="I172" t="str">
            <v>Tratamiento</v>
          </cell>
          <cell r="K172" t="str">
            <v>SI</v>
          </cell>
          <cell r="L172" t="str">
            <v>SI</v>
          </cell>
          <cell r="M172" t="str">
            <v>Yofay Luis Sanmartin Valdez</v>
          </cell>
        </row>
        <row r="173">
          <cell r="A173">
            <v>72180833</v>
          </cell>
          <cell r="B173">
            <v>172</v>
          </cell>
          <cell r="C173" t="str">
            <v>Rafael</v>
          </cell>
          <cell r="D173" t="str">
            <v>Baranquilla</v>
          </cell>
          <cell r="E173" t="str">
            <v>Cr7c#73c-07</v>
          </cell>
          <cell r="F173" t="str">
            <v>Cr7c#73c-07</v>
          </cell>
          <cell r="G173" t="str">
            <v>3046413856</v>
          </cell>
          <cell r="H173" t="str">
            <v>3127876409</v>
          </cell>
          <cell r="I173" t="str">
            <v>Tratamiento</v>
          </cell>
          <cell r="K173" t="str">
            <v>SI</v>
          </cell>
          <cell r="L173" t="str">
            <v>SI</v>
          </cell>
          <cell r="M173" t="str">
            <v>Rafael Tinoco Mendoza</v>
          </cell>
        </row>
        <row r="174">
          <cell r="A174">
            <v>72182204</v>
          </cell>
          <cell r="B174">
            <v>173</v>
          </cell>
          <cell r="C174" t="str">
            <v xml:space="preserve">Adolfo </v>
          </cell>
          <cell r="D174" t="str">
            <v>Baranquilla</v>
          </cell>
          <cell r="E174" t="str">
            <v>Kra 9k #61-47</v>
          </cell>
          <cell r="F174" t="str">
            <v>Por la tienda el paramo</v>
          </cell>
          <cell r="G174" t="str">
            <v>3001734513</v>
          </cell>
          <cell r="H174" t="str">
            <v>3242261257</v>
          </cell>
          <cell r="I174" t="str">
            <v>Tratamiento</v>
          </cell>
          <cell r="K174" t="str">
            <v>SI</v>
          </cell>
          <cell r="L174" t="str">
            <v>SI</v>
          </cell>
          <cell r="M174" t="str">
            <v>Adolfo Enrique Cabrera Suarez</v>
          </cell>
        </row>
        <row r="175">
          <cell r="A175">
            <v>72200209</v>
          </cell>
          <cell r="B175">
            <v>174</v>
          </cell>
          <cell r="C175" t="str">
            <v xml:space="preserve">Wilmer José </v>
          </cell>
          <cell r="D175" t="str">
            <v>Baranquilla</v>
          </cell>
          <cell r="E175" t="str">
            <v>Cr8c73d96</v>
          </cell>
          <cell r="F175" t="str">
            <v xml:space="preserve">Tienda la preferida </v>
          </cell>
          <cell r="G175" t="str">
            <v>3013456924</v>
          </cell>
          <cell r="H175" t="str">
            <v>3013125719</v>
          </cell>
          <cell r="I175" t="str">
            <v>Tratamiento</v>
          </cell>
          <cell r="K175" t="str">
            <v>SI</v>
          </cell>
          <cell r="L175" t="str">
            <v>SI</v>
          </cell>
          <cell r="M175" t="str">
            <v>Wilmer José Suárez Laguna</v>
          </cell>
        </row>
        <row r="176">
          <cell r="A176">
            <v>72210592</v>
          </cell>
          <cell r="B176">
            <v>175</v>
          </cell>
          <cell r="C176" t="str">
            <v xml:space="preserve">TONY ANIBAL </v>
          </cell>
          <cell r="D176" t="str">
            <v>Baranquilla</v>
          </cell>
          <cell r="E176" t="str">
            <v>Cara 8C 74 97</v>
          </cell>
          <cell r="F176" t="str">
            <v>Casa Blanca</v>
          </cell>
          <cell r="G176" t="str">
            <v xml:space="preserve"> 3170191518</v>
          </cell>
          <cell r="H176" t="str">
            <v>3009411182</v>
          </cell>
          <cell r="I176" t="str">
            <v>Tratamiento</v>
          </cell>
          <cell r="K176" t="str">
            <v>SI</v>
          </cell>
          <cell r="L176" t="str">
            <v>SI</v>
          </cell>
          <cell r="M176" t="str">
            <v>Tony Anibal Hernández Julio</v>
          </cell>
        </row>
        <row r="177">
          <cell r="A177">
            <v>72212320</v>
          </cell>
          <cell r="B177">
            <v>176</v>
          </cell>
          <cell r="C177" t="str">
            <v xml:space="preserve">César </v>
          </cell>
          <cell r="D177" t="str">
            <v>Baranquilla</v>
          </cell>
          <cell r="E177" t="str">
            <v>Cl 73 C 7E 27</v>
          </cell>
          <cell r="F177" t="str">
            <v xml:space="preserve">Cerca del Cai y frente al taller Ojitos </v>
          </cell>
          <cell r="G177" t="str">
            <v>3148404870</v>
          </cell>
          <cell r="H177" t="str">
            <v>3245896828</v>
          </cell>
          <cell r="I177" t="str">
            <v>Tratamiento</v>
          </cell>
          <cell r="K177" t="str">
            <v>SI</v>
          </cell>
          <cell r="L177" t="str">
            <v>SI</v>
          </cell>
          <cell r="M177" t="str">
            <v>Cesar Gonzalez Gomez</v>
          </cell>
        </row>
        <row r="178">
          <cell r="A178">
            <v>72214776</v>
          </cell>
          <cell r="B178">
            <v>177</v>
          </cell>
          <cell r="C178" t="str">
            <v xml:space="preserve"> Luis Daniel </v>
          </cell>
          <cell r="D178" t="str">
            <v>Baranquilla</v>
          </cell>
          <cell r="E178" t="str">
            <v>Cr8g93-97</v>
          </cell>
          <cell r="F178" t="str">
            <v xml:space="preserve">Tiendas d1 </v>
          </cell>
          <cell r="G178" t="str">
            <v>3013614530</v>
          </cell>
          <cell r="H178" t="str">
            <v>3006026090</v>
          </cell>
          <cell r="I178" t="str">
            <v>Tratamiento</v>
          </cell>
          <cell r="K178" t="str">
            <v>SI</v>
          </cell>
          <cell r="L178" t="str">
            <v>SI</v>
          </cell>
          <cell r="M178" t="str">
            <v>Luis Daniel Pacheco Fernandez</v>
          </cell>
        </row>
        <row r="179">
          <cell r="A179">
            <v>72227073</v>
          </cell>
          <cell r="B179">
            <v>178</v>
          </cell>
          <cell r="C179" t="str">
            <v>Jesus rafael</v>
          </cell>
          <cell r="D179" t="str">
            <v>Baranquilla</v>
          </cell>
          <cell r="E179" t="str">
            <v>Cll 73c # 7e-93</v>
          </cell>
          <cell r="F179" t="str">
            <v>Frente al caí san pio</v>
          </cell>
          <cell r="G179" t="str">
            <v>3005327839</v>
          </cell>
          <cell r="H179" t="str">
            <v>3148404870</v>
          </cell>
          <cell r="I179" t="str">
            <v>Tratamiento</v>
          </cell>
          <cell r="K179" t="str">
            <v>SI</v>
          </cell>
          <cell r="L179" t="str">
            <v>SI</v>
          </cell>
          <cell r="M179" t="str">
            <v>Jesus Rafael De Avila Bermudez</v>
          </cell>
        </row>
        <row r="180">
          <cell r="A180">
            <v>72227387</v>
          </cell>
          <cell r="B180">
            <v>179</v>
          </cell>
          <cell r="C180" t="str">
            <v xml:space="preserve">Rodolfo </v>
          </cell>
          <cell r="D180" t="str">
            <v>Baranquilla</v>
          </cell>
          <cell r="E180" t="str">
            <v>Cr8g#60-17</v>
          </cell>
          <cell r="F180" t="str">
            <v xml:space="preserve">La calle de los negros </v>
          </cell>
          <cell r="G180" t="str">
            <v>3003252613</v>
          </cell>
          <cell r="H180" t="str">
            <v>3242549149</v>
          </cell>
          <cell r="I180" t="str">
            <v>Tratamiento</v>
          </cell>
          <cell r="K180" t="str">
            <v>SI</v>
          </cell>
          <cell r="L180" t="str">
            <v>SI</v>
          </cell>
          <cell r="M180" t="str">
            <v>Rodolfo Rafael De Avila Pacheco</v>
          </cell>
        </row>
        <row r="181">
          <cell r="A181">
            <v>72239164</v>
          </cell>
          <cell r="B181">
            <v>180</v>
          </cell>
          <cell r="C181" t="str">
            <v xml:space="preserve">Cesar Cristóbal </v>
          </cell>
          <cell r="D181" t="str">
            <v>Baranquilla</v>
          </cell>
          <cell r="E181" t="str">
            <v>Cl 73D 8G 15</v>
          </cell>
          <cell r="F181" t="str">
            <v xml:space="preserve">DG a la tienda la estrella </v>
          </cell>
          <cell r="G181" t="str">
            <v>3006577121</v>
          </cell>
          <cell r="H181" t="str">
            <v>3012014971</v>
          </cell>
          <cell r="I181" t="str">
            <v>Tratamiento</v>
          </cell>
          <cell r="K181" t="str">
            <v>SI</v>
          </cell>
          <cell r="L181" t="str">
            <v>SI</v>
          </cell>
          <cell r="M181" t="str">
            <v>Cesar Cristobal Colon Saltarin</v>
          </cell>
        </row>
        <row r="182">
          <cell r="A182">
            <v>72298484</v>
          </cell>
          <cell r="B182">
            <v>181</v>
          </cell>
          <cell r="C182" t="str">
            <v>Ostaciano</v>
          </cell>
          <cell r="D182" t="str">
            <v>Baranquilla</v>
          </cell>
          <cell r="E182" t="str">
            <v>Carrera 6b #72-63</v>
          </cell>
          <cell r="F182" t="str">
            <v>Frente al poste que dice feliz navidad</v>
          </cell>
          <cell r="G182" t="str">
            <v xml:space="preserve">3013488981
</v>
          </cell>
          <cell r="H182" t="str">
            <v>3224957585</v>
          </cell>
          <cell r="I182" t="str">
            <v>Tratamiento</v>
          </cell>
          <cell r="K182" t="str">
            <v>SI</v>
          </cell>
          <cell r="L182" t="str">
            <v>SI</v>
          </cell>
          <cell r="M182" t="str">
            <v>Ostasiano Peña Conde</v>
          </cell>
        </row>
        <row r="183">
          <cell r="A183">
            <v>73226383</v>
          </cell>
          <cell r="B183">
            <v>182</v>
          </cell>
          <cell r="C183" t="str">
            <v xml:space="preserve">Juan José </v>
          </cell>
          <cell r="D183" t="str">
            <v>Baranquilla</v>
          </cell>
          <cell r="E183" t="str">
            <v>Cl 63 9k 223</v>
          </cell>
          <cell r="F183" t="str">
            <v xml:space="preserve">Cerca del Taconazo </v>
          </cell>
          <cell r="G183" t="str">
            <v>3045552957</v>
          </cell>
          <cell r="H183" t="str">
            <v>3013712870</v>
          </cell>
          <cell r="I183" t="str">
            <v>Tratamiento</v>
          </cell>
          <cell r="J183" t="str">
            <v>Baranquilla</v>
          </cell>
          <cell r="K183" t="str">
            <v>SI</v>
          </cell>
          <cell r="L183" t="str">
            <v>SI</v>
          </cell>
          <cell r="M183" t="str">
            <v>Juan José Torres Moreno</v>
          </cell>
        </row>
        <row r="184">
          <cell r="A184">
            <v>7444585</v>
          </cell>
          <cell r="B184">
            <v>183</v>
          </cell>
          <cell r="C184" t="str">
            <v xml:space="preserve">Victor José </v>
          </cell>
          <cell r="D184" t="str">
            <v>Baranquilla</v>
          </cell>
          <cell r="E184" t="str">
            <v>Cr7b#72-04</v>
          </cell>
          <cell r="F184" t="str">
            <v>Tienda Richar ( mono papa)</v>
          </cell>
          <cell r="G184" t="str">
            <v>3216974528</v>
          </cell>
          <cell r="H184" t="str">
            <v>3202117105</v>
          </cell>
          <cell r="I184" t="str">
            <v>Tratamiento</v>
          </cell>
          <cell r="K184" t="str">
            <v>SI</v>
          </cell>
          <cell r="L184" t="str">
            <v>SI</v>
          </cell>
          <cell r="M184" t="str">
            <v>Victor Jose Rivera Acosta</v>
          </cell>
        </row>
        <row r="185">
          <cell r="A185">
            <v>7454371</v>
          </cell>
          <cell r="B185">
            <v>184</v>
          </cell>
          <cell r="C185" t="str">
            <v>Hugo alfredo</v>
          </cell>
          <cell r="D185" t="str">
            <v>Baranquilla</v>
          </cell>
          <cell r="E185" t="str">
            <v>Cra 8c # 87- 26</v>
          </cell>
          <cell r="F185" t="str">
            <v xml:space="preserve">Cerca de la cárcel del bosque </v>
          </cell>
          <cell r="G185" t="str">
            <v>3242876354</v>
          </cell>
          <cell r="H185" t="str">
            <v>3244494621</v>
          </cell>
          <cell r="I185" t="str">
            <v>Tratamiento</v>
          </cell>
          <cell r="K185" t="str">
            <v>SI</v>
          </cell>
          <cell r="L185" t="str">
            <v>SI</v>
          </cell>
          <cell r="M185" t="str">
            <v>Hugo Alfredo Viloria Corro</v>
          </cell>
        </row>
        <row r="186">
          <cell r="A186">
            <v>7474428</v>
          </cell>
          <cell r="B186">
            <v>185</v>
          </cell>
          <cell r="C186" t="str">
            <v>Cristobal maria</v>
          </cell>
          <cell r="D186" t="str">
            <v>Baranquilla</v>
          </cell>
          <cell r="E186" t="str">
            <v>Cr 6e # 73c 71</v>
          </cell>
          <cell r="F186" t="str">
            <v xml:space="preserve">Casa alta en obra negra </v>
          </cell>
          <cell r="G186" t="str">
            <v>3207121023</v>
          </cell>
          <cell r="H186" t="str">
            <v>3008303079</v>
          </cell>
          <cell r="I186" t="str">
            <v>Tratamiento</v>
          </cell>
          <cell r="K186" t="str">
            <v>SI</v>
          </cell>
          <cell r="L186" t="str">
            <v>SI</v>
          </cell>
          <cell r="M186" t="str">
            <v>Cristobal Maria Rubio Montier</v>
          </cell>
        </row>
        <row r="187">
          <cell r="A187">
            <v>7476537</v>
          </cell>
          <cell r="B187">
            <v>186</v>
          </cell>
          <cell r="C187" t="str">
            <v xml:space="preserve">LACIDES </v>
          </cell>
          <cell r="D187" t="str">
            <v>Baranquilla</v>
          </cell>
          <cell r="E187" t="str">
            <v>KR 8B 93 43</v>
          </cell>
          <cell r="F187" t="str">
            <v xml:space="preserve">Cerca colegio cultural </v>
          </cell>
          <cell r="G187" t="str">
            <v>3114106462</v>
          </cell>
          <cell r="H187" t="str">
            <v>3003112709</v>
          </cell>
          <cell r="I187" t="str">
            <v>Tratamiento</v>
          </cell>
          <cell r="K187" t="str">
            <v>SI</v>
          </cell>
          <cell r="L187" t="str">
            <v>SI</v>
          </cell>
          <cell r="M187" t="str">
            <v>Lacides Alfonso Pedroza Mendoza</v>
          </cell>
        </row>
        <row r="188">
          <cell r="A188">
            <v>7476784</v>
          </cell>
          <cell r="B188">
            <v>187</v>
          </cell>
          <cell r="C188" t="str">
            <v>Alvaro</v>
          </cell>
          <cell r="D188" t="str">
            <v>Baranquilla</v>
          </cell>
          <cell r="E188" t="str">
            <v>Cr6b73-50</v>
          </cell>
          <cell r="F188" t="str">
            <v/>
          </cell>
          <cell r="G188" t="str">
            <v>3006561243</v>
          </cell>
          <cell r="H188" t="str">
            <v>3005016070</v>
          </cell>
          <cell r="I188" t="str">
            <v>Tratamiento</v>
          </cell>
          <cell r="K188" t="str">
            <v>SI</v>
          </cell>
          <cell r="L188" t="str">
            <v>SI</v>
          </cell>
          <cell r="M188" t="str">
            <v>Alvaro Enrique Suarez Segura</v>
          </cell>
        </row>
        <row r="189">
          <cell r="A189">
            <v>832608</v>
          </cell>
          <cell r="B189">
            <v>188</v>
          </cell>
          <cell r="C189" t="str">
            <v xml:space="preserve">Luis </v>
          </cell>
          <cell r="D189" t="str">
            <v>Baranquilla</v>
          </cell>
          <cell r="E189" t="str">
            <v>Kra 6b #73-32</v>
          </cell>
          <cell r="F189" t="str">
            <v>A dos cuadras de la cruz</v>
          </cell>
          <cell r="G189" t="str">
            <v>3005016070</v>
          </cell>
          <cell r="H189" t="str">
            <v>3022974692</v>
          </cell>
          <cell r="I189" t="str">
            <v>Tratamiento</v>
          </cell>
          <cell r="K189" t="str">
            <v>SI</v>
          </cell>
          <cell r="L189" t="str">
            <v>SI</v>
          </cell>
          <cell r="M189" t="str">
            <v>LUIS MANUEL OJEDA ALVAREZ</v>
          </cell>
        </row>
        <row r="190">
          <cell r="A190">
            <v>8664032</v>
          </cell>
          <cell r="B190">
            <v>189</v>
          </cell>
          <cell r="C190" t="str">
            <v xml:space="preserve">Sergio </v>
          </cell>
          <cell r="D190" t="str">
            <v>Baranquilla</v>
          </cell>
          <cell r="E190" t="str">
            <v>Calle 93 #87-105</v>
          </cell>
          <cell r="F190" t="str">
            <v xml:space="preserve">Frente a la tienda la carreta </v>
          </cell>
          <cell r="G190" t="str">
            <v>3022920044</v>
          </cell>
          <cell r="H190" t="str">
            <v>3007284388</v>
          </cell>
          <cell r="I190" t="str">
            <v>Tratamiento</v>
          </cell>
          <cell r="K190" t="str">
            <v>SI</v>
          </cell>
          <cell r="L190" t="str">
            <v>SI</v>
          </cell>
          <cell r="M190" t="str">
            <v>SERGIO</v>
          </cell>
        </row>
        <row r="191">
          <cell r="A191">
            <v>8672765</v>
          </cell>
          <cell r="B191">
            <v>190</v>
          </cell>
          <cell r="C191" t="str">
            <v xml:space="preserve">Abimael </v>
          </cell>
          <cell r="D191" t="str">
            <v>Baranquilla</v>
          </cell>
          <cell r="E191" t="str">
            <v>Calle 9B 75 112</v>
          </cell>
          <cell r="F191" t="str">
            <v xml:space="preserve">Cerca a la tienda el Proveedor </v>
          </cell>
          <cell r="G191" t="str">
            <v>3244941605</v>
          </cell>
          <cell r="H191" t="str">
            <v>3244941479</v>
          </cell>
          <cell r="I191" t="str">
            <v>Tratamiento</v>
          </cell>
          <cell r="K191" t="str">
            <v>SI</v>
          </cell>
          <cell r="L191" t="str">
            <v>SI</v>
          </cell>
          <cell r="M191" t="str">
            <v>Abimael Mendoza Medrano</v>
          </cell>
        </row>
        <row r="192">
          <cell r="A192">
            <v>8681506</v>
          </cell>
          <cell r="B192">
            <v>191</v>
          </cell>
          <cell r="C192" t="str">
            <v xml:space="preserve">IVÁN ENRIQUE </v>
          </cell>
          <cell r="D192" t="str">
            <v>Baranquilla</v>
          </cell>
          <cell r="E192" t="str">
            <v>K 7H  77 51</v>
          </cell>
          <cell r="F192" t="str">
            <v xml:space="preserve">Cerca de la cárcel </v>
          </cell>
          <cell r="G192" t="str">
            <v>3184908858</v>
          </cell>
          <cell r="H192" t="str">
            <v>3244324193</v>
          </cell>
          <cell r="I192" t="str">
            <v>Tratamiento</v>
          </cell>
          <cell r="K192" t="str">
            <v>SI</v>
          </cell>
          <cell r="L192" t="str">
            <v>SI</v>
          </cell>
          <cell r="M192" t="str">
            <v>Ivan Enrique Tovar Aragon</v>
          </cell>
        </row>
        <row r="193">
          <cell r="A193">
            <v>8686374</v>
          </cell>
          <cell r="B193">
            <v>192</v>
          </cell>
          <cell r="C193" t="str">
            <v xml:space="preserve">Agustin alselmo </v>
          </cell>
          <cell r="D193" t="str">
            <v>Baranquilla</v>
          </cell>
          <cell r="E193" t="str">
            <v>Cll 77 # 7c-40</v>
          </cell>
          <cell r="F193" t="str">
            <v xml:space="preserve">Casa grande, frente de unos apartamentos de dos pisos </v>
          </cell>
          <cell r="G193" t="str">
            <v>3052847845</v>
          </cell>
          <cell r="H193" t="str">
            <v>3043600866</v>
          </cell>
          <cell r="I193" t="str">
            <v>Tratamiento</v>
          </cell>
          <cell r="K193" t="str">
            <v>SI</v>
          </cell>
          <cell r="L193" t="str">
            <v>SI</v>
          </cell>
          <cell r="M193" t="str">
            <v>Agustin Anselmo Escorcia Villa</v>
          </cell>
        </row>
        <row r="194">
          <cell r="A194">
            <v>8719594</v>
          </cell>
          <cell r="B194">
            <v>193</v>
          </cell>
          <cell r="C194" t="str">
            <v>Juan</v>
          </cell>
          <cell r="D194" t="str">
            <v>Baranquilla</v>
          </cell>
          <cell r="E194" t="str">
            <v>Cr7#7e-67</v>
          </cell>
          <cell r="F194" t="str">
            <v>Detrás de la iglesia San pio</v>
          </cell>
          <cell r="G194" t="str">
            <v>3216974061</v>
          </cell>
          <cell r="H194" t="str">
            <v>3128687354</v>
          </cell>
          <cell r="I194" t="str">
            <v>Tratamiento</v>
          </cell>
          <cell r="K194" t="str">
            <v>SI</v>
          </cell>
          <cell r="L194" t="str">
            <v>SI</v>
          </cell>
          <cell r="M194" t="str">
            <v>Juan Perez Villa</v>
          </cell>
        </row>
        <row r="195">
          <cell r="A195">
            <v>8724214</v>
          </cell>
          <cell r="B195">
            <v>194</v>
          </cell>
          <cell r="C195" t="str">
            <v>Celso</v>
          </cell>
          <cell r="D195" t="str">
            <v>Baranquilla</v>
          </cell>
          <cell r="E195" t="str">
            <v>Cll 64b # 9j1 14</v>
          </cell>
          <cell r="F195" t="str">
            <v xml:space="preserve">Cerca del hospital del bosque </v>
          </cell>
          <cell r="G195" t="str">
            <v>3043915009</v>
          </cell>
          <cell r="H195" t="str">
            <v>3145937267</v>
          </cell>
          <cell r="I195" t="str">
            <v>Tratamiento</v>
          </cell>
          <cell r="K195" t="str">
            <v>SI</v>
          </cell>
          <cell r="L195" t="str">
            <v>SI</v>
          </cell>
          <cell r="M195" t="str">
            <v>Celso Sampayo</v>
          </cell>
        </row>
        <row r="196">
          <cell r="A196">
            <v>8734568</v>
          </cell>
          <cell r="B196">
            <v>195</v>
          </cell>
          <cell r="C196" t="str">
            <v>Ricardo Alfredo</v>
          </cell>
          <cell r="D196" t="str">
            <v>Baranquilla</v>
          </cell>
          <cell r="E196" t="str">
            <v>Calle61#9k-21</v>
          </cell>
          <cell r="F196" t="str">
            <v>La loma del peligro</v>
          </cell>
          <cell r="G196" t="str">
            <v>3044181384</v>
          </cell>
          <cell r="H196" t="str">
            <v>3178612508</v>
          </cell>
          <cell r="I196" t="str">
            <v>Tratamiento</v>
          </cell>
          <cell r="K196" t="str">
            <v>SI</v>
          </cell>
          <cell r="L196" t="str">
            <v>SI</v>
          </cell>
          <cell r="M196" t="str">
            <v>Ricardo Alfredo Conrado Perez</v>
          </cell>
        </row>
        <row r="197">
          <cell r="A197">
            <v>8737489</v>
          </cell>
          <cell r="B197">
            <v>196</v>
          </cell>
          <cell r="C197" t="str">
            <v>Pedro de jesus</v>
          </cell>
          <cell r="D197" t="str">
            <v>Baranquilla</v>
          </cell>
          <cell r="E197" t="str">
            <v>Dg 64b # 9j1 39</v>
          </cell>
          <cell r="F197" t="str">
            <v>Frente a la iglesia pentecostal</v>
          </cell>
          <cell r="G197" t="str">
            <v>3117596918</v>
          </cell>
          <cell r="H197" t="str">
            <v>3005938494</v>
          </cell>
          <cell r="I197" t="str">
            <v>Tratamiento</v>
          </cell>
          <cell r="J197"/>
          <cell r="K197" t="str">
            <v>SI</v>
          </cell>
          <cell r="L197" t="str">
            <v>SI</v>
          </cell>
          <cell r="M197" t="str">
            <v>PEDRO DE JESUS HERNANDEZ NOVOA</v>
          </cell>
        </row>
        <row r="198">
          <cell r="A198">
            <v>8754897</v>
          </cell>
          <cell r="B198">
            <v>197</v>
          </cell>
          <cell r="C198" t="str">
            <v xml:space="preserve">Apolinar </v>
          </cell>
          <cell r="D198" t="str">
            <v>Baranquilla</v>
          </cell>
          <cell r="E198" t="str">
            <v>Kra 9a #75-17</v>
          </cell>
          <cell r="F198" t="str">
            <v xml:space="preserve">Frente al colegio amarillo del bosque </v>
          </cell>
          <cell r="G198" t="str">
            <v>3135815645</v>
          </cell>
          <cell r="H198" t="str">
            <v>3106027296</v>
          </cell>
          <cell r="I198" t="str">
            <v>Tratamiento</v>
          </cell>
          <cell r="K198" t="str">
            <v>SI</v>
          </cell>
          <cell r="L198" t="str">
            <v>SI</v>
          </cell>
          <cell r="M198" t="str">
            <v>Apolinar Alfaro Hernandez</v>
          </cell>
        </row>
        <row r="199">
          <cell r="A199">
            <v>8758157</v>
          </cell>
          <cell r="B199">
            <v>198</v>
          </cell>
          <cell r="C199" t="str">
            <v xml:space="preserve">WILFRIDO RAFAEL </v>
          </cell>
          <cell r="D199" t="str">
            <v>Baranquilla</v>
          </cell>
          <cell r="E199" t="str">
            <v>KR 8C 87 70</v>
          </cell>
          <cell r="F199" t="str">
            <v xml:space="preserve">Cerca a la penitenciaria el Bosque </v>
          </cell>
          <cell r="G199" t="str">
            <v>3016428246</v>
          </cell>
          <cell r="H199" t="str">
            <v>3016885070</v>
          </cell>
          <cell r="I199" t="str">
            <v>Tratamiento</v>
          </cell>
          <cell r="K199" t="str">
            <v>SI</v>
          </cell>
          <cell r="L199" t="str">
            <v>SI</v>
          </cell>
          <cell r="M199" t="str">
            <v>Wilfrido Rafael Ortega Ruiz</v>
          </cell>
        </row>
        <row r="200">
          <cell r="A200">
            <v>8779085</v>
          </cell>
          <cell r="B200">
            <v>199</v>
          </cell>
          <cell r="C200" t="str">
            <v>Rafael</v>
          </cell>
          <cell r="D200" t="str">
            <v>Baranquilla</v>
          </cell>
          <cell r="E200" t="str">
            <v>Kra 7d #74-45</v>
          </cell>
          <cell r="F200" t="str">
            <v>Por dónde rosendo</v>
          </cell>
          <cell r="G200" t="str">
            <v>3023035589</v>
          </cell>
          <cell r="H200" t="str">
            <v>3016065430</v>
          </cell>
          <cell r="I200" t="str">
            <v>Tratamiento</v>
          </cell>
          <cell r="K200" t="str">
            <v>SI</v>
          </cell>
          <cell r="L200" t="str">
            <v>SI</v>
          </cell>
          <cell r="M200" t="str">
            <v>Rafael Alberto Carrillo Villa</v>
          </cell>
        </row>
        <row r="201">
          <cell r="A201">
            <v>8799243</v>
          </cell>
          <cell r="B201">
            <v>200</v>
          </cell>
          <cell r="C201" t="str">
            <v xml:space="preserve">José Luis </v>
          </cell>
          <cell r="D201" t="str">
            <v>Baranquilla</v>
          </cell>
          <cell r="E201" t="str">
            <v>Calle77cr6e-64</v>
          </cell>
          <cell r="F201" t="str">
            <v/>
          </cell>
          <cell r="G201" t="str">
            <v>3016472287</v>
          </cell>
          <cell r="H201" t="str">
            <v>3242223096</v>
          </cell>
          <cell r="I201" t="str">
            <v>Tratamiento</v>
          </cell>
          <cell r="K201" t="str">
            <v>SI</v>
          </cell>
          <cell r="L201" t="str">
            <v>SI</v>
          </cell>
          <cell r="M201" t="str">
            <v>Jose Luis Torres Rivera</v>
          </cell>
        </row>
        <row r="202">
          <cell r="A202">
            <v>1002793265</v>
          </cell>
          <cell r="B202">
            <v>201</v>
          </cell>
          <cell r="C202" t="str">
            <v>YAMILE</v>
          </cell>
          <cell r="D202" t="str">
            <v>Cali</v>
          </cell>
          <cell r="E202" t="str">
            <v>CL4C OESTE 76CBIS-33</v>
          </cell>
          <cell r="F202" t="str">
            <v xml:space="preserve">Por el chut de la basura, en el árbol de aguacate en cesoles </v>
          </cell>
          <cell r="G202" t="str">
            <v>3218197872</v>
          </cell>
          <cell r="H202" t="str">
            <v>3187957706</v>
          </cell>
          <cell r="I202" t="str">
            <v>Tratamiento</v>
          </cell>
          <cell r="K202" t="str">
            <v>SI</v>
          </cell>
          <cell r="L202" t="str">
            <v>SI</v>
          </cell>
          <cell r="M202" t="str">
            <v>YAMILE BAHOS BELTRAN</v>
          </cell>
          <cell r="N202" t="e">
            <v>#N/A</v>
          </cell>
        </row>
        <row r="203">
          <cell r="A203">
            <v>1005873832</v>
          </cell>
          <cell r="B203">
            <v>202</v>
          </cell>
          <cell r="C203" t="str">
            <v xml:space="preserve">Jennifer </v>
          </cell>
          <cell r="D203" t="str">
            <v>Cali</v>
          </cell>
          <cell r="E203" t="str">
            <v>Cll 4b oeste 73 55</v>
          </cell>
          <cell r="F203" t="str">
            <v>Dos casas más adelante de las casas de las minas</v>
          </cell>
          <cell r="G203" t="str">
            <v>3113913831</v>
          </cell>
          <cell r="H203" t="str">
            <v>3164328724</v>
          </cell>
          <cell r="I203" t="str">
            <v>Tratamiento</v>
          </cell>
          <cell r="J203" t="str">
            <v>NO TIENE FOTOS</v>
          </cell>
          <cell r="K203" t="str">
            <v>SI</v>
          </cell>
          <cell r="L203" t="str">
            <v>SI</v>
          </cell>
          <cell r="M203" t="e">
            <v>#N/A</v>
          </cell>
          <cell r="N203" t="str">
            <v>JENNIFER VICTORIA LEON</v>
          </cell>
        </row>
        <row r="204">
          <cell r="A204">
            <v>1006233749</v>
          </cell>
          <cell r="B204">
            <v>203</v>
          </cell>
          <cell r="C204" t="str">
            <v>Laura natali</v>
          </cell>
          <cell r="D204" t="str">
            <v>Cali</v>
          </cell>
          <cell r="E204" t="str">
            <v>CL 3F OESTE 66B 127</v>
          </cell>
          <cell r="F204" t="str">
            <v>Cerca a los escombros</v>
          </cell>
          <cell r="G204" t="str">
            <v>3206148032</v>
          </cell>
          <cell r="H204" t="str">
            <v>3145163942</v>
          </cell>
          <cell r="I204" t="str">
            <v>Tratamiento</v>
          </cell>
          <cell r="K204" t="str">
            <v>SI</v>
          </cell>
          <cell r="L204" t="str">
            <v>SI</v>
          </cell>
          <cell r="M204" t="str">
            <v>LAURA NATALY JOJOHA</v>
          </cell>
          <cell r="N204" t="e">
            <v>#N/A</v>
          </cell>
        </row>
        <row r="205">
          <cell r="A205">
            <v>10375239</v>
          </cell>
          <cell r="B205">
            <v>204</v>
          </cell>
          <cell r="C205" t="str">
            <v>José nain</v>
          </cell>
          <cell r="D205" t="str">
            <v>Cali</v>
          </cell>
          <cell r="E205" t="str">
            <v>Manzana 5  casa 227</v>
          </cell>
          <cell r="F205" t="str">
            <v>Tienda de don cheo al frente.  Por las gradas por la subida</v>
          </cell>
          <cell r="G205" t="str">
            <v>3164206202</v>
          </cell>
          <cell r="H205" t="str">
            <v>3173561137</v>
          </cell>
          <cell r="I205" t="str">
            <v>Tratamiento</v>
          </cell>
          <cell r="K205" t="str">
            <v>SI</v>
          </cell>
          <cell r="L205" t="str">
            <v>SI</v>
          </cell>
          <cell r="M205" t="e">
            <v>#N/A</v>
          </cell>
          <cell r="N205" t="str">
            <v>JOSE NAIN MOSQUERA CHICO</v>
          </cell>
        </row>
        <row r="206">
          <cell r="A206">
            <v>10472271</v>
          </cell>
          <cell r="B206">
            <v>205</v>
          </cell>
          <cell r="C206" t="str">
            <v>Reinaldo</v>
          </cell>
          <cell r="D206" t="str">
            <v>Cali</v>
          </cell>
          <cell r="E206" t="str">
            <v>CL 4 b oeste 73 74</v>
          </cell>
          <cell r="F206" t="str">
            <v>La cancha de las minas</v>
          </cell>
          <cell r="G206" t="str">
            <v>3205454499</v>
          </cell>
          <cell r="H206" t="str">
            <v>3127286804</v>
          </cell>
          <cell r="I206" t="str">
            <v>Tratamiento</v>
          </cell>
          <cell r="K206" t="str">
            <v>SI</v>
          </cell>
          <cell r="L206" t="str">
            <v>SI</v>
          </cell>
          <cell r="M206" t="e">
            <v>#N/A</v>
          </cell>
          <cell r="N206" t="str">
            <v>REINALDO LUCUMI</v>
          </cell>
        </row>
        <row r="207">
          <cell r="A207">
            <v>1059044849</v>
          </cell>
          <cell r="B207">
            <v>206</v>
          </cell>
          <cell r="C207" t="str">
            <v>Ninsen  yane</v>
          </cell>
          <cell r="D207" t="str">
            <v>Cali</v>
          </cell>
          <cell r="E207" t="str">
            <v>MANZANA 5 CASA 8 SECTOR DE LAS MINAS</v>
          </cell>
          <cell r="F207" t="str">
            <v xml:space="preserve">La tienda de don cheo. Alfrente por las gradas </v>
          </cell>
          <cell r="G207" t="str">
            <v>3212965341</v>
          </cell>
          <cell r="H207" t="str">
            <v>3106557963</v>
          </cell>
          <cell r="I207" t="str">
            <v>Tratamiento</v>
          </cell>
          <cell r="J207" t="str">
            <v>Cali</v>
          </cell>
          <cell r="K207" t="str">
            <v>SI</v>
          </cell>
          <cell r="L207" t="str">
            <v>SI</v>
          </cell>
          <cell r="M207" t="e">
            <v>#N/A</v>
          </cell>
          <cell r="N207" t="str">
            <v>NILSEN YANE ANGULO ANGULO</v>
          </cell>
        </row>
        <row r="208">
          <cell r="A208">
            <v>1059044885</v>
          </cell>
          <cell r="B208">
            <v>207</v>
          </cell>
          <cell r="C208" t="str">
            <v>LUZ DARY</v>
          </cell>
          <cell r="D208" t="str">
            <v>Cali</v>
          </cell>
          <cell r="E208" t="str">
            <v>CARRERA 33D CON 82</v>
          </cell>
          <cell r="F208" t="str">
            <v>Por el control de los jeeps de la cruz</v>
          </cell>
          <cell r="G208" t="str">
            <v>3145125224</v>
          </cell>
          <cell r="H208" t="str">
            <v>3128430658</v>
          </cell>
          <cell r="I208" t="str">
            <v>Tratamiento</v>
          </cell>
          <cell r="K208" t="str">
            <v>SI</v>
          </cell>
          <cell r="L208" t="str">
            <v>SI</v>
          </cell>
          <cell r="M208" t="str">
            <v>LUZ DARY HINESTROZA</v>
          </cell>
          <cell r="N208" t="e">
            <v>#N/A</v>
          </cell>
        </row>
        <row r="209">
          <cell r="A209">
            <v>1059986053</v>
          </cell>
          <cell r="B209">
            <v>208</v>
          </cell>
          <cell r="C209" t="str">
            <v>Jania Paola</v>
          </cell>
          <cell r="D209" t="str">
            <v>Cali</v>
          </cell>
          <cell r="E209" t="str">
            <v>Cr 74G oeste 4B 80</v>
          </cell>
          <cell r="F209" t="str">
            <v>Directo comedor de las minas</v>
          </cell>
          <cell r="G209" t="str">
            <v>3207143579</v>
          </cell>
          <cell r="H209" t="str">
            <v>3233970201</v>
          </cell>
          <cell r="I209" t="str">
            <v>Tratamiento</v>
          </cell>
          <cell r="K209" t="str">
            <v>SI</v>
          </cell>
          <cell r="L209" t="str">
            <v>SI</v>
          </cell>
          <cell r="M209" t="e">
            <v>#N/A</v>
          </cell>
          <cell r="N209" t="str">
            <v>JANIA PAOLA CAICEDO CUERO</v>
          </cell>
        </row>
        <row r="210">
          <cell r="A210">
            <v>1060102242</v>
          </cell>
          <cell r="B210">
            <v>209</v>
          </cell>
          <cell r="C210" t="str">
            <v xml:space="preserve">Luz estrella </v>
          </cell>
          <cell r="D210" t="str">
            <v>Cali</v>
          </cell>
          <cell r="E210" t="str">
            <v>MANZANA 1 CASA 75 LAS MINAS</v>
          </cell>
          <cell r="F210" t="str">
            <v/>
          </cell>
          <cell r="G210" t="str">
            <v>3146769002</v>
          </cell>
          <cell r="H210" t="str">
            <v>3145720130</v>
          </cell>
          <cell r="I210" t="str">
            <v>Tratamiento</v>
          </cell>
          <cell r="K210" t="str">
            <v>SI</v>
          </cell>
          <cell r="L210" t="str">
            <v>SI</v>
          </cell>
          <cell r="M210" t="e">
            <v>#N/A</v>
          </cell>
          <cell r="N210" t="str">
            <v>LUZ ESTRELLA GUETIO ZETTY</v>
          </cell>
        </row>
        <row r="211">
          <cell r="A211">
            <v>1061433798</v>
          </cell>
          <cell r="B211">
            <v>210</v>
          </cell>
          <cell r="C211" t="str">
            <v>Hely jhoana</v>
          </cell>
          <cell r="D211" t="str">
            <v>Cali</v>
          </cell>
          <cell r="E211" t="str">
            <v>Cra 71 a bis oeste 4b 05</v>
          </cell>
          <cell r="F211" t="str">
            <v>Bailadero de don William  por la 2da subida  de las minas</v>
          </cell>
          <cell r="G211" t="str">
            <v>3158926573</v>
          </cell>
          <cell r="H211" t="str">
            <v>3173102237</v>
          </cell>
          <cell r="I211" t="str">
            <v>Tratamiento</v>
          </cell>
          <cell r="K211" t="str">
            <v>SI</v>
          </cell>
          <cell r="L211" t="str">
            <v>SI</v>
          </cell>
          <cell r="M211" t="e">
            <v>#N/A</v>
          </cell>
          <cell r="N211" t="str">
            <v>HELY JOHANNA ZUÑIGA HUILA</v>
          </cell>
        </row>
        <row r="212">
          <cell r="A212">
            <v>1062297779</v>
          </cell>
          <cell r="B212">
            <v>211</v>
          </cell>
          <cell r="C212" t="str">
            <v xml:space="preserve">Claudia Milena </v>
          </cell>
          <cell r="D212" t="str">
            <v>Cali</v>
          </cell>
          <cell r="E212" t="str">
            <v>CL 4 B oeste 73 18</v>
          </cell>
          <cell r="F212" t="str">
            <v>Al frente a la cancha de las minas</v>
          </cell>
          <cell r="G212" t="str">
            <v>3233794660</v>
          </cell>
          <cell r="H212" t="str">
            <v xml:space="preserve">No dan información </v>
          </cell>
          <cell r="I212" t="str">
            <v>Tratamiento</v>
          </cell>
          <cell r="J212" t="str">
            <v>Cali</v>
          </cell>
          <cell r="K212" t="str">
            <v>SI</v>
          </cell>
          <cell r="L212" t="str">
            <v>SI</v>
          </cell>
          <cell r="M212" t="e">
            <v>#N/A</v>
          </cell>
          <cell r="N212" t="str">
            <v>CLAUDIA MILENA SABOGAL YANTEN</v>
          </cell>
        </row>
        <row r="213">
          <cell r="A213">
            <v>1067461300</v>
          </cell>
          <cell r="B213">
            <v>212</v>
          </cell>
          <cell r="C213" t="str">
            <v>Diana lucero</v>
          </cell>
          <cell r="D213" t="str">
            <v>Cali</v>
          </cell>
          <cell r="E213" t="str">
            <v>CL 4b 74 76</v>
          </cell>
          <cell r="F213" t="str">
            <v/>
          </cell>
          <cell r="G213" t="str">
            <v>3202776554</v>
          </cell>
          <cell r="H213" t="str">
            <v>3135211426</v>
          </cell>
          <cell r="I213" t="str">
            <v>Tratamiento</v>
          </cell>
          <cell r="K213" t="str">
            <v>SI</v>
          </cell>
          <cell r="L213" t="str">
            <v>SI</v>
          </cell>
          <cell r="M213" t="e">
            <v>#N/A</v>
          </cell>
          <cell r="N213" t="str">
            <v>DIANA LUCERO BELALCÁZAR PECHENE</v>
          </cell>
        </row>
        <row r="214">
          <cell r="A214">
            <v>10741712</v>
          </cell>
          <cell r="B214">
            <v>213</v>
          </cell>
          <cell r="C214" t="str">
            <v>Milton Javier</v>
          </cell>
          <cell r="D214" t="str">
            <v>Cali</v>
          </cell>
          <cell r="E214" t="str">
            <v>Cl 4b  bis oeste 73 a 33</v>
          </cell>
          <cell r="F214" t="str">
            <v>Cancha la minas</v>
          </cell>
          <cell r="G214" t="str">
            <v>3165049532</v>
          </cell>
          <cell r="H214" t="str">
            <v>3166175439</v>
          </cell>
          <cell r="I214" t="str">
            <v>Tratamiento</v>
          </cell>
          <cell r="K214" t="str">
            <v>SI</v>
          </cell>
          <cell r="L214" t="str">
            <v>SI</v>
          </cell>
          <cell r="M214" t="e">
            <v>#N/A</v>
          </cell>
          <cell r="N214" t="str">
            <v>MILTON JAVIER SABOGAL YANTEN</v>
          </cell>
        </row>
        <row r="215">
          <cell r="A215">
            <v>10751150</v>
          </cell>
          <cell r="B215">
            <v>214</v>
          </cell>
          <cell r="C215" t="str">
            <v>Fanor Alexis</v>
          </cell>
          <cell r="D215" t="str">
            <v>Cali</v>
          </cell>
          <cell r="E215" t="str">
            <v>CL 4 DBIS OESTE 70A-20</v>
          </cell>
          <cell r="F215" t="str">
            <v>Vecina de José Alirio Daza</v>
          </cell>
          <cell r="G215" t="str">
            <v>3157401625</v>
          </cell>
          <cell r="H215" t="str">
            <v>3113432035</v>
          </cell>
          <cell r="I215" t="str">
            <v>Tratamiento</v>
          </cell>
          <cell r="J215"/>
          <cell r="M215" t="e">
            <v>#N/A</v>
          </cell>
          <cell r="N215" t="e">
            <v>#N/A</v>
          </cell>
        </row>
        <row r="216">
          <cell r="A216">
            <v>1080835928</v>
          </cell>
          <cell r="B216">
            <v>215</v>
          </cell>
          <cell r="C216" t="str">
            <v>María magnolia</v>
          </cell>
          <cell r="D216" t="str">
            <v>Cali</v>
          </cell>
          <cell r="E216" t="str">
            <v>Cr 74 G oeste 4 23</v>
          </cell>
          <cell r="F216" t="str">
            <v/>
          </cell>
          <cell r="G216" t="str">
            <v>3173281219</v>
          </cell>
          <cell r="H216" t="str">
            <v>3166177286</v>
          </cell>
          <cell r="I216" t="str">
            <v>Tratamiento</v>
          </cell>
          <cell r="K216" t="str">
            <v>SI</v>
          </cell>
          <cell r="L216" t="str">
            <v>SI</v>
          </cell>
          <cell r="M216" t="e">
            <v>#N/A</v>
          </cell>
          <cell r="N216" t="str">
            <v>MARIA MAGOLA MESA CASTILLO</v>
          </cell>
        </row>
        <row r="217">
          <cell r="A217">
            <v>1107036712</v>
          </cell>
          <cell r="B217">
            <v>216</v>
          </cell>
          <cell r="C217" t="str">
            <v xml:space="preserve">Anderson </v>
          </cell>
          <cell r="D217" t="str">
            <v>Cali</v>
          </cell>
          <cell r="E217" t="str">
            <v>Cr 74g # 4b 19</v>
          </cell>
          <cell r="F217" t="str">
            <v>Comedor comunitario las minas  los chorros</v>
          </cell>
          <cell r="G217" t="str">
            <v>3122818769</v>
          </cell>
          <cell r="H217" t="str">
            <v>3197659946</v>
          </cell>
          <cell r="I217" t="str">
            <v>Tratamiento</v>
          </cell>
          <cell r="K217" t="str">
            <v>SI</v>
          </cell>
          <cell r="L217" t="str">
            <v>SI</v>
          </cell>
          <cell r="M217" t="e">
            <v>#N/A</v>
          </cell>
          <cell r="N217" t="str">
            <v>ANDERSON TORRES LUCUMI</v>
          </cell>
        </row>
        <row r="218">
          <cell r="A218">
            <v>1107038099</v>
          </cell>
          <cell r="B218">
            <v>217</v>
          </cell>
          <cell r="C218" t="str">
            <v>Andrés felipe</v>
          </cell>
          <cell r="D218" t="str">
            <v>Cali</v>
          </cell>
          <cell r="E218" t="str">
            <v>Cr 74g oeste 4 37 escuela las minas</v>
          </cell>
          <cell r="F218" t="str">
            <v>Escuela las minas</v>
          </cell>
          <cell r="G218" t="str">
            <v>3116542953</v>
          </cell>
          <cell r="H218" t="str">
            <v>3156810178</v>
          </cell>
          <cell r="I218" t="str">
            <v>Tratamiento</v>
          </cell>
          <cell r="K218" t="str">
            <v>SI</v>
          </cell>
          <cell r="L218" t="str">
            <v>SI</v>
          </cell>
          <cell r="M218" t="e">
            <v>#N/A</v>
          </cell>
          <cell r="N218" t="str">
            <v>ANDRES FELIPE GONZALEZ ESPINOSA</v>
          </cell>
        </row>
        <row r="219">
          <cell r="A219">
            <v>1107062248</v>
          </cell>
          <cell r="B219">
            <v>218</v>
          </cell>
          <cell r="C219" t="str">
            <v>Zoraida</v>
          </cell>
          <cell r="D219" t="str">
            <v>Cali</v>
          </cell>
          <cell r="E219" t="str">
            <v>CALLE 4D OESTE 76-24</v>
          </cell>
          <cell r="F219" t="str">
            <v>Al frente de la cancha la.cruz</v>
          </cell>
          <cell r="G219" t="str">
            <v>1107062248</v>
          </cell>
          <cell r="H219" t="str">
            <v>3187869407</v>
          </cell>
          <cell r="I219" t="str">
            <v>Tratamiento</v>
          </cell>
          <cell r="K219" t="str">
            <v>SI</v>
          </cell>
          <cell r="L219" t="str">
            <v>SI</v>
          </cell>
          <cell r="M219" t="str">
            <v>SORAIDA ARCOS</v>
          </cell>
          <cell r="N219" t="e">
            <v>#N/A</v>
          </cell>
        </row>
        <row r="220">
          <cell r="A220">
            <v>1107082402</v>
          </cell>
          <cell r="B220">
            <v>219</v>
          </cell>
          <cell r="C220" t="str">
            <v>MAYRA ALEJANDRA</v>
          </cell>
          <cell r="D220" t="str">
            <v>Cali</v>
          </cell>
          <cell r="E220" t="str">
            <v>CL 4C OESTE 76C BIS 19</v>
          </cell>
          <cell r="F220" t="str">
            <v>DEL VIVERO LA ESPERANZA A LA 3 CASA</v>
          </cell>
          <cell r="G220" t="str">
            <v>3178606148</v>
          </cell>
          <cell r="H220" t="str">
            <v>3163140992</v>
          </cell>
          <cell r="I220" t="str">
            <v>Tratamiento</v>
          </cell>
          <cell r="K220" t="str">
            <v>SI</v>
          </cell>
          <cell r="L220" t="str">
            <v>SI</v>
          </cell>
          <cell r="M220" t="str">
            <v>MAYRA ALEJANDRA MUÑOZ</v>
          </cell>
          <cell r="N220" t="e">
            <v>#N/A</v>
          </cell>
        </row>
        <row r="221">
          <cell r="A221">
            <v>1107101692</v>
          </cell>
          <cell r="B221">
            <v>220</v>
          </cell>
          <cell r="C221" t="str">
            <v xml:space="preserve">Lorena </v>
          </cell>
          <cell r="D221" t="str">
            <v>Cali</v>
          </cell>
          <cell r="E221" t="str">
            <v>Cr 74g oeste 4b 62</v>
          </cell>
          <cell r="F221" t="str">
            <v>Comedor de las minas. Por la Rampla hacia arriba</v>
          </cell>
          <cell r="G221" t="str">
            <v>3218984054.</v>
          </cell>
          <cell r="H221" t="str">
            <v xml:space="preserve">No dan información </v>
          </cell>
          <cell r="I221" t="str">
            <v>Tratamiento</v>
          </cell>
          <cell r="K221" t="str">
            <v>SI</v>
          </cell>
          <cell r="L221" t="str">
            <v>SI</v>
          </cell>
          <cell r="M221" t="e">
            <v>#N/A</v>
          </cell>
          <cell r="N221" t="str">
            <v>LORENA CAICEDO CAICEDO</v>
          </cell>
        </row>
        <row r="222">
          <cell r="A222">
            <v>1107528203</v>
          </cell>
          <cell r="B222">
            <v>221</v>
          </cell>
          <cell r="C222" t="str">
            <v xml:space="preserve">Jon jarol </v>
          </cell>
          <cell r="D222" t="str">
            <v>Cali</v>
          </cell>
          <cell r="E222" t="str">
            <v>Cl 4b oeste 7310</v>
          </cell>
          <cell r="F222" t="str">
            <v xml:space="preserve">Por la tienda de don cheo cerca a la concha de las minas </v>
          </cell>
          <cell r="G222" t="str">
            <v>3163983902</v>
          </cell>
          <cell r="H222" t="str">
            <v>3160525170</v>
          </cell>
          <cell r="I222" t="str">
            <v>Tratamiento</v>
          </cell>
          <cell r="J222" t="str">
            <v>Cali</v>
          </cell>
          <cell r="K222" t="str">
            <v>SI</v>
          </cell>
          <cell r="L222" t="str">
            <v>SI</v>
          </cell>
          <cell r="M222" t="e">
            <v>#N/A</v>
          </cell>
          <cell r="N222" t="str">
            <v>DIANA PATRICIA TORRES HOYOS</v>
          </cell>
        </row>
        <row r="223">
          <cell r="A223">
            <v>1112459228</v>
          </cell>
          <cell r="B223">
            <v>222</v>
          </cell>
          <cell r="C223" t="str">
            <v>Paola</v>
          </cell>
          <cell r="D223" t="str">
            <v>Cali</v>
          </cell>
          <cell r="E223" t="str">
            <v>MANZANA 30 CASA 9 LAS MINAS</v>
          </cell>
          <cell r="F223" t="str">
            <v/>
          </cell>
          <cell r="G223" t="str">
            <v>3206872807</v>
          </cell>
          <cell r="H223" t="str">
            <v>3208326107</v>
          </cell>
          <cell r="I223" t="str">
            <v>Tratamiento</v>
          </cell>
          <cell r="K223" t="str">
            <v>SI</v>
          </cell>
          <cell r="L223" t="str">
            <v>SI</v>
          </cell>
          <cell r="M223" t="e">
            <v>#N/A</v>
          </cell>
          <cell r="N223" t="str">
            <v>PAOLA CRUZ</v>
          </cell>
        </row>
        <row r="224">
          <cell r="A224">
            <v>1112460885</v>
          </cell>
          <cell r="B224">
            <v>223</v>
          </cell>
          <cell r="C224" t="str">
            <v>Argenis</v>
          </cell>
          <cell r="D224" t="str">
            <v>Cali</v>
          </cell>
          <cell r="E224" t="str">
            <v>Kr 74G oeste 4-35</v>
          </cell>
          <cell r="F224" t="str">
            <v/>
          </cell>
          <cell r="G224" t="str">
            <v>3206387194</v>
          </cell>
          <cell r="H224" t="str">
            <v>3107076305</v>
          </cell>
          <cell r="I224" t="str">
            <v>Tratamiento</v>
          </cell>
          <cell r="K224" t="str">
            <v>SI</v>
          </cell>
          <cell r="L224" t="str">
            <v>SI</v>
          </cell>
          <cell r="M224" t="e">
            <v>#N/A</v>
          </cell>
          <cell r="N224" t="str">
            <v>ARGENIS FAJARDO FLOREZ</v>
          </cell>
        </row>
        <row r="225">
          <cell r="A225">
            <v>1112464691</v>
          </cell>
          <cell r="B225">
            <v>224</v>
          </cell>
          <cell r="C225" t="str">
            <v>Carlos Alberto</v>
          </cell>
          <cell r="D225" t="str">
            <v>Cali</v>
          </cell>
          <cell r="E225" t="str">
            <v>Cll 4 oeste # 73d bis 98</v>
          </cell>
          <cell r="F225" t="str">
            <v>Comedor pan vivo comunitario por la carretera. Casa blanca</v>
          </cell>
          <cell r="G225" t="str">
            <v>3212536034</v>
          </cell>
          <cell r="H225" t="str">
            <v>3146484250</v>
          </cell>
          <cell r="I225" t="str">
            <v>Tratamiento</v>
          </cell>
          <cell r="K225" t="str">
            <v>SI</v>
          </cell>
          <cell r="L225" t="str">
            <v>SI</v>
          </cell>
          <cell r="M225" t="e">
            <v>#N/A</v>
          </cell>
          <cell r="N225" t="str">
            <v>GLEISY ELENA GONZALEZ</v>
          </cell>
        </row>
        <row r="226">
          <cell r="A226">
            <v>1114729169</v>
          </cell>
          <cell r="B226">
            <v>225</v>
          </cell>
          <cell r="C226" t="str">
            <v>Diana Marcela</v>
          </cell>
          <cell r="D226" t="str">
            <v>Cali</v>
          </cell>
          <cell r="E226" t="str">
            <v>Cr 74 g oeste 4b 38</v>
          </cell>
          <cell r="F226" t="str">
            <v>Salon comunitario las minas hacia arriba por el planchon</v>
          </cell>
          <cell r="G226" t="str">
            <v>3202663175</v>
          </cell>
          <cell r="H226" t="str">
            <v>3216390961</v>
          </cell>
          <cell r="I226" t="str">
            <v>Tratamiento</v>
          </cell>
          <cell r="K226" t="str">
            <v>SI</v>
          </cell>
          <cell r="L226" t="str">
            <v>SI</v>
          </cell>
          <cell r="M226" t="e">
            <v>#N/A</v>
          </cell>
          <cell r="N226" t="str">
            <v>DIANA MARCELA REZA CAÑARTE</v>
          </cell>
        </row>
        <row r="227">
          <cell r="A227">
            <v>1118256990</v>
          </cell>
          <cell r="B227">
            <v>226</v>
          </cell>
          <cell r="C227" t="str">
            <v xml:space="preserve">Yorleny </v>
          </cell>
          <cell r="D227" t="str">
            <v>Cali</v>
          </cell>
          <cell r="E227" t="str">
            <v>CL 4D OESTE 76-38</v>
          </cell>
          <cell r="F227" t="str">
            <v>Diagonal donde doña Ana que vende chance</v>
          </cell>
          <cell r="G227" t="str">
            <v>3216375719</v>
          </cell>
          <cell r="H227" t="str">
            <v>3177162770</v>
          </cell>
          <cell r="I227" t="str">
            <v>Tratamiento</v>
          </cell>
          <cell r="K227" t="str">
            <v>SI</v>
          </cell>
          <cell r="L227" t="str">
            <v>SI</v>
          </cell>
          <cell r="M227" t="str">
            <v>YORLEINY BELTRAN</v>
          </cell>
          <cell r="N227" t="e">
            <v>#N/A</v>
          </cell>
        </row>
        <row r="228">
          <cell r="A228">
            <v>1130590826</v>
          </cell>
          <cell r="B228">
            <v>227</v>
          </cell>
          <cell r="C228" t="str">
            <v>Luis Angel</v>
          </cell>
          <cell r="D228" t="str">
            <v>Cali</v>
          </cell>
          <cell r="E228" t="str">
            <v>Kr 76 D OESTE 3A 75</v>
          </cell>
          <cell r="F228" t="str">
            <v>Al frente de tienda de alimentos perros a 3 viviendas del shut</v>
          </cell>
          <cell r="G228" t="str">
            <v>3176938524</v>
          </cell>
          <cell r="H228" t="str">
            <v>3165571996</v>
          </cell>
          <cell r="I228" t="str">
            <v>Tratamiento</v>
          </cell>
          <cell r="K228" t="str">
            <v>SI</v>
          </cell>
          <cell r="L228" t="str">
            <v>SI</v>
          </cell>
          <cell r="M228" t="str">
            <v>LUIS ANGEL GORZA BARONA</v>
          </cell>
          <cell r="N228" t="e">
            <v>#N/A</v>
          </cell>
        </row>
        <row r="229">
          <cell r="A229">
            <v>1130591575</v>
          </cell>
          <cell r="B229">
            <v>228</v>
          </cell>
          <cell r="C229" t="str">
            <v>Marlen</v>
          </cell>
          <cell r="D229" t="str">
            <v>Cali</v>
          </cell>
          <cell r="E229" t="str">
            <v>Cr 76 b oeste 4c 25 casa 2</v>
          </cell>
          <cell r="F229" t="str">
            <v>Preguntar la casa de los bravos</v>
          </cell>
          <cell r="G229" t="str">
            <v>3105927103</v>
          </cell>
          <cell r="H229" t="str">
            <v>3226888171</v>
          </cell>
          <cell r="I229" t="str">
            <v>Tratamiento</v>
          </cell>
          <cell r="K229" t="str">
            <v>SI</v>
          </cell>
          <cell r="L229" t="str">
            <v>SI</v>
          </cell>
          <cell r="M229" t="e">
            <v>#N/A</v>
          </cell>
          <cell r="N229" t="str">
            <v>MARLEN BRAVO MILLÁN</v>
          </cell>
        </row>
        <row r="230">
          <cell r="A230">
            <v>1130609656</v>
          </cell>
          <cell r="B230">
            <v>229</v>
          </cell>
          <cell r="C230" t="str">
            <v>Sonia Janeth</v>
          </cell>
          <cell r="D230" t="str">
            <v>Cali</v>
          </cell>
          <cell r="E230" t="str">
            <v>CL 4B oeste 73 79</v>
          </cell>
          <cell r="F230" t="str">
            <v>La cancha de las minas</v>
          </cell>
          <cell r="G230" t="str">
            <v>3146760645</v>
          </cell>
          <cell r="H230" t="str">
            <v>3228215099</v>
          </cell>
          <cell r="I230" t="str">
            <v>Tratamiento</v>
          </cell>
          <cell r="K230" t="str">
            <v>SI</v>
          </cell>
          <cell r="L230" t="str">
            <v>SI</v>
          </cell>
          <cell r="M230" t="e">
            <v>#N/A</v>
          </cell>
          <cell r="N230" t="str">
            <v>SONIA YANETH ORTEGA ARCOS</v>
          </cell>
        </row>
        <row r="231">
          <cell r="A231">
            <v>1130611960</v>
          </cell>
          <cell r="B231">
            <v>230</v>
          </cell>
          <cell r="C231" t="str">
            <v>Fran marden</v>
          </cell>
          <cell r="D231" t="str">
            <v>Cali</v>
          </cell>
          <cell r="E231" t="str">
            <v xml:space="preserve">No dan información </v>
          </cell>
          <cell r="F231" t="str">
            <v>Cercar al comedor de los mismas</v>
          </cell>
          <cell r="G231" t="str">
            <v>3219740537</v>
          </cell>
          <cell r="H231" t="str">
            <v xml:space="preserve">No dan información </v>
          </cell>
          <cell r="I231" t="str">
            <v>Tratamiento</v>
          </cell>
          <cell r="K231" t="str">
            <v>SI</v>
          </cell>
          <cell r="L231" t="str">
            <v>SI</v>
          </cell>
          <cell r="M231" t="e">
            <v>#N/A</v>
          </cell>
          <cell r="N231" t="str">
            <v>FRAN MARDEN GALLEGO YANGUATIN</v>
          </cell>
        </row>
        <row r="232">
          <cell r="A232">
            <v>1130621848</v>
          </cell>
          <cell r="B232">
            <v>231</v>
          </cell>
          <cell r="C232" t="str">
            <v xml:space="preserve">FRANCELINE </v>
          </cell>
          <cell r="D232" t="str">
            <v>Cali</v>
          </cell>
          <cell r="E232" t="str">
            <v>SECTOR TAMAYO</v>
          </cell>
          <cell r="F232" t="str">
            <v xml:space="preserve">Por el shut de la esperanza </v>
          </cell>
          <cell r="G232" t="str">
            <v>3206121872</v>
          </cell>
          <cell r="H232" t="str">
            <v>3104246281</v>
          </cell>
          <cell r="I232" t="str">
            <v>Tratamiento</v>
          </cell>
          <cell r="K232" t="str">
            <v>SI</v>
          </cell>
          <cell r="L232" t="str">
            <v>SI</v>
          </cell>
          <cell r="M232" t="str">
            <v>FRANCELINE MOJOMBOY</v>
          </cell>
          <cell r="N232" t="e">
            <v>#N/A</v>
          </cell>
        </row>
        <row r="233">
          <cell r="A233">
            <v>1130668655</v>
          </cell>
          <cell r="B233">
            <v>232</v>
          </cell>
          <cell r="C233" t="str">
            <v>Eliana</v>
          </cell>
          <cell r="D233" t="str">
            <v>Cali</v>
          </cell>
          <cell r="E233" t="str">
            <v>Cra 76B1 OESTE 4-13</v>
          </cell>
          <cell r="F233" t="str">
            <v>Al lado de fundacion de cesoles un callejón y la segunda casa</v>
          </cell>
          <cell r="G233" t="str">
            <v>3218729597</v>
          </cell>
          <cell r="H233" t="str">
            <v>3174209013</v>
          </cell>
          <cell r="I233" t="str">
            <v>Tratamiento</v>
          </cell>
          <cell r="K233" t="str">
            <v>SI</v>
          </cell>
          <cell r="L233" t="str">
            <v>SI</v>
          </cell>
          <cell r="M233" t="str">
            <v>ELIANA VANEGAS</v>
          </cell>
          <cell r="N233" t="e">
            <v>#N/A</v>
          </cell>
        </row>
        <row r="234">
          <cell r="A234">
            <v>1136060053</v>
          </cell>
          <cell r="B234">
            <v>233</v>
          </cell>
          <cell r="C234" t="str">
            <v xml:space="preserve">Paola </v>
          </cell>
          <cell r="D234" t="str">
            <v>Cali</v>
          </cell>
          <cell r="E234" t="str">
            <v>Cr  74 4b 45</v>
          </cell>
          <cell r="F234" t="str">
            <v xml:space="preserve"> Comedores las minas</v>
          </cell>
          <cell r="G234" t="str">
            <v>3239870168</v>
          </cell>
          <cell r="H234" t="str">
            <v xml:space="preserve">No dan información </v>
          </cell>
          <cell r="I234" t="str">
            <v>Tratamiento</v>
          </cell>
          <cell r="K234" t="str">
            <v>SI</v>
          </cell>
          <cell r="L234" t="str">
            <v>SI</v>
          </cell>
          <cell r="M234" t="e">
            <v>#N/A</v>
          </cell>
          <cell r="N234" t="str">
            <v>PAOLA ANDREA DIAZ ZAMORA</v>
          </cell>
        </row>
        <row r="235">
          <cell r="A235">
            <v>1143830506</v>
          </cell>
          <cell r="B235">
            <v>234</v>
          </cell>
          <cell r="C235" t="str">
            <v>Licet</v>
          </cell>
          <cell r="D235" t="str">
            <v>Cali</v>
          </cell>
          <cell r="E235" t="str">
            <v>CASA 673 SECTOR FINCAS ALTO LOS CHORROS</v>
          </cell>
          <cell r="F235" t="str">
            <v xml:space="preserve">Cerca a la torre </v>
          </cell>
          <cell r="G235" t="str">
            <v>3113314318</v>
          </cell>
          <cell r="H235" t="str">
            <v>3023948559</v>
          </cell>
          <cell r="I235" t="str">
            <v>Tratamiento</v>
          </cell>
          <cell r="J235" t="str">
            <v>Cali</v>
          </cell>
          <cell r="K235" t="str">
            <v>SI</v>
          </cell>
          <cell r="L235" t="str">
            <v>SI</v>
          </cell>
          <cell r="M235" t="str">
            <v>LICETH PALECHOR</v>
          </cell>
          <cell r="N235" t="e">
            <v>#N/A</v>
          </cell>
        </row>
        <row r="236">
          <cell r="A236">
            <v>1143831016</v>
          </cell>
          <cell r="B236">
            <v>235</v>
          </cell>
          <cell r="C236" t="str">
            <v xml:space="preserve">July Lorena </v>
          </cell>
          <cell r="D236" t="str">
            <v>Cali</v>
          </cell>
          <cell r="E236" t="str">
            <v>Kr 76D OESTE 2 47</v>
          </cell>
          <cell r="F236" t="str">
            <v>Al lado del antiguo SHUT</v>
          </cell>
          <cell r="G236" t="str">
            <v>3205880394</v>
          </cell>
          <cell r="H236" t="str">
            <v>3167920116</v>
          </cell>
          <cell r="I236" t="str">
            <v>Tratamiento</v>
          </cell>
          <cell r="K236" t="str">
            <v>SI</v>
          </cell>
          <cell r="L236" t="str">
            <v>SI</v>
          </cell>
          <cell r="M236" t="str">
            <v>JULY GIRALDO</v>
          </cell>
          <cell r="N236" t="e">
            <v>#N/A</v>
          </cell>
        </row>
        <row r="237">
          <cell r="A237">
            <v>1143841537</v>
          </cell>
          <cell r="B237">
            <v>236</v>
          </cell>
          <cell r="C237" t="str">
            <v xml:space="preserve">Luis Antonio </v>
          </cell>
          <cell r="D237" t="str">
            <v>Cali</v>
          </cell>
          <cell r="E237" t="str">
            <v>Cll 4b oeste manzana 2 casa10</v>
          </cell>
          <cell r="F237" t="str">
            <v>Cancha las minas   hacia la izquierda. Por una casa que venden helados portón negro. De allí diagonal</v>
          </cell>
          <cell r="G237" t="str">
            <v>3113088271</v>
          </cell>
          <cell r="H237" t="str">
            <v>3213071088</v>
          </cell>
          <cell r="I237" t="str">
            <v>Tratamiento</v>
          </cell>
          <cell r="K237" t="str">
            <v>SI</v>
          </cell>
          <cell r="L237" t="str">
            <v>SI</v>
          </cell>
          <cell r="M237" t="e">
            <v>#N/A</v>
          </cell>
          <cell r="N237" t="str">
            <v>LUIS ANTONIO RENGIFO POSSO</v>
          </cell>
        </row>
        <row r="238">
          <cell r="A238">
            <v>1143845493</v>
          </cell>
          <cell r="B238">
            <v>237</v>
          </cell>
          <cell r="C238" t="str">
            <v>Jessica andrea</v>
          </cell>
          <cell r="D238" t="str">
            <v>Cali</v>
          </cell>
          <cell r="E238" t="str">
            <v>CL 4DBIS OESTE 76A 15 APTO 101 ES SEGUNDO PISO</v>
          </cell>
          <cell r="F238" t="str">
            <v xml:space="preserve">Primer piso es  los pandebonos de wilmer </v>
          </cell>
          <cell r="G238" t="str">
            <v>3127409835</v>
          </cell>
          <cell r="H238" t="str">
            <v xml:space="preserve">No dan información </v>
          </cell>
          <cell r="I238" t="str">
            <v>Tratamiento</v>
          </cell>
          <cell r="K238" t="str">
            <v>SI</v>
          </cell>
          <cell r="L238" t="str">
            <v>SI</v>
          </cell>
          <cell r="M238" t="str">
            <v>JESSICA ANDREA JARAMILLO</v>
          </cell>
          <cell r="N238" t="e">
            <v>#N/A</v>
          </cell>
        </row>
        <row r="239">
          <cell r="A239">
            <v>1144024517</v>
          </cell>
          <cell r="B239">
            <v>238</v>
          </cell>
          <cell r="C239" t="str">
            <v>Fabio nelson</v>
          </cell>
          <cell r="D239" t="str">
            <v>Cali</v>
          </cell>
          <cell r="E239" t="str">
            <v>CL 4D  OESTE 70A 19</v>
          </cell>
          <cell r="F239" t="str">
            <v xml:space="preserve">Llegar a la tienda de doña Sandra y en la primera subida al frente </v>
          </cell>
          <cell r="G239" t="str">
            <v>3165405632</v>
          </cell>
          <cell r="H239" t="str">
            <v>0</v>
          </cell>
          <cell r="I239" t="str">
            <v>Tratamiento</v>
          </cell>
          <cell r="K239" t="str">
            <v>SI</v>
          </cell>
          <cell r="L239" t="str">
            <v>SI</v>
          </cell>
          <cell r="M239" t="str">
            <v>FABIO NELSON FAJARDO</v>
          </cell>
          <cell r="N239" t="e">
            <v>#N/A</v>
          </cell>
        </row>
        <row r="240">
          <cell r="A240">
            <v>1144030139</v>
          </cell>
          <cell r="B240">
            <v>239</v>
          </cell>
          <cell r="C240" t="str">
            <v>Isabel Cristina</v>
          </cell>
          <cell r="D240" t="str">
            <v>Cali</v>
          </cell>
          <cell r="E240" t="str">
            <v xml:space="preserve">No dan información </v>
          </cell>
          <cell r="F240" t="str">
            <v/>
          </cell>
          <cell r="G240" t="str">
            <v>3107554069</v>
          </cell>
          <cell r="H240" t="str">
            <v xml:space="preserve">No dan información </v>
          </cell>
          <cell r="I240" t="str">
            <v>Tratamiento</v>
          </cell>
          <cell r="J240" t="str">
            <v>Cali</v>
          </cell>
          <cell r="K240" t="str">
            <v>SI</v>
          </cell>
          <cell r="L240" t="str">
            <v>SI</v>
          </cell>
          <cell r="M240" t="e">
            <v>#N/A</v>
          </cell>
          <cell r="N240" t="str">
            <v>ISABEL CRISTINA ELEJALDE</v>
          </cell>
        </row>
        <row r="241">
          <cell r="A241">
            <v>1144031654</v>
          </cell>
          <cell r="B241">
            <v>240</v>
          </cell>
          <cell r="C241" t="str">
            <v xml:space="preserve">WILLIAM ESTEBAN </v>
          </cell>
          <cell r="D241" t="str">
            <v>Cali</v>
          </cell>
          <cell r="E241" t="str">
            <v>CALLE 4D OESTE 76-05</v>
          </cell>
          <cell r="F241" t="str">
            <v xml:space="preserve">Por el control de los jeeps de la cruz </v>
          </cell>
          <cell r="G241" t="str">
            <v>3161802452</v>
          </cell>
          <cell r="H241" t="str">
            <v>3122122356</v>
          </cell>
          <cell r="I241" t="str">
            <v>Tratamiento</v>
          </cell>
          <cell r="K241" t="str">
            <v>SI</v>
          </cell>
          <cell r="L241" t="str">
            <v>SI</v>
          </cell>
          <cell r="M241" t="str">
            <v>WILLIAM ESTEBAN DELGADO</v>
          </cell>
          <cell r="N241" t="e">
            <v>#N/A</v>
          </cell>
        </row>
        <row r="242">
          <cell r="A242">
            <v>1144034037</v>
          </cell>
          <cell r="B242">
            <v>241</v>
          </cell>
          <cell r="C242" t="str">
            <v xml:space="preserve">Yesica </v>
          </cell>
          <cell r="D242" t="str">
            <v>Cali</v>
          </cell>
          <cell r="E242" t="str">
            <v>Cr 74 4b 45</v>
          </cell>
          <cell r="F242" t="str">
            <v>Escuela las minas  por la Rampla hacia arriba</v>
          </cell>
          <cell r="G242" t="str">
            <v>3174535250</v>
          </cell>
          <cell r="H242" t="str">
            <v>3145680921</v>
          </cell>
          <cell r="I242" t="str">
            <v>Tratamiento</v>
          </cell>
          <cell r="K242" t="str">
            <v>SI</v>
          </cell>
          <cell r="L242" t="str">
            <v>SI</v>
          </cell>
          <cell r="M242" t="e">
            <v>#N/A</v>
          </cell>
          <cell r="N242" t="str">
            <v>YESICA ANACONA ZAMORA</v>
          </cell>
        </row>
        <row r="243">
          <cell r="A243">
            <v>1144035169</v>
          </cell>
          <cell r="B243">
            <v>242</v>
          </cell>
          <cell r="C243" t="str">
            <v>NANCY</v>
          </cell>
          <cell r="D243" t="str">
            <v>Cali</v>
          </cell>
          <cell r="E243" t="str">
            <v>CALLE 4D OESTE 76A-28</v>
          </cell>
          <cell r="F243" t="str">
            <v xml:space="preserve">Vía La Cruz por el control de los jeeps </v>
          </cell>
          <cell r="G243" t="str">
            <v>3126692495</v>
          </cell>
          <cell r="H243" t="str">
            <v>3126692495</v>
          </cell>
          <cell r="I243" t="str">
            <v>Tratamiento</v>
          </cell>
          <cell r="K243" t="str">
            <v>SI</v>
          </cell>
          <cell r="L243" t="str">
            <v>SI</v>
          </cell>
          <cell r="M243" t="str">
            <v>NANCY MARALLINO</v>
          </cell>
          <cell r="N243" t="e">
            <v>#N/A</v>
          </cell>
        </row>
        <row r="244">
          <cell r="A244">
            <v>1144037995</v>
          </cell>
          <cell r="B244">
            <v>243</v>
          </cell>
          <cell r="C244" t="str">
            <v>LUIS MIGUEL</v>
          </cell>
          <cell r="D244" t="str">
            <v>Cali</v>
          </cell>
          <cell r="E244" t="str">
            <v>Cra 76B OESTE #45 CASA 663 SECTOR OASIS</v>
          </cell>
          <cell r="F244" t="str">
            <v>Diagonal a la vecina Rusbita</v>
          </cell>
          <cell r="G244" t="str">
            <v>3138051160</v>
          </cell>
          <cell r="H244" t="str">
            <v xml:space="preserve">No dan información </v>
          </cell>
          <cell r="I244" t="str">
            <v>Tratamiento</v>
          </cell>
          <cell r="K244" t="str">
            <v>SI</v>
          </cell>
          <cell r="L244" t="str">
            <v>SI</v>
          </cell>
          <cell r="M244" t="str">
            <v>LUIS MIGUEL POTOSI</v>
          </cell>
          <cell r="N244" t="e">
            <v>#N/A</v>
          </cell>
        </row>
        <row r="245">
          <cell r="A245">
            <v>1144038638</v>
          </cell>
          <cell r="B245">
            <v>244</v>
          </cell>
          <cell r="C245" t="str">
            <v xml:space="preserve">WALTER </v>
          </cell>
          <cell r="D245" t="str">
            <v>Cali</v>
          </cell>
          <cell r="E245" t="str">
            <v>CASA 17 MANZANA 4A SECTOR OASIS</v>
          </cell>
          <cell r="F245" t="str">
            <v xml:space="preserve">Jardín de cesoles sigue el camino por el callejón la primera  bajada de escaleras la tercera casa </v>
          </cell>
          <cell r="G245" t="str">
            <v>3162226216</v>
          </cell>
          <cell r="H245" t="str">
            <v>3127376912</v>
          </cell>
          <cell r="I245" t="str">
            <v>Tratamiento</v>
          </cell>
          <cell r="K245" t="str">
            <v>SI</v>
          </cell>
          <cell r="L245" t="str">
            <v>SI</v>
          </cell>
          <cell r="M245" t="str">
            <v>WALTER JIMENEZ</v>
          </cell>
          <cell r="N245" t="e">
            <v>#N/A</v>
          </cell>
        </row>
        <row r="246">
          <cell r="A246">
            <v>1144038733</v>
          </cell>
          <cell r="B246">
            <v>245</v>
          </cell>
          <cell r="C246" t="str">
            <v>DAVID FRANCISCO</v>
          </cell>
          <cell r="D246" t="str">
            <v>Cali</v>
          </cell>
          <cell r="E246" t="str">
            <v>CALLE 4E OESTE 76-22</v>
          </cell>
          <cell r="F246" t="str">
            <v>Por el control de los jeeps de la cruz</v>
          </cell>
          <cell r="G246" t="str">
            <v>3135736226</v>
          </cell>
          <cell r="H246" t="str">
            <v>3128453312</v>
          </cell>
          <cell r="I246" t="str">
            <v>Tratamiento</v>
          </cell>
          <cell r="J246"/>
          <cell r="K246" t="str">
            <v>SI</v>
          </cell>
          <cell r="L246" t="str">
            <v>SI</v>
          </cell>
          <cell r="M246" t="str">
            <v>DAVID MARTIN</v>
          </cell>
          <cell r="N246" t="e">
            <v>#N/A</v>
          </cell>
        </row>
        <row r="247">
          <cell r="A247">
            <v>1144043798</v>
          </cell>
          <cell r="B247">
            <v>246</v>
          </cell>
          <cell r="C247" t="str">
            <v xml:space="preserve">LUZ DEI </v>
          </cell>
          <cell r="D247" t="str">
            <v>Cali</v>
          </cell>
          <cell r="E247" t="str">
            <v>CASA 702 CALLEJON EL ZAPOTE BARRIO LA ESPERANZA</v>
          </cell>
          <cell r="F247" t="str">
            <v>ALTO LA CRUZ, POR LA TORRE</v>
          </cell>
          <cell r="G247" t="str">
            <v>3163809851</v>
          </cell>
          <cell r="H247" t="str">
            <v>3238382578</v>
          </cell>
          <cell r="I247" t="str">
            <v>Tratamiento</v>
          </cell>
          <cell r="K247" t="str">
            <v>SI</v>
          </cell>
          <cell r="L247" t="str">
            <v>SI</v>
          </cell>
          <cell r="M247" t="str">
            <v>LUZ DEI CAÑA</v>
          </cell>
          <cell r="N247" t="e">
            <v>#N/A</v>
          </cell>
        </row>
        <row r="248">
          <cell r="A248">
            <v>1144045256</v>
          </cell>
          <cell r="B248">
            <v>247</v>
          </cell>
          <cell r="C248" t="str">
            <v>Leidy viviana</v>
          </cell>
          <cell r="D248" t="str">
            <v>Cali</v>
          </cell>
          <cell r="E248" t="str">
            <v>Cr 74g oeste 4b 32</v>
          </cell>
          <cell r="F248" t="str">
            <v>Comedor las minas hacia arriba por la rampla</v>
          </cell>
          <cell r="G248" t="str">
            <v>3164258746</v>
          </cell>
          <cell r="H248" t="str">
            <v>3184588742</v>
          </cell>
          <cell r="I248" t="str">
            <v>Tratamiento</v>
          </cell>
          <cell r="J248" t="str">
            <v>Cali</v>
          </cell>
          <cell r="K248" t="str">
            <v>SI</v>
          </cell>
          <cell r="L248" t="str">
            <v>SI</v>
          </cell>
          <cell r="M248" t="e">
            <v>#N/A</v>
          </cell>
          <cell r="N248" t="str">
            <v>LEIDY VIVIANA LLANOS ANGULO</v>
          </cell>
        </row>
        <row r="249">
          <cell r="A249">
            <v>1144046314</v>
          </cell>
          <cell r="B249">
            <v>248</v>
          </cell>
          <cell r="C249" t="str">
            <v>Angie Lorena</v>
          </cell>
          <cell r="D249" t="str">
            <v>Cali</v>
          </cell>
          <cell r="E249" t="str">
            <v xml:space="preserve">CL 3 C OESTE 76C 31
</v>
          </cell>
          <cell r="F249" t="str">
            <v>Al lado Tienda del mono</v>
          </cell>
          <cell r="G249" t="str">
            <v>3148086855</v>
          </cell>
          <cell r="H249" t="str">
            <v>3176258055</v>
          </cell>
          <cell r="I249" t="str">
            <v>Tratamiento</v>
          </cell>
          <cell r="K249" t="str">
            <v>SI</v>
          </cell>
          <cell r="L249" t="str">
            <v>SI</v>
          </cell>
          <cell r="M249" t="str">
            <v>ANGIE ALARCON</v>
          </cell>
          <cell r="N249" t="e">
            <v>#N/A</v>
          </cell>
        </row>
        <row r="250">
          <cell r="A250">
            <v>1144046952</v>
          </cell>
          <cell r="B250">
            <v>249</v>
          </cell>
          <cell r="C250" t="str">
            <v>Helda Libe</v>
          </cell>
          <cell r="D250" t="str">
            <v>Cali</v>
          </cell>
          <cell r="E250" t="str">
            <v xml:space="preserve">No dan información </v>
          </cell>
          <cell r="F250" t="str">
            <v>Al frente de la cancha</v>
          </cell>
          <cell r="G250" t="str">
            <v>3127869603</v>
          </cell>
          <cell r="H250" t="str">
            <v xml:space="preserve">No dan información </v>
          </cell>
          <cell r="I250" t="str">
            <v>Tratamiento</v>
          </cell>
          <cell r="K250" t="str">
            <v>SI</v>
          </cell>
          <cell r="L250" t="str">
            <v>SI</v>
          </cell>
          <cell r="M250" t="e">
            <v>#N/A</v>
          </cell>
          <cell r="N250" t="str">
            <v>HELDA LIBEY LUCUMI LUCUMI</v>
          </cell>
        </row>
        <row r="251">
          <cell r="A251">
            <v>1144051270</v>
          </cell>
          <cell r="B251">
            <v>250</v>
          </cell>
          <cell r="C251" t="str">
            <v xml:space="preserve">Yesica Andrea </v>
          </cell>
          <cell r="D251" t="str">
            <v>Cali</v>
          </cell>
          <cell r="E251" t="str">
            <v>CL 4A oeste 74G22</v>
          </cell>
          <cell r="F251" t="str">
            <v/>
          </cell>
          <cell r="G251" t="str">
            <v>3204811110</v>
          </cell>
          <cell r="H251" t="str">
            <v>3217752248</v>
          </cell>
          <cell r="I251" t="str">
            <v>Tratamiento</v>
          </cell>
          <cell r="K251" t="str">
            <v>SI</v>
          </cell>
          <cell r="L251" t="str">
            <v>SI</v>
          </cell>
          <cell r="M251" t="e">
            <v>#N/A</v>
          </cell>
          <cell r="N251" t="str">
            <v>JESSICA ANDREA LLANOS RODRIGUEZ</v>
          </cell>
        </row>
        <row r="252">
          <cell r="A252">
            <v>1144059852</v>
          </cell>
          <cell r="B252">
            <v>251</v>
          </cell>
          <cell r="C252" t="str">
            <v>Yohana Andrea</v>
          </cell>
          <cell r="D252" t="str">
            <v>Cali</v>
          </cell>
          <cell r="E252" t="str">
            <v>KR 77C oeste 4C 29</v>
          </cell>
          <cell r="F252" t="str">
            <v>Al lado de la Tienda Don Bolívar</v>
          </cell>
          <cell r="G252" t="str">
            <v>3128900716</v>
          </cell>
          <cell r="H252" t="str">
            <v>3113903410</v>
          </cell>
          <cell r="I252" t="str">
            <v>Tratamiento</v>
          </cell>
          <cell r="K252" t="str">
            <v>SI</v>
          </cell>
          <cell r="L252" t="str">
            <v>SI</v>
          </cell>
          <cell r="M252" t="str">
            <v>YOHANA CORREA</v>
          </cell>
          <cell r="N252" t="e">
            <v>#N/A</v>
          </cell>
        </row>
        <row r="253">
          <cell r="A253">
            <v>1144065963</v>
          </cell>
          <cell r="B253">
            <v>252</v>
          </cell>
          <cell r="C253" t="str">
            <v>José arbey</v>
          </cell>
          <cell r="D253" t="str">
            <v>Cali</v>
          </cell>
          <cell r="E253" t="str">
            <v>Cr 74 G 4 17</v>
          </cell>
          <cell r="F253" t="str">
            <v/>
          </cell>
          <cell r="G253" t="str">
            <v>3135587781</v>
          </cell>
          <cell r="H253" t="str">
            <v xml:space="preserve">No dan información </v>
          </cell>
          <cell r="I253" t="str">
            <v>Tratamiento</v>
          </cell>
          <cell r="K253" t="str">
            <v>SI</v>
          </cell>
          <cell r="L253" t="str">
            <v>SI</v>
          </cell>
          <cell r="M253" t="e">
            <v>#N/A</v>
          </cell>
          <cell r="N253" t="str">
            <v>JOSE ARBEY ZUÑIGA FERNANDEZ</v>
          </cell>
        </row>
        <row r="254">
          <cell r="A254">
            <v>1144071056</v>
          </cell>
          <cell r="B254">
            <v>253</v>
          </cell>
          <cell r="C254" t="str">
            <v>Leydi Tatiana</v>
          </cell>
          <cell r="D254" t="str">
            <v>Cali</v>
          </cell>
          <cell r="E254" t="str">
            <v>Cr 74G oeste 4b 44</v>
          </cell>
          <cell r="F254" t="str">
            <v/>
          </cell>
          <cell r="G254" t="str">
            <v>3117830696</v>
          </cell>
          <cell r="H254" t="str">
            <v>3147561527</v>
          </cell>
          <cell r="I254" t="str">
            <v>Tratamiento</v>
          </cell>
          <cell r="K254" t="str">
            <v>SI</v>
          </cell>
          <cell r="L254" t="str">
            <v>SI</v>
          </cell>
          <cell r="M254" t="e">
            <v>#N/A</v>
          </cell>
          <cell r="N254" t="str">
            <v>LEIDY TATIANA CAMILO MUÑOZ</v>
          </cell>
        </row>
        <row r="255">
          <cell r="A255">
            <v>1144082561</v>
          </cell>
          <cell r="B255">
            <v>254</v>
          </cell>
          <cell r="C255" t="str">
            <v>Diana Marcela</v>
          </cell>
          <cell r="D255" t="str">
            <v>Cali</v>
          </cell>
          <cell r="E255" t="str">
            <v>Kr 76 C OESTE 3 BIS 26</v>
          </cell>
          <cell r="F255" t="str">
            <v>Dg Ferretería Mery 5ta casa</v>
          </cell>
          <cell r="G255" t="str">
            <v>3173901749</v>
          </cell>
          <cell r="H255" t="str">
            <v>3126324695</v>
          </cell>
          <cell r="I255" t="str">
            <v>Tratamiento</v>
          </cell>
          <cell r="K255" t="str">
            <v>SI</v>
          </cell>
          <cell r="L255" t="str">
            <v>SI</v>
          </cell>
          <cell r="M255" t="str">
            <v>DIANA MARCELA HOYOS</v>
          </cell>
          <cell r="N255" t="e">
            <v>#N/A</v>
          </cell>
        </row>
        <row r="256">
          <cell r="A256">
            <v>1144094813</v>
          </cell>
          <cell r="B256">
            <v>255</v>
          </cell>
          <cell r="C256" t="str">
            <v xml:space="preserve">KEYLIN ELIANA </v>
          </cell>
          <cell r="D256" t="str">
            <v>Cali</v>
          </cell>
          <cell r="E256" t="str">
            <v>CRA  76B OESTE 4C-56</v>
          </cell>
          <cell r="F256" t="str">
            <v>Cerca a la tienda de doña marina</v>
          </cell>
          <cell r="G256" t="str">
            <v>3182612448</v>
          </cell>
          <cell r="H256" t="str">
            <v>3226622302</v>
          </cell>
          <cell r="I256" t="str">
            <v>Tratamiento</v>
          </cell>
          <cell r="K256" t="str">
            <v>SI</v>
          </cell>
          <cell r="L256" t="str">
            <v>SI</v>
          </cell>
          <cell r="M256" t="str">
            <v>ELIANA PILLAMUE</v>
          </cell>
          <cell r="N256" t="e">
            <v>#N/A</v>
          </cell>
        </row>
        <row r="257">
          <cell r="A257">
            <v>1144101026</v>
          </cell>
          <cell r="B257">
            <v>256</v>
          </cell>
          <cell r="C257" t="str">
            <v xml:space="preserve">Estefania </v>
          </cell>
          <cell r="D257" t="str">
            <v>Cali</v>
          </cell>
          <cell r="E257" t="str">
            <v>CL 4D OESTE 70A 11</v>
          </cell>
          <cell r="F257" t="str">
            <v>A partir de la tienda de don José derecho y finalizando las gradas la última casa</v>
          </cell>
          <cell r="G257" t="str">
            <v>3113816263</v>
          </cell>
          <cell r="H257" t="str">
            <v xml:space="preserve">No dan información </v>
          </cell>
          <cell r="I257" t="str">
            <v>Tratamiento</v>
          </cell>
          <cell r="K257" t="str">
            <v>SI</v>
          </cell>
          <cell r="L257" t="str">
            <v>SI</v>
          </cell>
          <cell r="M257" t="str">
            <v>ESTEFANIA HIDALGO</v>
          </cell>
          <cell r="N257" t="e">
            <v>#N/A</v>
          </cell>
        </row>
        <row r="258">
          <cell r="A258">
            <v>1144160399</v>
          </cell>
          <cell r="B258">
            <v>257</v>
          </cell>
          <cell r="C258" t="str">
            <v xml:space="preserve">Cindy Katherine </v>
          </cell>
          <cell r="D258" t="str">
            <v>Cali</v>
          </cell>
          <cell r="E258" t="str">
            <v>Cl 4 b oeste 73 d bis 6 08</v>
          </cell>
          <cell r="F258" t="str">
            <v>Comedor las minas  por la carretera   a una cuadra</v>
          </cell>
          <cell r="G258" t="str">
            <v>3174202310</v>
          </cell>
          <cell r="H258" t="str">
            <v>3025944546</v>
          </cell>
          <cell r="I258" t="str">
            <v>Tratamiento</v>
          </cell>
          <cell r="K258" t="str">
            <v>SI</v>
          </cell>
          <cell r="L258" t="str">
            <v>SI</v>
          </cell>
          <cell r="M258" t="e">
            <v>#N/A</v>
          </cell>
          <cell r="N258" t="str">
            <v>CINDY KATHERINE ORTEGA NIÑO</v>
          </cell>
        </row>
        <row r="259">
          <cell r="A259">
            <v>12207323</v>
          </cell>
          <cell r="B259">
            <v>258</v>
          </cell>
          <cell r="C259" t="str">
            <v>JORGE ISMAEL</v>
          </cell>
          <cell r="D259" t="str">
            <v>Cali</v>
          </cell>
          <cell r="E259" t="str">
            <v>CR 76C OESTE 4C BIS 24</v>
          </cell>
          <cell r="F259" t="str">
            <v>Subir por el callejón de la panadería y la tienda del mono subir todas las gradas hasta la segunda casa puerta blanca</v>
          </cell>
          <cell r="G259" t="str">
            <v>3172891544</v>
          </cell>
          <cell r="H259" t="str">
            <v>3052575841</v>
          </cell>
          <cell r="I259" t="str">
            <v>Tratamiento</v>
          </cell>
          <cell r="K259" t="str">
            <v>SI</v>
          </cell>
          <cell r="L259" t="str">
            <v>SI</v>
          </cell>
          <cell r="M259" t="str">
            <v>JORGE ISMAEL TRUQUE</v>
          </cell>
          <cell r="N259" t="e">
            <v>#N/A</v>
          </cell>
        </row>
        <row r="260">
          <cell r="A260">
            <v>12798984</v>
          </cell>
          <cell r="B260">
            <v>259</v>
          </cell>
          <cell r="C260" t="str">
            <v>Norma</v>
          </cell>
          <cell r="D260" t="str">
            <v>Cali</v>
          </cell>
          <cell r="E260" t="str">
            <v>MANZANA 1 CASA 15 SECTOR LAS MINAS</v>
          </cell>
          <cell r="F260" t="str">
            <v>Escuela de las minas, el comedor el parque de la esperanza</v>
          </cell>
          <cell r="G260" t="str">
            <v>3027388168</v>
          </cell>
          <cell r="H260" t="str">
            <v>3128427002</v>
          </cell>
          <cell r="I260" t="str">
            <v>Tratamiento</v>
          </cell>
          <cell r="K260" t="str">
            <v>SI</v>
          </cell>
          <cell r="L260" t="str">
            <v>SI</v>
          </cell>
          <cell r="M260" t="e">
            <v>#N/A</v>
          </cell>
          <cell r="N260" t="str">
            <v>NORMAN MONTAÑO SATIZABAL</v>
          </cell>
        </row>
        <row r="261">
          <cell r="A261">
            <v>1381356</v>
          </cell>
          <cell r="B261">
            <v>260</v>
          </cell>
          <cell r="C261" t="str">
            <v>Mario de jesus</v>
          </cell>
          <cell r="D261" t="str">
            <v>Cali</v>
          </cell>
          <cell r="E261" t="str">
            <v>Cra 74g. 4g 45</v>
          </cell>
          <cell r="F261" t="str">
            <v xml:space="preserve">Del comedor comunitario las minas.  Por la Rampla hacia arriba </v>
          </cell>
          <cell r="G261" t="str">
            <v>3207156384</v>
          </cell>
          <cell r="H261" t="str">
            <v>3127895601</v>
          </cell>
          <cell r="I261" t="str">
            <v>Tratamiento</v>
          </cell>
          <cell r="K261" t="str">
            <v>SI</v>
          </cell>
          <cell r="L261" t="str">
            <v>SI</v>
          </cell>
          <cell r="M261" t="e">
            <v>#N/A</v>
          </cell>
          <cell r="N261" t="str">
            <v>MARIO DE JESUS ZAMORA DIAZ</v>
          </cell>
        </row>
        <row r="262">
          <cell r="A262">
            <v>14446046</v>
          </cell>
          <cell r="B262">
            <v>261</v>
          </cell>
          <cell r="C262" t="str">
            <v xml:space="preserve">Guillermo </v>
          </cell>
          <cell r="D262" t="str">
            <v>Cali</v>
          </cell>
          <cell r="E262" t="str">
            <v>Cll 4 b oeste 73d bis</v>
          </cell>
          <cell r="F262" t="str">
            <v>Comedor de las minas.  Por la carretera</v>
          </cell>
          <cell r="G262" t="str">
            <v>3155617786</v>
          </cell>
          <cell r="H262" t="str">
            <v>3213288777</v>
          </cell>
          <cell r="I262" t="str">
            <v>Tratamiento</v>
          </cell>
          <cell r="K262" t="str">
            <v>SI</v>
          </cell>
          <cell r="L262" t="str">
            <v>SI</v>
          </cell>
          <cell r="M262" t="e">
            <v>#N/A</v>
          </cell>
          <cell r="N262" t="str">
            <v>GUILLERMO RIVAS</v>
          </cell>
        </row>
        <row r="263">
          <cell r="A263">
            <v>14468000</v>
          </cell>
          <cell r="B263">
            <v>262</v>
          </cell>
          <cell r="C263" t="str">
            <v xml:space="preserve">MIGUEL ÁNGEL </v>
          </cell>
          <cell r="D263" t="str">
            <v>Cali</v>
          </cell>
          <cell r="E263" t="str">
            <v>MANZANA 4 CASA 153 ALTO LA CRUZ LOS CHORROS</v>
          </cell>
          <cell r="F263" t="str">
            <v>Frente de la iglesia católica hay unas gradas y bajar hasta la penúltima casa</v>
          </cell>
          <cell r="G263" t="str">
            <v>3128452924</v>
          </cell>
          <cell r="H263" t="str">
            <v>3182985681</v>
          </cell>
          <cell r="I263" t="str">
            <v>Tratamiento</v>
          </cell>
          <cell r="J263" t="str">
            <v>Cali</v>
          </cell>
          <cell r="K263" t="str">
            <v>SI</v>
          </cell>
          <cell r="L263" t="str">
            <v>SI</v>
          </cell>
          <cell r="M263" t="str">
            <v>MIGUEL ANGEL MUÑOZ</v>
          </cell>
          <cell r="N263" t="e">
            <v>#N/A</v>
          </cell>
        </row>
        <row r="264">
          <cell r="A264">
            <v>14469075</v>
          </cell>
          <cell r="B264">
            <v>263</v>
          </cell>
          <cell r="C264" t="str">
            <v>OMAR ANDRES</v>
          </cell>
          <cell r="D264" t="str">
            <v>Cali</v>
          </cell>
          <cell r="E264" t="str">
            <v>CL 4D BIS OESTE 71A 21</v>
          </cell>
          <cell r="F264" t="str">
            <v>Al frente de la iglesia católica hay una bajada se voltea a mano derecha pasando un muro de piedra la primera casa</v>
          </cell>
          <cell r="G264" t="str">
            <v>3127816706</v>
          </cell>
          <cell r="H264" t="str">
            <v>3024241383</v>
          </cell>
          <cell r="I264" t="str">
            <v>Tratamiento</v>
          </cell>
          <cell r="K264" t="str">
            <v>SI</v>
          </cell>
          <cell r="L264" t="str">
            <v>SI</v>
          </cell>
          <cell r="M264" t="str">
            <v>OMAR ANDES ZUÑIGA</v>
          </cell>
          <cell r="N264" t="e">
            <v>#N/A</v>
          </cell>
        </row>
        <row r="265">
          <cell r="A265">
            <v>15609707</v>
          </cell>
          <cell r="B265">
            <v>264</v>
          </cell>
          <cell r="C265" t="str">
            <v xml:space="preserve">Yuleydy suhey </v>
          </cell>
          <cell r="D265" t="str">
            <v>Cali</v>
          </cell>
          <cell r="E265" t="str">
            <v>Cl 4b oeste 73d bis 81</v>
          </cell>
          <cell r="F265" t="str">
            <v>Escuela de las minas</v>
          </cell>
          <cell r="G265" t="str">
            <v>3117221766</v>
          </cell>
          <cell r="H265" t="str">
            <v>3182901687</v>
          </cell>
          <cell r="I265" t="str">
            <v>Tratamiento</v>
          </cell>
          <cell r="K265" t="str">
            <v>SI</v>
          </cell>
          <cell r="L265" t="str">
            <v>SI</v>
          </cell>
          <cell r="M265" t="e">
            <v>#N/A</v>
          </cell>
          <cell r="N265" t="str">
            <v>YULEYDY SUHEY OCHOA FREITES</v>
          </cell>
        </row>
        <row r="266">
          <cell r="A266">
            <v>1586059</v>
          </cell>
          <cell r="B266">
            <v>265</v>
          </cell>
          <cell r="C266" t="str">
            <v>Omar</v>
          </cell>
          <cell r="D266" t="str">
            <v>Cali</v>
          </cell>
          <cell r="E266" t="str">
            <v>CL 4 oeste 4dbis 102</v>
          </cell>
          <cell r="F266" t="str">
            <v/>
          </cell>
          <cell r="G266" t="str">
            <v>3126268248</v>
          </cell>
          <cell r="H266" t="str">
            <v xml:space="preserve">No dan información </v>
          </cell>
          <cell r="I266" t="str">
            <v>Tratamiento</v>
          </cell>
          <cell r="J266" t="str">
            <v>Cali</v>
          </cell>
          <cell r="K266" t="str">
            <v>SI</v>
          </cell>
          <cell r="L266" t="str">
            <v>SI</v>
          </cell>
          <cell r="M266" t="e">
            <v>#N/A</v>
          </cell>
          <cell r="N266" t="str">
            <v>OMAR CORREA GARRIDO</v>
          </cell>
        </row>
        <row r="267">
          <cell r="A267">
            <v>15901804</v>
          </cell>
          <cell r="B267">
            <v>266</v>
          </cell>
          <cell r="C267" t="str">
            <v>Gilberto antonio</v>
          </cell>
          <cell r="D267" t="str">
            <v>Cali</v>
          </cell>
          <cell r="E267" t="str">
            <v>CL 4D OESTE 76A-11</v>
          </cell>
          <cell r="F267" t="str">
            <v>Ninguna</v>
          </cell>
          <cell r="G267" t="str">
            <v>3104206816</v>
          </cell>
          <cell r="H267" t="str">
            <v>3206362451</v>
          </cell>
          <cell r="I267" t="str">
            <v>Tratamiento</v>
          </cell>
          <cell r="J267" t="str">
            <v>Cali</v>
          </cell>
          <cell r="K267" t="str">
            <v>SI</v>
          </cell>
          <cell r="L267" t="str">
            <v>SI</v>
          </cell>
          <cell r="M267" t="str">
            <v>GLBERTO BERRIO</v>
          </cell>
          <cell r="N267" t="e">
            <v>#N/A</v>
          </cell>
        </row>
        <row r="268">
          <cell r="A268">
            <v>15906342</v>
          </cell>
          <cell r="B268">
            <v>267</v>
          </cell>
          <cell r="C268" t="str">
            <v xml:space="preserve">Heli </v>
          </cell>
          <cell r="D268" t="str">
            <v>Cali</v>
          </cell>
          <cell r="E268" t="str">
            <v>Cr 74g oeste 4b 41</v>
          </cell>
          <cell r="F268" t="str">
            <v>La escuelita las minas. Hacia Riva   alfrente una casa prefabricada sin techo</v>
          </cell>
          <cell r="G268" t="str">
            <v>3125205250</v>
          </cell>
          <cell r="H268" t="str">
            <v xml:space="preserve">No dan información </v>
          </cell>
          <cell r="I268" t="str">
            <v>Tratamiento</v>
          </cell>
          <cell r="K268" t="str">
            <v>SI</v>
          </cell>
          <cell r="L268" t="str">
            <v>SI</v>
          </cell>
          <cell r="M268" t="e">
            <v>#N/A</v>
          </cell>
          <cell r="N268" t="str">
            <v>HELI VASQUEZ ZALAZAR</v>
          </cell>
        </row>
        <row r="269">
          <cell r="A269">
            <v>16591848</v>
          </cell>
          <cell r="B269">
            <v>268</v>
          </cell>
          <cell r="C269" t="str">
            <v>HÉCTOR FABIO</v>
          </cell>
          <cell r="D269" t="str">
            <v>Cali</v>
          </cell>
          <cell r="E269" t="str">
            <v>CR 76B OESTE 4C 57</v>
          </cell>
          <cell r="F269" t="str">
            <v>A 8 casas de la tienda doña marina</v>
          </cell>
          <cell r="G269" t="str">
            <v>3133943867</v>
          </cell>
          <cell r="H269" t="str">
            <v>3228933778</v>
          </cell>
          <cell r="I269" t="str">
            <v>Tratamiento</v>
          </cell>
          <cell r="K269" t="str">
            <v>SI</v>
          </cell>
          <cell r="L269" t="str">
            <v>SI</v>
          </cell>
          <cell r="M269" t="str">
            <v>HECTOR FABIO GARCIA</v>
          </cell>
          <cell r="N269" t="e">
            <v>#N/A</v>
          </cell>
        </row>
        <row r="270">
          <cell r="A270">
            <v>16778426</v>
          </cell>
          <cell r="B270">
            <v>269</v>
          </cell>
          <cell r="C270" t="str">
            <v>MARCOS JAVIER P</v>
          </cell>
          <cell r="D270" t="str">
            <v>Cali</v>
          </cell>
          <cell r="E270" t="str">
            <v>KR 72 OESTE 3A-104</v>
          </cell>
          <cell r="F270" t="str">
            <v xml:space="preserve">Sector Las Minas, por la gallera </v>
          </cell>
          <cell r="G270" t="str">
            <v>3206865948</v>
          </cell>
          <cell r="H270" t="str">
            <v>3112722342</v>
          </cell>
          <cell r="I270" t="str">
            <v>Tratamiento</v>
          </cell>
          <cell r="K270" t="str">
            <v>SI</v>
          </cell>
          <cell r="L270" t="str">
            <v>SI</v>
          </cell>
          <cell r="M270">
            <v>0</v>
          </cell>
          <cell r="N270" t="e">
            <v>#N/A</v>
          </cell>
        </row>
        <row r="271">
          <cell r="A271">
            <v>16781675</v>
          </cell>
          <cell r="B271">
            <v>270</v>
          </cell>
          <cell r="C271" t="str">
            <v>JOSÉ WILSON</v>
          </cell>
          <cell r="D271" t="str">
            <v>Cali</v>
          </cell>
          <cell r="E271" t="str">
            <v>CL 4D BIS OESTE 76 13</v>
          </cell>
          <cell r="F271" t="str">
            <v xml:space="preserve">DETRÁS DE LA FUNDACIÓN AMBAU </v>
          </cell>
          <cell r="G271" t="str">
            <v>3172677912</v>
          </cell>
          <cell r="H271" t="str">
            <v>3122613163</v>
          </cell>
          <cell r="I271" t="str">
            <v>Tratamiento</v>
          </cell>
          <cell r="K271" t="str">
            <v>SI</v>
          </cell>
          <cell r="L271" t="str">
            <v>SI</v>
          </cell>
          <cell r="M271" t="str">
            <v>JOSE WILSON NARVAEZ</v>
          </cell>
          <cell r="N271" t="e">
            <v>#N/A</v>
          </cell>
        </row>
        <row r="272">
          <cell r="A272">
            <v>16824095</v>
          </cell>
          <cell r="B272">
            <v>271</v>
          </cell>
          <cell r="C272" t="str">
            <v>Eber</v>
          </cell>
          <cell r="D272" t="str">
            <v>Cali</v>
          </cell>
          <cell r="E272" t="str">
            <v>CL 4B oeste 71 25</v>
          </cell>
          <cell r="F272" t="str">
            <v>Más arriba de la cancha de las minas</v>
          </cell>
          <cell r="G272" t="str">
            <v>3146977026</v>
          </cell>
          <cell r="H272" t="str">
            <v xml:space="preserve">No dan información </v>
          </cell>
          <cell r="I272" t="str">
            <v>Tratamiento</v>
          </cell>
          <cell r="J272"/>
          <cell r="K272" t="str">
            <v>SI</v>
          </cell>
          <cell r="L272" t="str">
            <v>SI</v>
          </cell>
          <cell r="M272" t="e">
            <v>#N/A</v>
          </cell>
          <cell r="N272" t="str">
            <v>HEBER MOSQUERA GUE</v>
          </cell>
        </row>
        <row r="273">
          <cell r="A273">
            <v>16827577</v>
          </cell>
          <cell r="B273">
            <v>272</v>
          </cell>
          <cell r="C273" t="str">
            <v xml:space="preserve">Jorge Enrique </v>
          </cell>
          <cell r="D273" t="str">
            <v>Cali</v>
          </cell>
          <cell r="E273" t="str">
            <v>CR  77 4b  67</v>
          </cell>
          <cell r="F273" t="str">
            <v>Comedor comunitario   hacia arriba por. El planchon</v>
          </cell>
          <cell r="G273" t="str">
            <v>3216093665</v>
          </cell>
          <cell r="H273" t="str">
            <v xml:space="preserve">No dan información </v>
          </cell>
          <cell r="I273" t="str">
            <v>Tratamiento</v>
          </cell>
          <cell r="K273" t="str">
            <v>SI</v>
          </cell>
          <cell r="L273" t="str">
            <v>SI</v>
          </cell>
          <cell r="M273" t="e">
            <v>#N/A</v>
          </cell>
          <cell r="N273" t="str">
            <v>JORGE ENRIQUE LLANOS HERNANDEZ</v>
          </cell>
        </row>
        <row r="274">
          <cell r="A274">
            <v>16881076</v>
          </cell>
          <cell r="B274">
            <v>273</v>
          </cell>
          <cell r="C274" t="str">
            <v>JOSE MAURO</v>
          </cell>
          <cell r="D274" t="str">
            <v>Cali</v>
          </cell>
          <cell r="E274" t="str">
            <v>CASA 199 MANZANA 2 SECTOR LAS MINAS</v>
          </cell>
          <cell r="F274" t="str">
            <v>ALTOS LOS CHORROS SECTOR LAS MINAS CASA 199</v>
          </cell>
          <cell r="G274" t="str">
            <v>3122902934</v>
          </cell>
          <cell r="H274" t="str">
            <v>3174226341</v>
          </cell>
          <cell r="I274" t="str">
            <v>Tratamiento</v>
          </cell>
          <cell r="K274" t="str">
            <v>SI</v>
          </cell>
          <cell r="L274" t="str">
            <v>SI</v>
          </cell>
          <cell r="M274" t="str">
            <v>MAURO LANDASURI</v>
          </cell>
          <cell r="N274" t="e">
            <v>#N/A</v>
          </cell>
        </row>
        <row r="275">
          <cell r="A275">
            <v>16936771</v>
          </cell>
          <cell r="B275">
            <v>274</v>
          </cell>
          <cell r="C275" t="str">
            <v>Jhon jaiver</v>
          </cell>
          <cell r="D275" t="str">
            <v>Cali</v>
          </cell>
          <cell r="E275" t="str">
            <v>Cll 4 a oeste 74g 72</v>
          </cell>
          <cell r="F275" t="str">
            <v>Escuela las minas hacia abojo</v>
          </cell>
          <cell r="G275" t="str">
            <v>3137262257</v>
          </cell>
          <cell r="H275" t="str">
            <v>3177121026</v>
          </cell>
          <cell r="I275" t="str">
            <v>Tratamiento</v>
          </cell>
          <cell r="K275" t="str">
            <v>SI</v>
          </cell>
          <cell r="L275" t="str">
            <v>SI</v>
          </cell>
          <cell r="M275" t="e">
            <v>#N/A</v>
          </cell>
          <cell r="N275" t="str">
            <v>JHON JAIVER GUZMAN CHOCUE</v>
          </cell>
        </row>
        <row r="276">
          <cell r="A276">
            <v>17632722</v>
          </cell>
          <cell r="B276">
            <v>275</v>
          </cell>
          <cell r="C276" t="str">
            <v>EDUCARDO</v>
          </cell>
          <cell r="D276" t="str">
            <v>Cali</v>
          </cell>
          <cell r="E276" t="str">
            <v>CALLE 4 E OESTE 76-16</v>
          </cell>
          <cell r="F276" t="str">
            <v>Por el control de los jeeps de la cruz</v>
          </cell>
          <cell r="G276" t="str">
            <v>3114307847</v>
          </cell>
          <cell r="H276" t="str">
            <v xml:space="preserve">No dan información </v>
          </cell>
          <cell r="I276" t="str">
            <v>Tratamiento</v>
          </cell>
          <cell r="K276" t="str">
            <v>SI</v>
          </cell>
          <cell r="L276" t="str">
            <v>SI</v>
          </cell>
          <cell r="M276" t="str">
            <v>EDUARDO TOVAR</v>
          </cell>
          <cell r="N276" t="e">
            <v>#N/A</v>
          </cell>
        </row>
        <row r="277">
          <cell r="A277">
            <v>24529522</v>
          </cell>
          <cell r="B277">
            <v>276</v>
          </cell>
          <cell r="C277" t="str">
            <v>María Elena</v>
          </cell>
          <cell r="D277" t="str">
            <v>Cali</v>
          </cell>
          <cell r="E277" t="str">
            <v>MANZANA A CASA 18 ALTO DE LOS CHORROS</v>
          </cell>
          <cell r="F277" t="str">
            <v xml:space="preserve">Abajo de la cancha del sector indígena </v>
          </cell>
          <cell r="G277" t="str">
            <v>3173628824</v>
          </cell>
          <cell r="H277" t="str">
            <v>3116816857</v>
          </cell>
          <cell r="I277" t="str">
            <v>Tratamiento</v>
          </cell>
          <cell r="K277" t="str">
            <v>SI</v>
          </cell>
          <cell r="L277" t="str">
            <v>SI</v>
          </cell>
          <cell r="M277" t="str">
            <v>ELENA CATAÑO</v>
          </cell>
          <cell r="N277" t="e">
            <v>#N/A</v>
          </cell>
        </row>
        <row r="278">
          <cell r="A278">
            <v>25036381</v>
          </cell>
          <cell r="B278">
            <v>277</v>
          </cell>
          <cell r="C278" t="str">
            <v xml:space="preserve">Lucia </v>
          </cell>
          <cell r="D278" t="str">
            <v>Cali</v>
          </cell>
          <cell r="E278" t="str">
            <v>Cl 4D OESTE 70A 44</v>
          </cell>
          <cell r="F278" t="str">
            <v>Enseguida de maría Isabelina david</v>
          </cell>
          <cell r="G278" t="str">
            <v>3148577890</v>
          </cell>
          <cell r="H278" t="str">
            <v>3203563655</v>
          </cell>
          <cell r="I278" t="str">
            <v>Tratamiento</v>
          </cell>
          <cell r="K278" t="str">
            <v>SI</v>
          </cell>
          <cell r="L278" t="str">
            <v>SI</v>
          </cell>
          <cell r="M278" t="str">
            <v>LUCIA MENDOZA RUIZ</v>
          </cell>
          <cell r="N278" t="e">
            <v>#N/A</v>
          </cell>
        </row>
        <row r="279">
          <cell r="A279">
            <v>25097620</v>
          </cell>
          <cell r="B279">
            <v>278</v>
          </cell>
          <cell r="C279" t="str">
            <v>Nency</v>
          </cell>
          <cell r="D279" t="str">
            <v>Cali</v>
          </cell>
          <cell r="E279" t="str">
            <v>Cr 74b oeste 4b 26  piso 1</v>
          </cell>
          <cell r="F279" t="str">
            <v>Canchas las minas  la subida de la tienda esquina</v>
          </cell>
          <cell r="G279" t="str">
            <v>3158380091</v>
          </cell>
          <cell r="H279" t="str">
            <v>3122413269</v>
          </cell>
          <cell r="I279" t="str">
            <v>Tratamiento</v>
          </cell>
          <cell r="K279" t="str">
            <v>SI</v>
          </cell>
          <cell r="L279" t="str">
            <v>SI</v>
          </cell>
          <cell r="M279" t="e">
            <v>#N/A</v>
          </cell>
          <cell r="N279" t="str">
            <v>NELCY MOLINA GARCIA</v>
          </cell>
        </row>
        <row r="280">
          <cell r="A280">
            <v>25340411</v>
          </cell>
          <cell r="B280">
            <v>279</v>
          </cell>
          <cell r="C280" t="str">
            <v xml:space="preserve">Teresa </v>
          </cell>
          <cell r="D280" t="str">
            <v>Cali</v>
          </cell>
          <cell r="E280" t="str">
            <v>CL 4 B oeste 71 19</v>
          </cell>
          <cell r="F280" t="str">
            <v>Por la calle principal más arriba de la cancha de las minas</v>
          </cell>
          <cell r="G280" t="str">
            <v>3172660886</v>
          </cell>
          <cell r="H280" t="str">
            <v>3187258580</v>
          </cell>
          <cell r="I280" t="str">
            <v>Tratamiento</v>
          </cell>
          <cell r="K280" t="str">
            <v>SI</v>
          </cell>
          <cell r="L280" t="str">
            <v>SI</v>
          </cell>
          <cell r="M280" t="e">
            <v>#N/A</v>
          </cell>
          <cell r="N280" t="str">
            <v>TERESA GONZALES PECHENE</v>
          </cell>
        </row>
        <row r="281">
          <cell r="A281">
            <v>25340770</v>
          </cell>
          <cell r="B281">
            <v>280</v>
          </cell>
          <cell r="C281" t="str">
            <v>Ismenia</v>
          </cell>
          <cell r="D281" t="str">
            <v>Cali</v>
          </cell>
          <cell r="E281" t="str">
            <v>Cr 70A OESTE 4D 28</v>
          </cell>
          <cell r="F281" t="str">
            <v>Preguntar por la Mz 5 es en la primera bajada terminando las gradas</v>
          </cell>
          <cell r="G281" t="str">
            <v>3167847280</v>
          </cell>
          <cell r="H281" t="str">
            <v>3106546523</v>
          </cell>
          <cell r="I281" t="str">
            <v>Tratamiento</v>
          </cell>
          <cell r="K281" t="str">
            <v>SI</v>
          </cell>
          <cell r="L281" t="str">
            <v>SI</v>
          </cell>
          <cell r="M281" t="str">
            <v>MARIA ISMENA VALENCIA</v>
          </cell>
          <cell r="N281" t="e">
            <v>#N/A</v>
          </cell>
        </row>
        <row r="282">
          <cell r="A282">
            <v>25351368</v>
          </cell>
          <cell r="B282">
            <v>281</v>
          </cell>
          <cell r="C282" t="str">
            <v xml:space="preserve">ROSA MARÍA </v>
          </cell>
          <cell r="D282" t="str">
            <v>Cali</v>
          </cell>
          <cell r="E282" t="str">
            <v>CL 4C OESTE 76B BIS - 03</v>
          </cell>
          <cell r="F282" t="str">
            <v xml:space="preserve">Por el jardín infantil cesoles </v>
          </cell>
          <cell r="G282" t="str">
            <v>3166642524</v>
          </cell>
          <cell r="H282" t="str">
            <v>3158347067</v>
          </cell>
          <cell r="I282" t="str">
            <v>Tratamiento</v>
          </cell>
          <cell r="J282" t="str">
            <v>Cali</v>
          </cell>
          <cell r="K282" t="str">
            <v>SI</v>
          </cell>
          <cell r="L282" t="str">
            <v>SI</v>
          </cell>
          <cell r="M282" t="str">
            <v>ROSA MARIA RIOS</v>
          </cell>
          <cell r="N282" t="e">
            <v>#N/A</v>
          </cell>
        </row>
        <row r="283">
          <cell r="A283">
            <v>25492271</v>
          </cell>
          <cell r="B283">
            <v>282</v>
          </cell>
          <cell r="C283" t="str">
            <v xml:space="preserve">MARÍA GRACIELA </v>
          </cell>
          <cell r="D283" t="str">
            <v>Cali</v>
          </cell>
          <cell r="E283" t="str">
            <v>CL 4 OESTE 74G-05</v>
          </cell>
          <cell r="F283" t="str">
            <v xml:space="preserve">Por Cesoles, hacia el camino las minas </v>
          </cell>
          <cell r="G283" t="str">
            <v>3163020761</v>
          </cell>
          <cell r="H283" t="str">
            <v>3117005133</v>
          </cell>
          <cell r="I283" t="str">
            <v>Tratamiento</v>
          </cell>
          <cell r="K283" t="str">
            <v>SI</v>
          </cell>
          <cell r="L283" t="str">
            <v>SI</v>
          </cell>
          <cell r="M283" t="str">
            <v>GRACIELA PAZ</v>
          </cell>
          <cell r="N283" t="e">
            <v>#N/A</v>
          </cell>
        </row>
        <row r="284">
          <cell r="A284">
            <v>25619493</v>
          </cell>
          <cell r="B284">
            <v>283</v>
          </cell>
          <cell r="C284" t="str">
            <v>Carmen rosa</v>
          </cell>
          <cell r="D284" t="str">
            <v>Cali</v>
          </cell>
          <cell r="E284" t="str">
            <v>Cr 74 bis  4 23</v>
          </cell>
          <cell r="F284" t="str">
            <v xml:space="preserve">El comedor comunitario hacia arriba por la rampla </v>
          </cell>
          <cell r="G284" t="str">
            <v>3145732910</v>
          </cell>
          <cell r="H284" t="str">
            <v>3233970201</v>
          </cell>
          <cell r="I284" t="str">
            <v>Tratamiento</v>
          </cell>
          <cell r="K284" t="str">
            <v>SI</v>
          </cell>
          <cell r="L284" t="str">
            <v>SI</v>
          </cell>
          <cell r="M284" t="e">
            <v>#N/A</v>
          </cell>
          <cell r="N284" t="str">
            <v>CARMEN ROSA TORRES ARBOLEDA</v>
          </cell>
        </row>
        <row r="285">
          <cell r="A285">
            <v>25683891</v>
          </cell>
          <cell r="B285">
            <v>284</v>
          </cell>
          <cell r="C285" t="str">
            <v xml:space="preserve">Ana Cecilia </v>
          </cell>
          <cell r="D285" t="str">
            <v>Cali</v>
          </cell>
          <cell r="E285" t="str">
            <v>Casa 639 sector las fincas</v>
          </cell>
          <cell r="F285" t="str">
            <v>A 4 viviendas de la torre vía la reforma</v>
          </cell>
          <cell r="G285" t="str">
            <v>3116497483</v>
          </cell>
          <cell r="H285" t="str">
            <v/>
          </cell>
          <cell r="I285" t="str">
            <v>Tratamiento</v>
          </cell>
          <cell r="J285"/>
          <cell r="K285" t="str">
            <v>SI</v>
          </cell>
          <cell r="L285" t="str">
            <v>SI</v>
          </cell>
          <cell r="M285" t="str">
            <v>ANA  CECILIA USSA</v>
          </cell>
          <cell r="N285" t="e">
            <v>#N/A</v>
          </cell>
        </row>
        <row r="286">
          <cell r="A286">
            <v>25741695</v>
          </cell>
          <cell r="B286">
            <v>285</v>
          </cell>
          <cell r="C286" t="str">
            <v xml:space="preserve">MARINA </v>
          </cell>
          <cell r="D286" t="str">
            <v>Cali</v>
          </cell>
          <cell r="E286" t="str">
            <v>KR 76B1 OESTE 4A-30</v>
          </cell>
          <cell r="F286" t="str">
            <v xml:space="preserve">De cesoles a tres cuadras </v>
          </cell>
          <cell r="G286" t="str">
            <v>3146606496</v>
          </cell>
          <cell r="H286" t="str">
            <v>3114041152</v>
          </cell>
          <cell r="I286" t="str">
            <v>Tratamiento</v>
          </cell>
          <cell r="K286" t="str">
            <v>SI</v>
          </cell>
          <cell r="L286" t="str">
            <v>SI</v>
          </cell>
          <cell r="M286" t="str">
            <v>MARINO CONEJO</v>
          </cell>
          <cell r="N286" t="e">
            <v>#N/A</v>
          </cell>
        </row>
        <row r="287">
          <cell r="A287">
            <v>26256330</v>
          </cell>
          <cell r="B287">
            <v>286</v>
          </cell>
          <cell r="C287" t="str">
            <v xml:space="preserve">MARLENY </v>
          </cell>
          <cell r="D287" t="str">
            <v>Cali</v>
          </cell>
          <cell r="E287" t="str">
            <v>Calle 4E OESTE 76Bis-21</v>
          </cell>
          <cell r="F287" t="str">
            <v xml:space="preserve">CERCA AL CONTROL DE LOS JEEPS DE LA CRUZ, VIA PRINCIPAL </v>
          </cell>
          <cell r="G287" t="str">
            <v>3174556622</v>
          </cell>
          <cell r="H287" t="str">
            <v xml:space="preserve">No dan información </v>
          </cell>
          <cell r="I287" t="str">
            <v>Tratamiento</v>
          </cell>
          <cell r="K287" t="str">
            <v>SI</v>
          </cell>
          <cell r="L287" t="str">
            <v>SI</v>
          </cell>
          <cell r="M287" t="str">
            <v xml:space="preserve">MARLENY LONDOÑO </v>
          </cell>
          <cell r="N287" t="e">
            <v>#N/A</v>
          </cell>
        </row>
        <row r="288">
          <cell r="A288">
            <v>2699661</v>
          </cell>
          <cell r="B288">
            <v>287</v>
          </cell>
          <cell r="C288" t="str">
            <v xml:space="preserve">GILBERTO </v>
          </cell>
          <cell r="D288" t="str">
            <v>Cali</v>
          </cell>
          <cell r="E288" t="str">
            <v>CRA 76 A OESTE 4E-78</v>
          </cell>
          <cell r="F288" t="str">
            <v xml:space="preserve">Por el callejón de la tienda de doña BERNARDITA </v>
          </cell>
          <cell r="G288" t="str">
            <v>3188988072</v>
          </cell>
          <cell r="H288" t="str">
            <v>3173209485</v>
          </cell>
          <cell r="I288" t="str">
            <v>Tratamiento</v>
          </cell>
          <cell r="J288" t="str">
            <v>Cali</v>
          </cell>
          <cell r="K288" t="str">
            <v>SI</v>
          </cell>
          <cell r="L288" t="str">
            <v>SI</v>
          </cell>
          <cell r="M288" t="str">
            <v>GILBERTO LONDOÑO BERNAL</v>
          </cell>
          <cell r="N288" t="e">
            <v>#N/A</v>
          </cell>
        </row>
        <row r="289">
          <cell r="A289">
            <v>28588708</v>
          </cell>
          <cell r="B289">
            <v>288</v>
          </cell>
          <cell r="C289" t="str">
            <v xml:space="preserve">Sandra Milena </v>
          </cell>
          <cell r="D289" t="str">
            <v>Cali</v>
          </cell>
          <cell r="E289" t="str">
            <v>Cr 74G 31</v>
          </cell>
          <cell r="F289" t="str">
            <v>Comedor de las minas</v>
          </cell>
          <cell r="G289" t="str">
            <v>3217759114</v>
          </cell>
          <cell r="H289" t="str">
            <v xml:space="preserve">No dan información </v>
          </cell>
          <cell r="I289" t="str">
            <v>Tratamiento</v>
          </cell>
          <cell r="K289" t="str">
            <v>SI</v>
          </cell>
          <cell r="L289" t="str">
            <v>SI</v>
          </cell>
          <cell r="M289" t="e">
            <v>#N/A</v>
          </cell>
          <cell r="N289" t="str">
            <v>SANDRA MILENA GARZON</v>
          </cell>
        </row>
        <row r="290">
          <cell r="A290">
            <v>29119222</v>
          </cell>
          <cell r="B290">
            <v>289</v>
          </cell>
          <cell r="C290" t="str">
            <v>Bella nery</v>
          </cell>
          <cell r="D290" t="str">
            <v>Cali</v>
          </cell>
          <cell r="E290" t="str">
            <v>Cra 71A oeste  # 4c 47</v>
          </cell>
          <cell r="F290" t="str">
            <v>La iglesia de la cruz  alto los chorros  cancha de la cruz</v>
          </cell>
          <cell r="G290" t="str">
            <v>3195389507</v>
          </cell>
          <cell r="H290" t="str">
            <v>3188669230</v>
          </cell>
          <cell r="I290" t="str">
            <v>Tratamiento</v>
          </cell>
          <cell r="K290" t="str">
            <v>SI</v>
          </cell>
          <cell r="L290" t="str">
            <v>SI</v>
          </cell>
          <cell r="M290" t="str">
            <v>BELLA NELY CAPOTE</v>
          </cell>
          <cell r="N290" t="e">
            <v>#N/A</v>
          </cell>
        </row>
        <row r="291">
          <cell r="A291">
            <v>29179765</v>
          </cell>
          <cell r="B291">
            <v>290</v>
          </cell>
          <cell r="C291" t="str">
            <v>Harlen</v>
          </cell>
          <cell r="D291" t="str">
            <v>Cali</v>
          </cell>
          <cell r="E291" t="str">
            <v>Cr 71 a bis  oeste 4 b 08</v>
          </cell>
          <cell r="F291" t="str">
            <v xml:space="preserve">Canchas de las minas  por la gallera </v>
          </cell>
          <cell r="G291" t="str">
            <v>3234462676</v>
          </cell>
          <cell r="H291" t="str">
            <v>3216215616</v>
          </cell>
          <cell r="I291" t="str">
            <v>Tratamiento</v>
          </cell>
          <cell r="K291" t="str">
            <v>SI</v>
          </cell>
          <cell r="L291" t="str">
            <v>SI</v>
          </cell>
          <cell r="M291" t="e">
            <v>#N/A</v>
          </cell>
          <cell r="N291" t="str">
            <v>HARLEM BUITRAGO BALANTA</v>
          </cell>
        </row>
        <row r="292">
          <cell r="A292">
            <v>29346502</v>
          </cell>
          <cell r="B292">
            <v>291</v>
          </cell>
          <cell r="C292" t="str">
            <v>Rossmira</v>
          </cell>
          <cell r="D292" t="str">
            <v>Cali</v>
          </cell>
          <cell r="E292" t="str">
            <v>Kr76D OESTE 4C 104</v>
          </cell>
          <cell r="F292" t="str">
            <v>A dos casa de la Tienda Yamile Urbano vía principal</v>
          </cell>
          <cell r="G292" t="str">
            <v>3175659002</v>
          </cell>
          <cell r="H292" t="str">
            <v>3205482553</v>
          </cell>
          <cell r="I292" t="str">
            <v>Tratamiento</v>
          </cell>
          <cell r="K292" t="str">
            <v>SI</v>
          </cell>
          <cell r="L292" t="str">
            <v>SI</v>
          </cell>
          <cell r="M292" t="str">
            <v>ROSMIRA CARDENAS OCAMPO</v>
          </cell>
          <cell r="N292" t="e">
            <v>#N/A</v>
          </cell>
        </row>
        <row r="293">
          <cell r="A293">
            <v>29563232</v>
          </cell>
          <cell r="B293">
            <v>292</v>
          </cell>
          <cell r="C293" t="str">
            <v xml:space="preserve">Aura María </v>
          </cell>
          <cell r="D293" t="str">
            <v>Cali</v>
          </cell>
          <cell r="E293" t="str">
            <v>Cr 73d  oeste 4 03</v>
          </cell>
          <cell r="F293" t="str">
            <v xml:space="preserve">La cancha de las minas cuatro esquina  callejón  </v>
          </cell>
          <cell r="G293" t="str">
            <v>3185151108</v>
          </cell>
          <cell r="H293" t="str">
            <v>3103206579</v>
          </cell>
          <cell r="I293" t="str">
            <v>Tratamiento</v>
          </cell>
          <cell r="K293" t="str">
            <v>SI</v>
          </cell>
          <cell r="L293" t="str">
            <v>SI</v>
          </cell>
          <cell r="M293" t="e">
            <v>#N/A</v>
          </cell>
          <cell r="N293" t="str">
            <v>AURA MARIA SANDOVAL DE FLOREZ</v>
          </cell>
        </row>
        <row r="294">
          <cell r="A294">
            <v>29563360</v>
          </cell>
          <cell r="B294">
            <v>293</v>
          </cell>
          <cell r="C294" t="str">
            <v>Ana. Sofia</v>
          </cell>
          <cell r="D294" t="str">
            <v>Cali</v>
          </cell>
          <cell r="E294" t="str">
            <v xml:space="preserve">CL 4B oeste 73 103 </v>
          </cell>
          <cell r="F294" t="str">
            <v>Al frente de la cancha las minas</v>
          </cell>
          <cell r="G294" t="str">
            <v>3177008775</v>
          </cell>
          <cell r="H294" t="str">
            <v/>
          </cell>
          <cell r="I294" t="str">
            <v>Tratamiento</v>
          </cell>
          <cell r="K294" t="str">
            <v>SI</v>
          </cell>
          <cell r="L294" t="str">
            <v>SI</v>
          </cell>
          <cell r="M294" t="e">
            <v>#N/A</v>
          </cell>
          <cell r="N294" t="str">
            <v>ANA SOFIA FLOREZSANDOVAL</v>
          </cell>
        </row>
        <row r="295">
          <cell r="A295">
            <v>29686407</v>
          </cell>
          <cell r="B295">
            <v>294</v>
          </cell>
          <cell r="C295" t="str">
            <v>ANA SENEIDA</v>
          </cell>
          <cell r="D295" t="str">
            <v>Cali</v>
          </cell>
          <cell r="E295" t="str">
            <v>CL 2F OESTE 76C 21 piso 1</v>
          </cell>
          <cell r="F295" t="str">
            <v>Diagonal a la ferretería Mery a la 3 casa</v>
          </cell>
          <cell r="G295" t="str">
            <v>3168453126</v>
          </cell>
          <cell r="H295" t="str">
            <v xml:space="preserve">No dan información </v>
          </cell>
          <cell r="I295" t="str">
            <v>Tratamiento</v>
          </cell>
          <cell r="K295" t="str">
            <v>SI</v>
          </cell>
          <cell r="L295" t="str">
            <v>SI</v>
          </cell>
          <cell r="M295" t="str">
            <v>ANA CENEIDA ESCOBAR</v>
          </cell>
          <cell r="N295" t="e">
            <v>#N/A</v>
          </cell>
        </row>
        <row r="296">
          <cell r="A296">
            <v>31214997</v>
          </cell>
          <cell r="B296">
            <v>295</v>
          </cell>
          <cell r="C296" t="str">
            <v>Gregoria</v>
          </cell>
          <cell r="D296" t="str">
            <v>Cali</v>
          </cell>
          <cell r="E296" t="str">
            <v>Kr 76 D OESTE 4C 136</v>
          </cell>
          <cell r="F296" t="str">
            <v>Vía principal al lado de marroqueneria correa</v>
          </cell>
          <cell r="G296" t="str">
            <v>3174743448</v>
          </cell>
          <cell r="H296" t="str">
            <v>3128323371</v>
          </cell>
          <cell r="I296" t="str">
            <v>Tratamiento</v>
          </cell>
          <cell r="K296" t="str">
            <v>SI</v>
          </cell>
          <cell r="L296" t="str">
            <v>SI</v>
          </cell>
          <cell r="M296" t="str">
            <v>GREGORIA ORJUELA VALLE</v>
          </cell>
          <cell r="N296" t="e">
            <v>#N/A</v>
          </cell>
        </row>
        <row r="297">
          <cell r="A297">
            <v>31282345</v>
          </cell>
          <cell r="B297">
            <v>296</v>
          </cell>
          <cell r="C297" t="str">
            <v xml:space="preserve">MARÍA ELENA </v>
          </cell>
          <cell r="D297" t="str">
            <v>Cali</v>
          </cell>
          <cell r="E297" t="str">
            <v>CL 4D OESTE 76B BIS 1-16</v>
          </cell>
          <cell r="F297" t="str">
            <v>Al frente de la tienda Don Luis</v>
          </cell>
          <cell r="G297" t="str">
            <v>3128413320</v>
          </cell>
          <cell r="H297" t="str">
            <v>3184374645</v>
          </cell>
          <cell r="I297" t="str">
            <v>Tratamiento</v>
          </cell>
          <cell r="J297"/>
          <cell r="K297" t="str">
            <v>SI</v>
          </cell>
          <cell r="L297" t="str">
            <v>SI</v>
          </cell>
          <cell r="M297" t="str">
            <v>MARIA ELENA MELENDEZ</v>
          </cell>
          <cell r="N297" t="e">
            <v>#N/A</v>
          </cell>
        </row>
        <row r="298">
          <cell r="A298">
            <v>31288307</v>
          </cell>
          <cell r="B298">
            <v>297</v>
          </cell>
          <cell r="C298" t="str">
            <v xml:space="preserve">MARÍA ELEUTERIA </v>
          </cell>
          <cell r="D298" t="str">
            <v>Cali</v>
          </cell>
          <cell r="E298" t="str">
            <v>CALLE 4 OESTE 76-40</v>
          </cell>
          <cell r="F298" t="str">
            <v xml:space="preserve">Antes del control de los jeeps, por la vía principal </v>
          </cell>
          <cell r="G298" t="str">
            <v>3170657218</v>
          </cell>
          <cell r="H298" t="str">
            <v>3117949936</v>
          </cell>
          <cell r="I298" t="str">
            <v>Tratamiento</v>
          </cell>
          <cell r="K298" t="str">
            <v>SI</v>
          </cell>
          <cell r="L298" t="str">
            <v>SI</v>
          </cell>
          <cell r="M298" t="str">
            <v>MARIA SANDOVAL</v>
          </cell>
          <cell r="N298" t="e">
            <v>#N/A</v>
          </cell>
        </row>
        <row r="299">
          <cell r="A299">
            <v>31289498</v>
          </cell>
          <cell r="B299">
            <v>298</v>
          </cell>
          <cell r="C299" t="str">
            <v xml:space="preserve">Laureano </v>
          </cell>
          <cell r="D299" t="str">
            <v>Cali</v>
          </cell>
          <cell r="E299" t="str">
            <v>C 4b oeste 62 a bis 08</v>
          </cell>
          <cell r="F299" t="str">
            <v xml:space="preserve"> Más arriba por la tienda de don cheo</v>
          </cell>
          <cell r="G299" t="str">
            <v>3225399989</v>
          </cell>
          <cell r="H299" t="str">
            <v>3103551931</v>
          </cell>
          <cell r="I299" t="str">
            <v>Tratamiento</v>
          </cell>
          <cell r="K299" t="str">
            <v>SI</v>
          </cell>
          <cell r="L299" t="str">
            <v>SI</v>
          </cell>
          <cell r="M299" t="e">
            <v>#N/A</v>
          </cell>
          <cell r="N299" t="str">
            <v>DEIFILIA DE JESUS CAICEDO PANTOJA</v>
          </cell>
        </row>
        <row r="300">
          <cell r="A300">
            <v>31298525</v>
          </cell>
          <cell r="B300">
            <v>299</v>
          </cell>
          <cell r="C300" t="str">
            <v>María Nubia</v>
          </cell>
          <cell r="D300" t="str">
            <v>Cali</v>
          </cell>
          <cell r="E300" t="str">
            <v>Cr 72 oeste 3 a 64</v>
          </cell>
          <cell r="F300" t="str">
            <v>Más arriba de las canchas. Por la entrada del bailadero del don lucho</v>
          </cell>
          <cell r="G300" t="str">
            <v>3165039780</v>
          </cell>
          <cell r="H300" t="str">
            <v>3185818072</v>
          </cell>
          <cell r="I300" t="str">
            <v>Tratamiento</v>
          </cell>
          <cell r="J300"/>
          <cell r="K300" t="str">
            <v>SI</v>
          </cell>
          <cell r="L300" t="str">
            <v>SI</v>
          </cell>
          <cell r="M300" t="e">
            <v>#N/A</v>
          </cell>
          <cell r="N300" t="str">
            <v>MARIA NUBIA FLOREZ SANDOVAL</v>
          </cell>
        </row>
        <row r="301">
          <cell r="A301">
            <v>31304801</v>
          </cell>
          <cell r="B301">
            <v>300</v>
          </cell>
          <cell r="C301" t="str">
            <v>Aixa maria</v>
          </cell>
          <cell r="D301" t="str">
            <v>Cali</v>
          </cell>
          <cell r="E301" t="str">
            <v>CL 4 B oeste 73DBis 134</v>
          </cell>
          <cell r="F301" t="str">
            <v>Cerca al comedor de las minas</v>
          </cell>
          <cell r="G301" t="str">
            <v>3175834431</v>
          </cell>
          <cell r="H301" t="str">
            <v>3104251507</v>
          </cell>
          <cell r="I301" t="str">
            <v>Tratamiento</v>
          </cell>
          <cell r="J301"/>
          <cell r="K301" t="str">
            <v>SI</v>
          </cell>
          <cell r="L301" t="str">
            <v>SI</v>
          </cell>
          <cell r="M301" t="e">
            <v>#N/A</v>
          </cell>
          <cell r="N301" t="str">
            <v>AIXA MARÍA GASCA DOMÍNGUEZ</v>
          </cell>
        </row>
        <row r="302">
          <cell r="A302">
            <v>31445562</v>
          </cell>
          <cell r="B302">
            <v>301</v>
          </cell>
          <cell r="C302" t="str">
            <v>Mariela</v>
          </cell>
          <cell r="D302" t="str">
            <v>Cali</v>
          </cell>
          <cell r="E302" t="str">
            <v>Cll 4b oeste # 73 24</v>
          </cell>
          <cell r="F302" t="str">
            <v>Tienda de  cheo. Al frente por unas gradas</v>
          </cell>
          <cell r="G302" t="str">
            <v>3107270652</v>
          </cell>
          <cell r="H302" t="str">
            <v xml:space="preserve">No dan información </v>
          </cell>
          <cell r="I302" t="str">
            <v>Tratamiento</v>
          </cell>
          <cell r="K302" t="str">
            <v>SI</v>
          </cell>
          <cell r="L302" t="str">
            <v>SI</v>
          </cell>
          <cell r="M302" t="e">
            <v>#N/A</v>
          </cell>
          <cell r="N302" t="str">
            <v>MARIELLA MUÑOZ JIMENEZ</v>
          </cell>
        </row>
        <row r="303">
          <cell r="A303">
            <v>31445743</v>
          </cell>
          <cell r="B303">
            <v>302</v>
          </cell>
          <cell r="C303" t="str">
            <v>Sandra Milena</v>
          </cell>
          <cell r="D303" t="str">
            <v>Cali</v>
          </cell>
          <cell r="E303" t="str">
            <v>Kr 76 Dbis 4C bis 28</v>
          </cell>
          <cell r="F303" t="str">
            <v/>
          </cell>
          <cell r="G303" t="str">
            <v>3163243216</v>
          </cell>
          <cell r="H303" t="str">
            <v>3184613738</v>
          </cell>
          <cell r="I303" t="str">
            <v>Tratamiento</v>
          </cell>
          <cell r="K303" t="str">
            <v>SI</v>
          </cell>
          <cell r="L303" t="str">
            <v>SI</v>
          </cell>
          <cell r="M303" t="str">
            <v>SANDRA MILENA TORO</v>
          </cell>
          <cell r="N303" t="e">
            <v>#N/A</v>
          </cell>
        </row>
        <row r="304">
          <cell r="A304">
            <v>31446617</v>
          </cell>
          <cell r="B304">
            <v>303</v>
          </cell>
          <cell r="C304" t="str">
            <v xml:space="preserve">Paulo cesar </v>
          </cell>
          <cell r="D304" t="str">
            <v>Cali</v>
          </cell>
          <cell r="E304" t="str">
            <v>MANZANA 8 CASA 5 SECTOR LAS MINAS</v>
          </cell>
          <cell r="F304" t="str">
            <v>De la cancha de las minas hacia arriba por las barandas amarillas</v>
          </cell>
          <cell r="G304" t="str">
            <v>3127622126</v>
          </cell>
          <cell r="H304" t="str">
            <v>3146462822</v>
          </cell>
          <cell r="I304" t="str">
            <v>Tratamiento</v>
          </cell>
          <cell r="K304" t="str">
            <v>SI</v>
          </cell>
          <cell r="L304" t="str">
            <v>SI</v>
          </cell>
          <cell r="M304" t="e">
            <v>#N/A</v>
          </cell>
          <cell r="N304" t="str">
            <v>NILSEN CAICEDO CHICO</v>
          </cell>
        </row>
        <row r="305">
          <cell r="A305">
            <v>31449382</v>
          </cell>
          <cell r="B305">
            <v>304</v>
          </cell>
          <cell r="C305" t="str">
            <v>Sandra milena</v>
          </cell>
          <cell r="D305" t="str">
            <v>Cali</v>
          </cell>
          <cell r="E305" t="str">
            <v>CL 4B OESTE 73-09 APTO 101</v>
          </cell>
          <cell r="F305" t="str">
            <v xml:space="preserve">Segunda bajada y 1 casa después de la tienda de Cheo </v>
          </cell>
          <cell r="G305" t="str">
            <v>3137214268</v>
          </cell>
          <cell r="H305" t="str">
            <v xml:space="preserve">No dan información </v>
          </cell>
          <cell r="I305" t="str">
            <v>Tratamiento</v>
          </cell>
          <cell r="K305" t="str">
            <v>SI</v>
          </cell>
          <cell r="L305" t="str">
            <v>SI</v>
          </cell>
          <cell r="M305" t="e">
            <v>#N/A</v>
          </cell>
          <cell r="N305" t="str">
            <v>SANDRA MILENA VICTORIA IPIA</v>
          </cell>
        </row>
        <row r="306">
          <cell r="A306">
            <v>31524379</v>
          </cell>
          <cell r="B306">
            <v>305</v>
          </cell>
          <cell r="C306" t="str">
            <v xml:space="preserve">GERARDINA </v>
          </cell>
          <cell r="D306" t="str">
            <v>Cali</v>
          </cell>
          <cell r="E306" t="str">
            <v>CL 4B OESTE 73 05</v>
          </cell>
          <cell r="F306" t="str">
            <v xml:space="preserve">En la tercera bajada después de la tienda de don Cheo primera casa </v>
          </cell>
          <cell r="G306" t="str">
            <v>3155583544</v>
          </cell>
          <cell r="H306" t="str">
            <v>3135041072</v>
          </cell>
          <cell r="I306" t="str">
            <v>Tratamiento</v>
          </cell>
          <cell r="K306" t="str">
            <v>SI</v>
          </cell>
          <cell r="L306" t="str">
            <v>SI</v>
          </cell>
          <cell r="M306" t="e">
            <v>#N/A</v>
          </cell>
          <cell r="N306" t="str">
            <v>GERARDIANA CRUZ GONZALES</v>
          </cell>
        </row>
        <row r="307">
          <cell r="A307">
            <v>31525011</v>
          </cell>
          <cell r="B307">
            <v>306</v>
          </cell>
          <cell r="C307" t="str">
            <v>María jesus</v>
          </cell>
          <cell r="D307" t="str">
            <v>Cali</v>
          </cell>
          <cell r="E307" t="str">
            <v>Cr 73a oeste 4a 16</v>
          </cell>
          <cell r="F307" t="str">
            <v xml:space="preserve">Por la bajada de la tienda de don cheo </v>
          </cell>
          <cell r="G307" t="str">
            <v>3146654929</v>
          </cell>
          <cell r="H307" t="str">
            <v>3122987513</v>
          </cell>
          <cell r="I307" t="str">
            <v>Tratamiento</v>
          </cell>
          <cell r="K307" t="str">
            <v>SI</v>
          </cell>
          <cell r="L307" t="str">
            <v>SI</v>
          </cell>
          <cell r="M307" t="e">
            <v>#N/A</v>
          </cell>
          <cell r="N307" t="str">
            <v>MARIA JESUS CHICO BUENO</v>
          </cell>
        </row>
        <row r="308">
          <cell r="A308">
            <v>31525413</v>
          </cell>
          <cell r="B308">
            <v>307</v>
          </cell>
          <cell r="C308" t="str">
            <v>José argiro</v>
          </cell>
          <cell r="D308" t="str">
            <v>Cali</v>
          </cell>
          <cell r="E308" t="str">
            <v xml:space="preserve">Kr 74g cl 4b oeste </v>
          </cell>
          <cell r="F308" t="str">
            <v>Comedor las minas hacia arriba por la rampla</v>
          </cell>
          <cell r="G308" t="str">
            <v>3127708881</v>
          </cell>
          <cell r="H308" t="str">
            <v>3104399434</v>
          </cell>
          <cell r="I308" t="str">
            <v>Tratamiento</v>
          </cell>
          <cell r="K308" t="str">
            <v>SI</v>
          </cell>
          <cell r="L308" t="str">
            <v>SI</v>
          </cell>
          <cell r="M308" t="e">
            <v>#N/A</v>
          </cell>
          <cell r="N308" t="str">
            <v>MARIA EMILSEN GARCIA ORREGO</v>
          </cell>
        </row>
        <row r="309">
          <cell r="A309">
            <v>31534174</v>
          </cell>
          <cell r="B309">
            <v>308</v>
          </cell>
          <cell r="C309" t="str">
            <v xml:space="preserve">Ana Milena </v>
          </cell>
          <cell r="D309" t="str">
            <v>Cali</v>
          </cell>
          <cell r="E309" t="str">
            <v>Kr 74 G oeste 4B 66</v>
          </cell>
          <cell r="F309" t="str">
            <v>Derecho arriba del comedor de las minas</v>
          </cell>
          <cell r="G309" t="str">
            <v>3182595869</v>
          </cell>
          <cell r="H309" t="str">
            <v>3137646246</v>
          </cell>
          <cell r="I309" t="str">
            <v>Tratamiento</v>
          </cell>
          <cell r="K309" t="str">
            <v>SI</v>
          </cell>
          <cell r="L309" t="str">
            <v>SI</v>
          </cell>
          <cell r="M309" t="e">
            <v>#N/A</v>
          </cell>
          <cell r="N309" t="str">
            <v>ANA MILENA ESPAÑA COTAZO</v>
          </cell>
        </row>
        <row r="310">
          <cell r="A310">
            <v>31535355</v>
          </cell>
          <cell r="B310">
            <v>309</v>
          </cell>
          <cell r="C310" t="str">
            <v>MONICA</v>
          </cell>
          <cell r="D310" t="str">
            <v>Cali</v>
          </cell>
          <cell r="E310" t="str">
            <v>Calle 4d 76Bis-54</v>
          </cell>
          <cell r="F310" t="str">
            <v>Por la vía a la cruz, por la panadería crispan</v>
          </cell>
          <cell r="G310" t="str">
            <v>3226221443</v>
          </cell>
          <cell r="H310" t="str">
            <v>3172784820</v>
          </cell>
          <cell r="I310" t="str">
            <v>Tratamiento</v>
          </cell>
          <cell r="K310" t="str">
            <v>SI</v>
          </cell>
          <cell r="L310" t="str">
            <v>SI</v>
          </cell>
          <cell r="M310" t="str">
            <v>MONICA REBOLLEDO</v>
          </cell>
          <cell r="N310" t="e">
            <v>#N/A</v>
          </cell>
        </row>
        <row r="311">
          <cell r="A311">
            <v>31537995</v>
          </cell>
          <cell r="B311">
            <v>310</v>
          </cell>
          <cell r="C311" t="str">
            <v xml:space="preserve">LUZ ENEIDA </v>
          </cell>
          <cell r="D311" t="str">
            <v>Cali</v>
          </cell>
          <cell r="E311" t="str">
            <v>KR 76 OESTE 4D BIS 05</v>
          </cell>
          <cell r="F311" t="str">
            <v xml:space="preserve">Por el control de los jeeps de la cruz </v>
          </cell>
          <cell r="G311" t="str">
            <v>3126949360</v>
          </cell>
          <cell r="H311" t="str">
            <v xml:space="preserve">No dan información </v>
          </cell>
          <cell r="I311" t="str">
            <v>Tratamiento</v>
          </cell>
          <cell r="K311" t="str">
            <v>SI</v>
          </cell>
          <cell r="L311" t="str">
            <v>SI</v>
          </cell>
          <cell r="M311" t="str">
            <v>LUZ ENEIDA BERMUDEZ</v>
          </cell>
          <cell r="N311" t="e">
            <v>#N/A</v>
          </cell>
        </row>
        <row r="312">
          <cell r="A312">
            <v>31577413</v>
          </cell>
          <cell r="B312">
            <v>311</v>
          </cell>
          <cell r="C312" t="str">
            <v xml:space="preserve">STELLA </v>
          </cell>
          <cell r="D312" t="str">
            <v>Cali</v>
          </cell>
          <cell r="E312" t="str">
            <v>CL 4W 76B-34</v>
          </cell>
          <cell r="F312" t="str">
            <v xml:space="preserve">Por cuatro esquinas las gradas a la derecha. </v>
          </cell>
          <cell r="G312" t="str">
            <v>3226376028</v>
          </cell>
          <cell r="H312" t="str">
            <v>3147582575</v>
          </cell>
          <cell r="I312" t="str">
            <v>Tratamiento</v>
          </cell>
          <cell r="K312" t="str">
            <v>SI</v>
          </cell>
          <cell r="L312" t="str">
            <v>SI</v>
          </cell>
          <cell r="M312" t="str">
            <v>STELLA GUTIERREZ</v>
          </cell>
          <cell r="N312" t="e">
            <v>#N/A</v>
          </cell>
        </row>
        <row r="313">
          <cell r="A313">
            <v>31578203</v>
          </cell>
          <cell r="B313">
            <v>312</v>
          </cell>
          <cell r="C313" t="str">
            <v>Bersalina</v>
          </cell>
          <cell r="D313" t="str">
            <v>Cali</v>
          </cell>
          <cell r="E313" t="str">
            <v>CL 4A oeste 74G 63</v>
          </cell>
          <cell r="F313" t="str">
            <v/>
          </cell>
          <cell r="G313" t="str">
            <v>3155603762</v>
          </cell>
          <cell r="H313" t="str">
            <v>3015660573</v>
          </cell>
          <cell r="I313" t="str">
            <v>Tratamiento</v>
          </cell>
          <cell r="K313" t="str">
            <v>SI</v>
          </cell>
          <cell r="L313" t="str">
            <v>SI</v>
          </cell>
          <cell r="M313" t="e">
            <v>#N/A</v>
          </cell>
          <cell r="N313" t="str">
            <v>BERSALINA CAICEDO CHICO</v>
          </cell>
        </row>
        <row r="314">
          <cell r="A314">
            <v>31830427</v>
          </cell>
          <cell r="B314">
            <v>313</v>
          </cell>
          <cell r="C314" t="str">
            <v>Marlene</v>
          </cell>
          <cell r="D314" t="str">
            <v>Cali</v>
          </cell>
          <cell r="E314" t="str">
            <v>Kr 76 D OESTE 4C 126</v>
          </cell>
          <cell r="F314" t="str">
            <v>Al lado de la tienda Yamile</v>
          </cell>
          <cell r="G314" t="str">
            <v>3104046873</v>
          </cell>
          <cell r="H314" t="str">
            <v>3165144919</v>
          </cell>
          <cell r="I314" t="str">
            <v>Tratamiento</v>
          </cell>
          <cell r="K314" t="str">
            <v>SI</v>
          </cell>
          <cell r="L314" t="str">
            <v>SI</v>
          </cell>
          <cell r="M314" t="str">
            <v>MARLENE BONILLA AGRADO</v>
          </cell>
          <cell r="N314" t="e">
            <v>#N/A</v>
          </cell>
        </row>
        <row r="315">
          <cell r="A315">
            <v>31844574</v>
          </cell>
          <cell r="B315">
            <v>314</v>
          </cell>
          <cell r="C315" t="str">
            <v xml:space="preserve">Luz marina </v>
          </cell>
          <cell r="D315" t="str">
            <v>Cali</v>
          </cell>
          <cell r="E315" t="str">
            <v>CL 4 oeste 74G 27</v>
          </cell>
          <cell r="F315" t="str">
            <v/>
          </cell>
          <cell r="G315" t="str">
            <v>3117344492</v>
          </cell>
          <cell r="H315" t="str">
            <v xml:space="preserve">No dan información </v>
          </cell>
          <cell r="I315" t="str">
            <v>Tratamiento</v>
          </cell>
          <cell r="K315" t="str">
            <v>SI</v>
          </cell>
          <cell r="L315" t="str">
            <v>SI</v>
          </cell>
          <cell r="M315" t="e">
            <v>#N/A</v>
          </cell>
          <cell r="N315" t="str">
            <v>LUZ MARINA ELEJALDE</v>
          </cell>
        </row>
        <row r="316">
          <cell r="A316">
            <v>31871549</v>
          </cell>
          <cell r="B316">
            <v>315</v>
          </cell>
          <cell r="C316" t="str">
            <v>Fanny</v>
          </cell>
          <cell r="D316" t="str">
            <v>Cali</v>
          </cell>
          <cell r="E316" t="str">
            <v>CL 4D oeste 76 26</v>
          </cell>
          <cell r="F316" t="str">
            <v/>
          </cell>
          <cell r="G316" t="str">
            <v>3197556319</v>
          </cell>
          <cell r="H316" t="str">
            <v>3117993997</v>
          </cell>
          <cell r="I316" t="str">
            <v>Tratamiento</v>
          </cell>
          <cell r="K316" t="str">
            <v>SI</v>
          </cell>
          <cell r="L316" t="str">
            <v>SI</v>
          </cell>
          <cell r="M316" t="str">
            <v>FANNY CABEZA IBORRA</v>
          </cell>
          <cell r="N316" t="e">
            <v>#N/A</v>
          </cell>
        </row>
        <row r="317">
          <cell r="A317">
            <v>31887694</v>
          </cell>
          <cell r="B317">
            <v>316</v>
          </cell>
          <cell r="C317" t="str">
            <v>María Miller</v>
          </cell>
          <cell r="D317" t="str">
            <v>Cali</v>
          </cell>
          <cell r="E317" t="str">
            <v>CL 4E OESTE 76BIS 12</v>
          </cell>
          <cell r="F317" t="str">
            <v>AL LADO ES VENTA DE GAS DONDE DOÑA PATRICIA</v>
          </cell>
          <cell r="G317" t="str">
            <v>3178661266</v>
          </cell>
          <cell r="H317" t="str">
            <v xml:space="preserve">No dan información </v>
          </cell>
          <cell r="I317" t="str">
            <v>Tratamiento</v>
          </cell>
          <cell r="K317" t="str">
            <v>SI</v>
          </cell>
          <cell r="L317" t="str">
            <v>SI</v>
          </cell>
          <cell r="M317" t="str">
            <v>MARIA MILLER MONSALVE</v>
          </cell>
          <cell r="N317" t="e">
            <v>#N/A</v>
          </cell>
        </row>
        <row r="318">
          <cell r="A318">
            <v>31902498</v>
          </cell>
          <cell r="B318">
            <v>317</v>
          </cell>
          <cell r="C318" t="str">
            <v xml:space="preserve">Lilia Marlene </v>
          </cell>
          <cell r="D318" t="str">
            <v>Cali</v>
          </cell>
          <cell r="E318" t="str">
            <v>Cl 4b oeste 73d 44</v>
          </cell>
          <cell r="F318" t="str">
            <v>Preguntar por la señora de los perros blancos  pi  hace yogures. Más abajo del comedor   queda en la carretera</v>
          </cell>
          <cell r="G318" t="str">
            <v>3205039836</v>
          </cell>
          <cell r="H318" t="str">
            <v>3216789507</v>
          </cell>
          <cell r="I318" t="str">
            <v>Tratamiento</v>
          </cell>
          <cell r="K318" t="str">
            <v>SI</v>
          </cell>
          <cell r="L318" t="str">
            <v>SI</v>
          </cell>
          <cell r="M318" t="e">
            <v>#N/A</v>
          </cell>
          <cell r="N318" t="str">
            <v>LILIA MARLENE BRAVO MUÑOZ</v>
          </cell>
        </row>
        <row r="319">
          <cell r="A319">
            <v>31909149</v>
          </cell>
          <cell r="B319">
            <v>318</v>
          </cell>
          <cell r="C319" t="str">
            <v>Ana elisa</v>
          </cell>
          <cell r="D319" t="str">
            <v>Cali</v>
          </cell>
          <cell r="E319" t="str">
            <v>MANZANA 30 CASA 08 SECTOR LAS MINAS</v>
          </cell>
          <cell r="F319" t="str">
            <v xml:space="preserve">Canchas las minas  hacia arriba </v>
          </cell>
          <cell r="G319" t="str">
            <v>3208326107</v>
          </cell>
          <cell r="H319" t="str">
            <v>3206672807</v>
          </cell>
          <cell r="I319" t="str">
            <v>Tratamiento</v>
          </cell>
          <cell r="K319" t="str">
            <v>SI</v>
          </cell>
          <cell r="L319" t="str">
            <v>SI</v>
          </cell>
          <cell r="M319" t="e">
            <v>#N/A</v>
          </cell>
          <cell r="N319" t="str">
            <v>ANA ELIZA CRUZ</v>
          </cell>
        </row>
        <row r="320">
          <cell r="A320">
            <v>31923598</v>
          </cell>
          <cell r="B320">
            <v>319</v>
          </cell>
          <cell r="C320" t="str">
            <v>Gladis stela</v>
          </cell>
          <cell r="D320" t="str">
            <v>Cali</v>
          </cell>
          <cell r="E320" t="str">
            <v>Cr 76b  oeste 2d bis 44</v>
          </cell>
          <cell r="F320" t="str">
            <v xml:space="preserve">Tienda don cheo.    Al frente de la tienda Nora </v>
          </cell>
          <cell r="G320" t="str">
            <v>3226161770</v>
          </cell>
          <cell r="H320" t="str">
            <v>3126638229</v>
          </cell>
          <cell r="I320" t="str">
            <v>Tratamiento</v>
          </cell>
          <cell r="K320" t="str">
            <v>SI</v>
          </cell>
          <cell r="L320" t="str">
            <v>SI</v>
          </cell>
          <cell r="M320" t="e">
            <v>#N/A</v>
          </cell>
          <cell r="N320" t="str">
            <v>GLADIS STELLA MESSA SOSCUE</v>
          </cell>
        </row>
        <row r="321">
          <cell r="A321">
            <v>31929380</v>
          </cell>
          <cell r="B321">
            <v>320</v>
          </cell>
          <cell r="C321" t="str">
            <v>GLORIA AMPARO</v>
          </cell>
          <cell r="D321" t="str">
            <v>Cali</v>
          </cell>
          <cell r="E321" t="str">
            <v>CL 4D OESTE 76B BIS 32</v>
          </cell>
          <cell r="F321" t="str">
            <v>Al frente de la Torre de energia</v>
          </cell>
          <cell r="G321" t="str">
            <v>3206134418</v>
          </cell>
          <cell r="H321" t="str">
            <v xml:space="preserve">No dan información </v>
          </cell>
          <cell r="I321" t="str">
            <v>Tratamiento</v>
          </cell>
          <cell r="K321" t="str">
            <v>SI</v>
          </cell>
          <cell r="L321" t="str">
            <v>SI</v>
          </cell>
          <cell r="M321" t="str">
            <v>GIONA AMPARO PALAU</v>
          </cell>
          <cell r="N321" t="e">
            <v>#N/A</v>
          </cell>
        </row>
        <row r="322">
          <cell r="A322">
            <v>31959597</v>
          </cell>
          <cell r="B322">
            <v>321</v>
          </cell>
          <cell r="C322" t="str">
            <v xml:space="preserve">Benilda </v>
          </cell>
          <cell r="D322" t="str">
            <v>Cali</v>
          </cell>
          <cell r="E322" t="str">
            <v>Kr 74g oeste 4B 05</v>
          </cell>
          <cell r="F322" t="str">
            <v>La escuela las minas</v>
          </cell>
          <cell r="G322" t="str">
            <v>3054330289</v>
          </cell>
          <cell r="H322" t="str">
            <v xml:space="preserve">No dan información </v>
          </cell>
          <cell r="I322" t="str">
            <v>Tratamiento</v>
          </cell>
          <cell r="K322" t="str">
            <v>SI</v>
          </cell>
          <cell r="L322" t="str">
            <v>SI</v>
          </cell>
          <cell r="M322" t="e">
            <v>#N/A</v>
          </cell>
          <cell r="N322" t="str">
            <v>BENILDA MENESES JOAQUI</v>
          </cell>
        </row>
        <row r="323">
          <cell r="A323">
            <v>31972147</v>
          </cell>
          <cell r="B323">
            <v>322</v>
          </cell>
          <cell r="C323" t="str">
            <v>Maricela</v>
          </cell>
          <cell r="D323" t="str">
            <v>Cali</v>
          </cell>
          <cell r="E323" t="str">
            <v>Cll 48 oeste cr 73 73 piso 1</v>
          </cell>
          <cell r="F323" t="str">
            <v>Más abajo de la tienda se don cheo</v>
          </cell>
          <cell r="G323" t="str">
            <v>3117222884</v>
          </cell>
          <cell r="H323" t="str">
            <v xml:space="preserve">No dan información </v>
          </cell>
          <cell r="I323" t="str">
            <v>Tratamiento</v>
          </cell>
          <cell r="K323" t="str">
            <v>SI</v>
          </cell>
          <cell r="L323" t="str">
            <v>SI</v>
          </cell>
          <cell r="M323" t="e">
            <v>#N/A</v>
          </cell>
          <cell r="N323" t="str">
            <v>MARICELA MOSQUERA LEON</v>
          </cell>
        </row>
        <row r="324">
          <cell r="A324">
            <v>31981946</v>
          </cell>
          <cell r="B324">
            <v>323</v>
          </cell>
          <cell r="C324" t="str">
            <v xml:space="preserve">Luz Marina </v>
          </cell>
          <cell r="D324" t="str">
            <v>Cali</v>
          </cell>
          <cell r="E324" t="str">
            <v>CL 3C BIS 76 C 27</v>
          </cell>
          <cell r="F324" t="str">
            <v>A tres viviendas de la tienda de alimentos de perros</v>
          </cell>
          <cell r="G324" t="str">
            <v>3145698122</v>
          </cell>
          <cell r="H324" t="str">
            <v>3163913256</v>
          </cell>
          <cell r="I324" t="str">
            <v>Tratamiento</v>
          </cell>
          <cell r="K324" t="str">
            <v>SI</v>
          </cell>
          <cell r="L324" t="str">
            <v>SI</v>
          </cell>
          <cell r="M324" t="str">
            <v>LUZ MARINA SALDARRIAGA</v>
          </cell>
          <cell r="N324" t="e">
            <v>#N/A</v>
          </cell>
        </row>
        <row r="325">
          <cell r="A325">
            <v>31983781</v>
          </cell>
          <cell r="B325">
            <v>324</v>
          </cell>
          <cell r="C325" t="str">
            <v xml:space="preserve">LEONOR </v>
          </cell>
          <cell r="D325" t="str">
            <v>Cali</v>
          </cell>
          <cell r="E325" t="str">
            <v>KR 76 A OESTE 4DBIS-09</v>
          </cell>
          <cell r="F325" t="str">
            <v xml:space="preserve">Enseguida del colegio fe y alegría la casa prefabricada de malla gris </v>
          </cell>
          <cell r="G325" t="str">
            <v>3183557208</v>
          </cell>
          <cell r="H325" t="str">
            <v>3008587529</v>
          </cell>
          <cell r="I325" t="str">
            <v>Tratamiento</v>
          </cell>
          <cell r="K325" t="str">
            <v>SI</v>
          </cell>
          <cell r="L325" t="str">
            <v>SI</v>
          </cell>
          <cell r="M325" t="str">
            <v>LEONOR RUIZ</v>
          </cell>
          <cell r="N325" t="e">
            <v>#N/A</v>
          </cell>
        </row>
        <row r="326">
          <cell r="A326">
            <v>31992224</v>
          </cell>
          <cell r="B326">
            <v>325</v>
          </cell>
          <cell r="C326" t="str">
            <v xml:space="preserve">BLANCA INÉS </v>
          </cell>
          <cell r="D326" t="str">
            <v>Cali</v>
          </cell>
          <cell r="E326" t="str">
            <v>CALLE 4C OESTE 76B1-20</v>
          </cell>
          <cell r="F326" t="str">
            <v>Centro solidaridad la esperanza cesoles</v>
          </cell>
          <cell r="G326" t="str">
            <v>3216475217</v>
          </cell>
          <cell r="H326" t="str">
            <v>3147564530</v>
          </cell>
          <cell r="I326" t="str">
            <v>Tratamiento</v>
          </cell>
          <cell r="K326" t="str">
            <v>SI</v>
          </cell>
          <cell r="L326" t="str">
            <v>SI</v>
          </cell>
          <cell r="M326" t="str">
            <v>BLANCA INES MENA</v>
          </cell>
          <cell r="N326" t="e">
            <v>#N/A</v>
          </cell>
        </row>
        <row r="327">
          <cell r="A327">
            <v>31992747</v>
          </cell>
          <cell r="B327">
            <v>326</v>
          </cell>
          <cell r="C327" t="str">
            <v xml:space="preserve">María  Lucinda </v>
          </cell>
          <cell r="D327" t="str">
            <v>Cali</v>
          </cell>
          <cell r="E327" t="str">
            <v>Kr 76 A oeste 4Dbis 15</v>
          </cell>
          <cell r="F327" t="str">
            <v>Al frente del colegio fe y alegria</v>
          </cell>
          <cell r="G327" t="str">
            <v>3207715491</v>
          </cell>
          <cell r="H327" t="str">
            <v>3207047117</v>
          </cell>
          <cell r="I327" t="str">
            <v>Tratamiento</v>
          </cell>
          <cell r="K327" t="str">
            <v>SI</v>
          </cell>
          <cell r="L327" t="str">
            <v>SI</v>
          </cell>
          <cell r="M327" t="str">
            <v>MARIA LUCILDA RINCON</v>
          </cell>
          <cell r="N327" t="e">
            <v>#N/A</v>
          </cell>
        </row>
        <row r="328">
          <cell r="A328">
            <v>32285101</v>
          </cell>
          <cell r="B328">
            <v>327</v>
          </cell>
          <cell r="C328" t="str">
            <v>Elida Rosa</v>
          </cell>
          <cell r="D328" t="str">
            <v>Cali</v>
          </cell>
          <cell r="E328" t="str">
            <v>Kr 76 E OESTE 4C BIS 38</v>
          </cell>
          <cell r="F328" t="str">
            <v>Al lado de la caseta comunal por la parte de arriba. O  dos casas de la cerrajería de la vía principal</v>
          </cell>
          <cell r="G328" t="str">
            <v>3159363447</v>
          </cell>
          <cell r="H328" t="str">
            <v>3127090484</v>
          </cell>
          <cell r="I328" t="str">
            <v>Tratamiento</v>
          </cell>
          <cell r="J328" t="str">
            <v>Cali</v>
          </cell>
          <cell r="K328" t="str">
            <v>SI</v>
          </cell>
          <cell r="L328" t="str">
            <v>SI</v>
          </cell>
          <cell r="M328" t="str">
            <v>ELIDA ROSA RODRIGUEZ</v>
          </cell>
          <cell r="N328" t="e">
            <v>#N/A</v>
          </cell>
        </row>
        <row r="329">
          <cell r="A329">
            <v>32285912</v>
          </cell>
          <cell r="B329">
            <v>328</v>
          </cell>
          <cell r="C329" t="str">
            <v>María Isabelina</v>
          </cell>
          <cell r="D329" t="str">
            <v>Cali</v>
          </cell>
          <cell r="E329" t="str">
            <v>CL 4D OESTE 70A 50</v>
          </cell>
          <cell r="F329" t="str">
            <v xml:space="preserve">Punto de chance de doña Ana es único </v>
          </cell>
          <cell r="G329" t="str">
            <v>3178664182</v>
          </cell>
          <cell r="H329" t="str">
            <v xml:space="preserve">No dan información </v>
          </cell>
          <cell r="I329" t="str">
            <v>Tratamiento</v>
          </cell>
          <cell r="K329" t="str">
            <v>SI</v>
          </cell>
          <cell r="L329" t="str">
            <v>SI</v>
          </cell>
          <cell r="M329" t="str">
            <v>MARIA ISABELINA DAVID</v>
          </cell>
          <cell r="N329" t="e">
            <v>#N/A</v>
          </cell>
        </row>
        <row r="330">
          <cell r="A330">
            <v>34400184</v>
          </cell>
          <cell r="B330">
            <v>329</v>
          </cell>
          <cell r="C330" t="str">
            <v>Ilda maria</v>
          </cell>
          <cell r="D330" t="str">
            <v>Cali</v>
          </cell>
          <cell r="E330" t="str">
            <v>Kr 74 G oeste 4 12</v>
          </cell>
          <cell r="F330" t="str">
            <v>Cerca al comedor comunitario las.minas</v>
          </cell>
          <cell r="G330" t="str">
            <v>3116071609</v>
          </cell>
          <cell r="H330" t="str">
            <v xml:space="preserve">3147991838 </v>
          </cell>
          <cell r="I330" t="str">
            <v>Tratamiento</v>
          </cell>
          <cell r="J330" t="str">
            <v>Cali</v>
          </cell>
          <cell r="K330" t="str">
            <v>SI</v>
          </cell>
          <cell r="L330" t="str">
            <v>SI</v>
          </cell>
          <cell r="M330" t="e">
            <v>#N/A</v>
          </cell>
          <cell r="N330" t="str">
            <v>ILDA MARIA MOSQUERA CHICO</v>
          </cell>
        </row>
        <row r="331">
          <cell r="A331">
            <v>34503573</v>
          </cell>
          <cell r="B331">
            <v>330</v>
          </cell>
          <cell r="C331" t="str">
            <v>Fabiola</v>
          </cell>
          <cell r="D331" t="str">
            <v>Cali</v>
          </cell>
          <cell r="E331" t="str">
            <v>C 4 oeste 74 G 06</v>
          </cell>
          <cell r="F331" t="str">
            <v/>
          </cell>
          <cell r="G331" t="str">
            <v>3117742368</v>
          </cell>
          <cell r="H331" t="str">
            <v>3206504533</v>
          </cell>
          <cell r="I331" t="str">
            <v>Tratamiento</v>
          </cell>
          <cell r="K331" t="str">
            <v>SI</v>
          </cell>
          <cell r="L331" t="str">
            <v>SI</v>
          </cell>
          <cell r="M331" t="e">
            <v>#N/A</v>
          </cell>
          <cell r="N331" t="str">
            <v>FABIOLA GONZÁLES BALANTA</v>
          </cell>
        </row>
        <row r="332">
          <cell r="A332">
            <v>34515416</v>
          </cell>
          <cell r="B332">
            <v>331</v>
          </cell>
          <cell r="C332" t="str">
            <v>Olga</v>
          </cell>
          <cell r="D332" t="str">
            <v>Cali</v>
          </cell>
          <cell r="E332" t="str">
            <v>CL 4B oeste 73D 14</v>
          </cell>
          <cell r="F332" t="str">
            <v>Sector los minas  el comedor comunrioa de doña erminia</v>
          </cell>
          <cell r="G332" t="str">
            <v>3156604920</v>
          </cell>
          <cell r="H332" t="str">
            <v>3185288407</v>
          </cell>
          <cell r="I332" t="str">
            <v>Tratamiento</v>
          </cell>
          <cell r="K332" t="str">
            <v>SI</v>
          </cell>
          <cell r="L332" t="str">
            <v>SI</v>
          </cell>
          <cell r="M332" t="e">
            <v>#N/A</v>
          </cell>
          <cell r="N332" t="str">
            <v>OLGA CONDA RIVERA</v>
          </cell>
        </row>
        <row r="333">
          <cell r="A333">
            <v>34572562</v>
          </cell>
          <cell r="B333">
            <v>332</v>
          </cell>
          <cell r="C333" t="str">
            <v>Asuncion</v>
          </cell>
          <cell r="D333" t="str">
            <v>Cali</v>
          </cell>
          <cell r="E333" t="str">
            <v>CALLE 4D OESTE 82-28</v>
          </cell>
          <cell r="F333" t="str">
            <v>Al frente de la cancha de la.cruz</v>
          </cell>
          <cell r="G333" t="str">
            <v>3136521758</v>
          </cell>
          <cell r="H333" t="str">
            <v xml:space="preserve">No dan información </v>
          </cell>
          <cell r="I333" t="str">
            <v>Tratamiento</v>
          </cell>
          <cell r="K333" t="str">
            <v>SI</v>
          </cell>
          <cell r="L333" t="str">
            <v>SI</v>
          </cell>
          <cell r="M333" t="str">
            <v>ASUNCION ORTEGA</v>
          </cell>
          <cell r="N333" t="e">
            <v>#N/A</v>
          </cell>
        </row>
        <row r="334">
          <cell r="A334">
            <v>34573715</v>
          </cell>
          <cell r="B334">
            <v>333</v>
          </cell>
          <cell r="C334" t="str">
            <v>María Jesus</v>
          </cell>
          <cell r="D334" t="str">
            <v>Cali</v>
          </cell>
          <cell r="E334" t="str">
            <v>CL 4E OESTE 76 BIS 05</v>
          </cell>
          <cell r="F334" t="str">
            <v>Al frente de calzado Cordoba</v>
          </cell>
          <cell r="G334" t="str">
            <v>31276381930</v>
          </cell>
          <cell r="H334" t="str">
            <v>0</v>
          </cell>
          <cell r="I334" t="str">
            <v>Tratamiento</v>
          </cell>
          <cell r="K334" t="str">
            <v>SI</v>
          </cell>
          <cell r="L334" t="str">
            <v>SI</v>
          </cell>
          <cell r="M334" t="str">
            <v>MARIA JESUSA CORDOBA</v>
          </cell>
          <cell r="N334" t="e">
            <v>#N/A</v>
          </cell>
        </row>
        <row r="335">
          <cell r="A335">
            <v>34690139</v>
          </cell>
          <cell r="B335">
            <v>334</v>
          </cell>
          <cell r="C335" t="str">
            <v>Aleida</v>
          </cell>
          <cell r="D335" t="str">
            <v>Cali</v>
          </cell>
          <cell r="E335" t="str">
            <v>Cr 71 oeste 4b 04</v>
          </cell>
          <cell r="F335" t="str">
            <v>Cancha de las minas  más arriba por una subida</v>
          </cell>
          <cell r="G335" t="str">
            <v>3233510980</v>
          </cell>
          <cell r="H335" t="str">
            <v xml:space="preserve">No dan información </v>
          </cell>
          <cell r="I335" t="str">
            <v>Tratamiento</v>
          </cell>
          <cell r="K335" t="str">
            <v>SI</v>
          </cell>
          <cell r="L335" t="str">
            <v>SI</v>
          </cell>
          <cell r="M335" t="e">
            <v>#N/A</v>
          </cell>
          <cell r="N335" t="str">
            <v>ALEIDA JIMENEZ</v>
          </cell>
        </row>
        <row r="336">
          <cell r="A336">
            <v>35546366</v>
          </cell>
          <cell r="B336">
            <v>335</v>
          </cell>
          <cell r="C336" t="str">
            <v>Bacilia</v>
          </cell>
          <cell r="D336" t="str">
            <v>Cali</v>
          </cell>
          <cell r="E336" t="str">
            <v>Cll 4b oeste. 73b bis 126</v>
          </cell>
          <cell r="F336" t="str">
            <v>Comedor de las minas  diagonal</v>
          </cell>
          <cell r="G336" t="str">
            <v>3128472306</v>
          </cell>
          <cell r="H336" t="str">
            <v>3242332571</v>
          </cell>
          <cell r="I336" t="str">
            <v>Tratamiento</v>
          </cell>
          <cell r="K336" t="str">
            <v>SI</v>
          </cell>
          <cell r="L336" t="str">
            <v>SI</v>
          </cell>
          <cell r="M336" t="e">
            <v>#N/A</v>
          </cell>
          <cell r="N336" t="str">
            <v>BASILISA BECERRA MORENO</v>
          </cell>
        </row>
        <row r="337">
          <cell r="A337">
            <v>35990267</v>
          </cell>
          <cell r="B337">
            <v>336</v>
          </cell>
          <cell r="C337" t="str">
            <v xml:space="preserve">Maria Luz </v>
          </cell>
          <cell r="D337" t="str">
            <v>Cali</v>
          </cell>
          <cell r="E337" t="str">
            <v xml:space="preserve">No dan información </v>
          </cell>
          <cell r="F337" t="str">
            <v xml:space="preserve">Como a 15 viviendas de la cancha indígena </v>
          </cell>
          <cell r="G337" t="str">
            <v>3234987545</v>
          </cell>
          <cell r="H337" t="str">
            <v>3113834021</v>
          </cell>
          <cell r="I337" t="str">
            <v>Tratamiento</v>
          </cell>
          <cell r="K337" t="str">
            <v>SI</v>
          </cell>
          <cell r="L337" t="str">
            <v>SI</v>
          </cell>
          <cell r="M337" t="str">
            <v>MARIA LUZ GONZALEZ MENDOZA</v>
          </cell>
          <cell r="N337" t="e">
            <v>#N/A</v>
          </cell>
        </row>
        <row r="338">
          <cell r="A338">
            <v>37075013</v>
          </cell>
          <cell r="B338">
            <v>337</v>
          </cell>
          <cell r="C338" t="str">
            <v>Ninfa maria</v>
          </cell>
          <cell r="D338" t="str">
            <v>Cali</v>
          </cell>
          <cell r="E338" t="str">
            <v>Cr 74g #oeste 4 10</v>
          </cell>
          <cell r="F338" t="str">
            <v>La caseta comunal. El comedor del  sector de las minas</v>
          </cell>
          <cell r="G338" t="str">
            <v>3215376848</v>
          </cell>
          <cell r="H338" t="str">
            <v>3104791775</v>
          </cell>
          <cell r="I338" t="str">
            <v>Tratamiento</v>
          </cell>
          <cell r="K338" t="str">
            <v>SI</v>
          </cell>
          <cell r="L338" t="str">
            <v>SI</v>
          </cell>
          <cell r="M338" t="e">
            <v>#N/A</v>
          </cell>
          <cell r="N338" t="str">
            <v>NINFA MARIA MEZA CASTILLO</v>
          </cell>
        </row>
        <row r="339">
          <cell r="A339">
            <v>37253427</v>
          </cell>
          <cell r="B339">
            <v>338</v>
          </cell>
          <cell r="C339" t="str">
            <v xml:space="preserve">OBDULIA </v>
          </cell>
          <cell r="D339" t="str">
            <v>Cali</v>
          </cell>
          <cell r="E339" t="str">
            <v xml:space="preserve">No dan información </v>
          </cell>
          <cell r="F339" t="str">
            <v xml:space="preserve">Por la iglesia católica a una cuadra del control de los jeeps de la cruz </v>
          </cell>
          <cell r="G339" t="str">
            <v>3135739636</v>
          </cell>
          <cell r="H339" t="str">
            <v xml:space="preserve">No dan información </v>
          </cell>
          <cell r="I339" t="str">
            <v>Tratamiento</v>
          </cell>
          <cell r="K339" t="str">
            <v>SI</v>
          </cell>
          <cell r="L339" t="str">
            <v>SI</v>
          </cell>
          <cell r="M339" t="str">
            <v>OBDULIA CABEZAS IBARRA</v>
          </cell>
          <cell r="N339" t="e">
            <v>#N/A</v>
          </cell>
        </row>
        <row r="340">
          <cell r="A340">
            <v>38601290</v>
          </cell>
          <cell r="B340">
            <v>339</v>
          </cell>
          <cell r="C340" t="str">
            <v>Sandra liliana</v>
          </cell>
          <cell r="D340" t="str">
            <v>Cali</v>
          </cell>
          <cell r="E340" t="str">
            <v>CR 70A OESTE 4B 04</v>
          </cell>
          <cell r="F340" t="str">
            <v>Tienda chana</v>
          </cell>
          <cell r="G340" t="str">
            <v>3107183689</v>
          </cell>
          <cell r="H340" t="str">
            <v xml:space="preserve">No dan información </v>
          </cell>
          <cell r="I340" t="str">
            <v>Tratamiento</v>
          </cell>
          <cell r="K340" t="str">
            <v>SI</v>
          </cell>
          <cell r="L340" t="str">
            <v>SI</v>
          </cell>
          <cell r="M340" t="str">
            <v>SANDRA MONSALVE</v>
          </cell>
          <cell r="N340" t="e">
            <v>#N/A</v>
          </cell>
        </row>
        <row r="341">
          <cell r="A341">
            <v>38642608</v>
          </cell>
          <cell r="B341">
            <v>340</v>
          </cell>
          <cell r="C341" t="str">
            <v>Ana nolfi</v>
          </cell>
          <cell r="D341" t="str">
            <v>Cali</v>
          </cell>
          <cell r="E341" t="str">
            <v>CL 4B OESTE 73-09 APTO 102</v>
          </cell>
          <cell r="F341" t="str">
            <v>Al lado de Sandra milena victoria hermana</v>
          </cell>
          <cell r="G341" t="str">
            <v>3165740915</v>
          </cell>
          <cell r="H341" t="str">
            <v>3133546069</v>
          </cell>
          <cell r="I341" t="str">
            <v>Tratamiento</v>
          </cell>
          <cell r="J341" t="str">
            <v>Cali</v>
          </cell>
          <cell r="K341" t="str">
            <v>SI</v>
          </cell>
          <cell r="L341" t="str">
            <v>SI</v>
          </cell>
          <cell r="M341" t="e">
            <v>#N/A</v>
          </cell>
          <cell r="N341" t="str">
            <v>ANA NOLFY VICTORIA IPIA</v>
          </cell>
        </row>
        <row r="342">
          <cell r="A342">
            <v>38665695</v>
          </cell>
          <cell r="B342">
            <v>341</v>
          </cell>
          <cell r="C342" t="str">
            <v xml:space="preserve">RUSBITA </v>
          </cell>
          <cell r="D342" t="str">
            <v>Cali</v>
          </cell>
          <cell r="E342" t="str">
            <v>MANZANA 4 CASA 177 SECTOR OASIS</v>
          </cell>
          <cell r="F342" t="str">
            <v>Jardín de cesoles al fondo sube las segúndas gradas y en la segunda casa mano derecha palo de mango</v>
          </cell>
          <cell r="G342" t="str">
            <v>3185473733</v>
          </cell>
          <cell r="H342" t="str">
            <v>3117534560</v>
          </cell>
          <cell r="I342" t="str">
            <v>Tratamiento</v>
          </cell>
          <cell r="K342" t="str">
            <v>SI</v>
          </cell>
          <cell r="L342" t="str">
            <v>SI</v>
          </cell>
          <cell r="M342" t="str">
            <v>ROSALVA JIMENEZ</v>
          </cell>
          <cell r="N342" t="e">
            <v>#N/A</v>
          </cell>
        </row>
        <row r="343">
          <cell r="A343">
            <v>38668909</v>
          </cell>
          <cell r="B343">
            <v>342</v>
          </cell>
          <cell r="C343" t="str">
            <v>Martha Isabel</v>
          </cell>
          <cell r="D343" t="str">
            <v>Cali</v>
          </cell>
          <cell r="E343" t="str">
            <v>Kr 74G 4-44</v>
          </cell>
          <cell r="F343" t="str">
            <v>Cerca al comedor comunitario de la minas</v>
          </cell>
          <cell r="G343" t="str">
            <v>3218752141</v>
          </cell>
          <cell r="H343" t="str">
            <v xml:space="preserve">No dan información </v>
          </cell>
          <cell r="I343" t="str">
            <v>Tratamiento</v>
          </cell>
          <cell r="K343" t="str">
            <v>SI</v>
          </cell>
          <cell r="L343" t="str">
            <v>SI</v>
          </cell>
          <cell r="M343" t="e">
            <v>#N/A</v>
          </cell>
          <cell r="N343" t="str">
            <v>MARTHA ISABEL CHACON DIAZ</v>
          </cell>
        </row>
        <row r="344">
          <cell r="A344">
            <v>38671487</v>
          </cell>
          <cell r="B344">
            <v>343</v>
          </cell>
          <cell r="C344" t="str">
            <v>Sandra vicky</v>
          </cell>
          <cell r="D344" t="str">
            <v>Cali</v>
          </cell>
          <cell r="E344" t="str">
            <v>Cr 74 G oeste 4B 31</v>
          </cell>
          <cell r="F344" t="str">
            <v/>
          </cell>
          <cell r="G344" t="str">
            <v>3213415922</v>
          </cell>
          <cell r="H344" t="str">
            <v>3185120132</v>
          </cell>
          <cell r="I344" t="str">
            <v>Tratamiento</v>
          </cell>
          <cell r="K344" t="str">
            <v>SI</v>
          </cell>
          <cell r="L344" t="str">
            <v>SI</v>
          </cell>
          <cell r="M344" t="e">
            <v>#N/A</v>
          </cell>
          <cell r="N344" t="str">
            <v>SANDRA VICKY JIMENEZ RODRIGUEZ</v>
          </cell>
        </row>
        <row r="345">
          <cell r="A345">
            <v>38973256</v>
          </cell>
          <cell r="B345">
            <v>344</v>
          </cell>
          <cell r="C345" t="str">
            <v xml:space="preserve">ASCENETH </v>
          </cell>
          <cell r="D345" t="str">
            <v>Cali</v>
          </cell>
          <cell r="E345" t="str">
            <v>CRA 76B OESTE 4C-62</v>
          </cell>
          <cell r="F345" t="str">
            <v xml:space="preserve">La tienda de Doña marina </v>
          </cell>
          <cell r="G345" t="str">
            <v>3166815308</v>
          </cell>
          <cell r="H345" t="str">
            <v>3146629618</v>
          </cell>
          <cell r="I345" t="str">
            <v>Tratamiento</v>
          </cell>
          <cell r="K345" t="str">
            <v>SI</v>
          </cell>
          <cell r="L345" t="str">
            <v>SI</v>
          </cell>
          <cell r="M345" t="str">
            <v>ASCENETH GIL DUARTE</v>
          </cell>
          <cell r="N345" t="e">
            <v>#N/A</v>
          </cell>
        </row>
        <row r="346">
          <cell r="A346">
            <v>38992016</v>
          </cell>
          <cell r="B346">
            <v>345</v>
          </cell>
          <cell r="C346" t="str">
            <v xml:space="preserve">PASTORA </v>
          </cell>
          <cell r="D346" t="str">
            <v>Cali</v>
          </cell>
          <cell r="E346" t="str">
            <v xml:space="preserve">No dan información </v>
          </cell>
          <cell r="F346" t="str">
            <v xml:space="preserve">Subiendo a la cancha </v>
          </cell>
          <cell r="G346" t="str">
            <v>3167902676</v>
          </cell>
          <cell r="H346" t="str">
            <v xml:space="preserve">No dan información </v>
          </cell>
          <cell r="I346" t="str">
            <v>Tratamiento</v>
          </cell>
          <cell r="J346"/>
          <cell r="K346" t="str">
            <v>SI</v>
          </cell>
          <cell r="L346" t="str">
            <v>SI</v>
          </cell>
          <cell r="M346" t="str">
            <v>PASTORA ERAZO</v>
          </cell>
          <cell r="N346" t="e">
            <v>#N/A</v>
          </cell>
        </row>
        <row r="347">
          <cell r="A347">
            <v>42061051</v>
          </cell>
          <cell r="B347">
            <v>346</v>
          </cell>
          <cell r="C347" t="str">
            <v>María</v>
          </cell>
          <cell r="D347" t="str">
            <v>Cali</v>
          </cell>
          <cell r="E347" t="str">
            <v>Cr 70A OESTE 4D 04</v>
          </cell>
          <cell r="F347" t="str">
            <v>En toda la curva en la tercera casa</v>
          </cell>
          <cell r="G347" t="str">
            <v>3167093788</v>
          </cell>
          <cell r="H347" t="str">
            <v>3188848452</v>
          </cell>
          <cell r="I347" t="str">
            <v>Tratamiento</v>
          </cell>
          <cell r="J347" t="str">
            <v>Cali</v>
          </cell>
          <cell r="K347" t="str">
            <v>SI</v>
          </cell>
          <cell r="L347" t="str">
            <v>SI</v>
          </cell>
          <cell r="M347" t="str">
            <v>MARIA QUINTERO GRISALES</v>
          </cell>
          <cell r="N347" t="e">
            <v>#N/A</v>
          </cell>
        </row>
        <row r="348">
          <cell r="A348">
            <v>4335238</v>
          </cell>
          <cell r="B348">
            <v>347</v>
          </cell>
          <cell r="C348" t="str">
            <v>Fabio de jesus</v>
          </cell>
          <cell r="D348" t="str">
            <v>Cali</v>
          </cell>
          <cell r="E348" t="str">
            <v>Cr 74 g oeste 4b 63 casa 2</v>
          </cell>
          <cell r="F348" t="str">
            <v>Comedor las minas. Hacia arriba por la loma</v>
          </cell>
          <cell r="G348" t="str">
            <v>3245724207</v>
          </cell>
          <cell r="H348" t="str">
            <v>3185749690</v>
          </cell>
          <cell r="I348" t="str">
            <v>Tratamiento</v>
          </cell>
          <cell r="K348" t="str">
            <v>SI</v>
          </cell>
          <cell r="L348" t="str">
            <v>SI</v>
          </cell>
          <cell r="M348" t="e">
            <v>#N/A</v>
          </cell>
          <cell r="N348" t="str">
            <v>FABIO DE JESUS LOPEZ RAMIREZ</v>
          </cell>
        </row>
        <row r="349">
          <cell r="A349">
            <v>4698774</v>
          </cell>
          <cell r="B349">
            <v>348</v>
          </cell>
          <cell r="C349" t="str">
            <v xml:space="preserve">Bolívar </v>
          </cell>
          <cell r="D349" t="str">
            <v>Cali</v>
          </cell>
          <cell r="E349" t="str">
            <v xml:space="preserve">Kr 77C Oeste 4C OESTE 25 </v>
          </cell>
          <cell r="F349" t="str">
            <v xml:space="preserve">Al frente de la. Cancha de los indígenas </v>
          </cell>
          <cell r="G349" t="str">
            <v>3113903410</v>
          </cell>
          <cell r="H349" t="str">
            <v>3128900716</v>
          </cell>
          <cell r="I349" t="str">
            <v>Tratamiento</v>
          </cell>
          <cell r="K349" t="str">
            <v>SI</v>
          </cell>
          <cell r="L349" t="str">
            <v>SI</v>
          </cell>
          <cell r="M349" t="str">
            <v>BOLIVAR CORREA</v>
          </cell>
          <cell r="N349" t="e">
            <v>#N/A</v>
          </cell>
        </row>
        <row r="350">
          <cell r="A350">
            <v>4721794</v>
          </cell>
          <cell r="B350">
            <v>349</v>
          </cell>
          <cell r="C350" t="str">
            <v>Basilio</v>
          </cell>
          <cell r="D350" t="str">
            <v>Cali</v>
          </cell>
          <cell r="E350" t="str">
            <v xml:space="preserve">No dan información </v>
          </cell>
          <cell r="F350" t="str">
            <v>Cancha la minas  esquina puerta negra</v>
          </cell>
          <cell r="G350" t="str">
            <v>3136362147</v>
          </cell>
          <cell r="H350" t="str">
            <v>3112000049</v>
          </cell>
          <cell r="I350" t="str">
            <v>Tratamiento</v>
          </cell>
          <cell r="K350" t="str">
            <v>SI</v>
          </cell>
          <cell r="L350" t="str">
            <v>SI</v>
          </cell>
          <cell r="M350" t="e">
            <v>#N/A</v>
          </cell>
          <cell r="N350" t="str">
            <v>BASILIO ZAMBRANO CRUZ</v>
          </cell>
        </row>
        <row r="351">
          <cell r="A351">
            <v>48612619</v>
          </cell>
          <cell r="B351">
            <v>350</v>
          </cell>
          <cell r="C351" t="str">
            <v>María oliva</v>
          </cell>
          <cell r="D351" t="str">
            <v>Cali</v>
          </cell>
          <cell r="E351" t="str">
            <v>Cll 4 oeste. 73 58</v>
          </cell>
          <cell r="F351" t="str">
            <v xml:space="preserve"> Cancha las minas  hacia arriba</v>
          </cell>
          <cell r="G351" t="str">
            <v>48612619</v>
          </cell>
          <cell r="H351" t="str">
            <v xml:space="preserve">No dan información </v>
          </cell>
          <cell r="I351" t="str">
            <v>Tratamiento</v>
          </cell>
          <cell r="K351" t="str">
            <v>SI</v>
          </cell>
          <cell r="L351" t="str">
            <v>SI</v>
          </cell>
          <cell r="M351" t="e">
            <v>#N/A</v>
          </cell>
          <cell r="N351" t="str">
            <v>MARIA OLIVA RODALLEGA</v>
          </cell>
        </row>
        <row r="352">
          <cell r="A352">
            <v>48614162</v>
          </cell>
          <cell r="B352">
            <v>351</v>
          </cell>
          <cell r="C352" t="str">
            <v xml:space="preserve">Amelia </v>
          </cell>
          <cell r="D352" t="str">
            <v>Cali</v>
          </cell>
          <cell r="E352" t="str">
            <v>CL 4B oeste 73 119</v>
          </cell>
          <cell r="F352" t="str">
            <v>Bajando por la cancha de las minas</v>
          </cell>
          <cell r="G352" t="str">
            <v>3207256456</v>
          </cell>
          <cell r="H352" t="str">
            <v>3126449972</v>
          </cell>
          <cell r="I352" t="str">
            <v>Tratamiento</v>
          </cell>
          <cell r="K352" t="str">
            <v>SI</v>
          </cell>
          <cell r="L352" t="str">
            <v>SI</v>
          </cell>
          <cell r="M352" t="e">
            <v>#N/A</v>
          </cell>
          <cell r="N352" t="str">
            <v>AMELIA MOSQUERA CAPOTE</v>
          </cell>
        </row>
        <row r="353">
          <cell r="A353">
            <v>5217736</v>
          </cell>
          <cell r="B353">
            <v>352</v>
          </cell>
          <cell r="C353" t="str">
            <v>Bolivar</v>
          </cell>
          <cell r="D353" t="str">
            <v>Cali</v>
          </cell>
          <cell r="E353" t="str">
            <v>MANZANA 1 CASA 54 SECTOR LAS MINAS</v>
          </cell>
          <cell r="F353" t="str">
            <v/>
          </cell>
          <cell r="G353" t="str">
            <v>3205441920</v>
          </cell>
          <cell r="H353" t="str">
            <v>3117515089</v>
          </cell>
          <cell r="I353" t="str">
            <v>Tratamiento</v>
          </cell>
          <cell r="J353"/>
          <cell r="K353" t="str">
            <v>SI</v>
          </cell>
          <cell r="L353" t="str">
            <v>SI</v>
          </cell>
          <cell r="M353" t="e">
            <v>#N/A</v>
          </cell>
          <cell r="N353" t="str">
            <v>BOLIVAR URBANO JURADO</v>
          </cell>
        </row>
        <row r="354">
          <cell r="A354">
            <v>6307220</v>
          </cell>
          <cell r="B354">
            <v>353</v>
          </cell>
          <cell r="C354" t="str">
            <v>Gerardo</v>
          </cell>
          <cell r="D354" t="str">
            <v>Cali</v>
          </cell>
          <cell r="E354" t="str">
            <v>CL 4D OESTE 71-32</v>
          </cell>
          <cell r="F354" t="str">
            <v>Al frente de la iglesia católica de  la Cruz</v>
          </cell>
          <cell r="G354" t="str">
            <v>3161891824</v>
          </cell>
          <cell r="H354" t="str">
            <v>3128568968</v>
          </cell>
          <cell r="I354" t="str">
            <v>Tratamiento</v>
          </cell>
          <cell r="K354" t="str">
            <v>SI</v>
          </cell>
          <cell r="L354" t="str">
            <v>SI</v>
          </cell>
          <cell r="M354" t="str">
            <v>GERARDO GUETIO</v>
          </cell>
          <cell r="N354" t="e">
            <v>#N/A</v>
          </cell>
        </row>
        <row r="355">
          <cell r="A355">
            <v>65815427</v>
          </cell>
          <cell r="B355">
            <v>354</v>
          </cell>
          <cell r="C355" t="str">
            <v xml:space="preserve">BERNARDITA </v>
          </cell>
          <cell r="D355" t="str">
            <v>Cali</v>
          </cell>
          <cell r="E355" t="str">
            <v>CALLE 4E 76-04 BIS</v>
          </cell>
          <cell r="F355" t="str">
            <v>Donde reparan calzado, variedades YADI</v>
          </cell>
          <cell r="G355" t="str">
            <v>3233793027</v>
          </cell>
          <cell r="H355" t="str">
            <v>3132589976</v>
          </cell>
          <cell r="I355" t="str">
            <v>Tratamiento</v>
          </cell>
          <cell r="K355" t="str">
            <v>SI</v>
          </cell>
          <cell r="L355" t="str">
            <v>SI</v>
          </cell>
          <cell r="M355" t="str">
            <v>BERNARDITA CORDOBA</v>
          </cell>
          <cell r="N355" t="e">
            <v>#N/A</v>
          </cell>
        </row>
        <row r="356">
          <cell r="A356">
            <v>66819007</v>
          </cell>
          <cell r="B356">
            <v>355</v>
          </cell>
          <cell r="C356" t="str">
            <v xml:space="preserve">PASTORA </v>
          </cell>
          <cell r="D356" t="str">
            <v>Cali</v>
          </cell>
          <cell r="E356" t="str">
            <v>CRA 76B OESTE 4C-06</v>
          </cell>
          <cell r="F356" t="str">
            <v>N/A</v>
          </cell>
          <cell r="G356" t="str">
            <v>3108471665</v>
          </cell>
          <cell r="H356" t="str">
            <v>3163215306</v>
          </cell>
          <cell r="I356" t="str">
            <v>Tratamiento</v>
          </cell>
          <cell r="K356" t="str">
            <v>SI</v>
          </cell>
          <cell r="L356" t="str">
            <v>SI</v>
          </cell>
          <cell r="M356" t="str">
            <v>PASTORA MARTINEZ</v>
          </cell>
          <cell r="N356" t="e">
            <v>#N/A</v>
          </cell>
        </row>
        <row r="357">
          <cell r="A357">
            <v>66826171</v>
          </cell>
          <cell r="B357">
            <v>356</v>
          </cell>
          <cell r="C357" t="str">
            <v>María rosario</v>
          </cell>
          <cell r="D357" t="str">
            <v>Cali</v>
          </cell>
          <cell r="E357" t="str">
            <v>Cl 4e 73d 45</v>
          </cell>
          <cell r="F357" t="str">
            <v xml:space="preserve">
Comedor de las minas casa blanca con verde hacia alfrente de comedor </v>
          </cell>
          <cell r="G357" t="str">
            <v>3127510036</v>
          </cell>
          <cell r="H357" t="str">
            <v xml:space="preserve">No dan información </v>
          </cell>
          <cell r="I357" t="str">
            <v>Tratamiento</v>
          </cell>
          <cell r="J357"/>
          <cell r="K357" t="str">
            <v>SI</v>
          </cell>
          <cell r="L357" t="str">
            <v>SI</v>
          </cell>
          <cell r="M357" t="e">
            <v>#N/A</v>
          </cell>
          <cell r="N357" t="str">
            <v>MARIA ROSARIO NARVAEZ URBANO</v>
          </cell>
        </row>
        <row r="358">
          <cell r="A358">
            <v>66850119</v>
          </cell>
          <cell r="B358">
            <v>357</v>
          </cell>
          <cell r="C358" t="str">
            <v>Cecilia yasmin</v>
          </cell>
          <cell r="D358" t="str">
            <v>Cali</v>
          </cell>
          <cell r="E358" t="str">
            <v>CL 4E OESTE 76 21</v>
          </cell>
          <cell r="F358" t="str">
            <v>Al lado de la iglesia Alcanzando lo imposible</v>
          </cell>
          <cell r="G358" t="str">
            <v>3045844131</v>
          </cell>
          <cell r="H358" t="str">
            <v/>
          </cell>
          <cell r="I358" t="str">
            <v>Tratamiento</v>
          </cell>
          <cell r="K358" t="str">
            <v>SI</v>
          </cell>
          <cell r="L358" t="str">
            <v>SI</v>
          </cell>
          <cell r="M358" t="str">
            <v>CECILIA JASMIN ARROYO</v>
          </cell>
          <cell r="N358" t="e">
            <v>#N/A</v>
          </cell>
        </row>
        <row r="359">
          <cell r="A359">
            <v>66865510</v>
          </cell>
          <cell r="B359">
            <v>358</v>
          </cell>
          <cell r="C359" t="str">
            <v xml:space="preserve">Argenis </v>
          </cell>
          <cell r="D359" t="str">
            <v>Cali</v>
          </cell>
          <cell r="E359" t="str">
            <v>MANZANA 5 CASA 195 SECTOR LA CRUZ</v>
          </cell>
          <cell r="F359" t="str">
            <v/>
          </cell>
          <cell r="G359" t="str">
            <v>3163920170</v>
          </cell>
          <cell r="H359" t="str">
            <v>3206841181</v>
          </cell>
          <cell r="I359" t="str">
            <v>Tratamiento</v>
          </cell>
          <cell r="K359" t="str">
            <v>SI</v>
          </cell>
          <cell r="L359" t="str">
            <v>SI</v>
          </cell>
          <cell r="M359" t="str">
            <v>ARGENIS MUÑOZ</v>
          </cell>
          <cell r="N359" t="e">
            <v>#N/A</v>
          </cell>
        </row>
        <row r="360">
          <cell r="A360">
            <v>66865714</v>
          </cell>
          <cell r="B360">
            <v>359</v>
          </cell>
          <cell r="C360" t="str">
            <v>Martha Ines</v>
          </cell>
          <cell r="D360" t="str">
            <v>Cali</v>
          </cell>
          <cell r="E360" t="str">
            <v>Kr 74 G oeste 4B 45</v>
          </cell>
          <cell r="F360" t="str">
            <v>Restaurante comunal las minas</v>
          </cell>
          <cell r="G360" t="str">
            <v>3217166794</v>
          </cell>
          <cell r="H360" t="str">
            <v xml:space="preserve">No dan información </v>
          </cell>
          <cell r="I360" t="str">
            <v>Tratamiento</v>
          </cell>
          <cell r="K360" t="str">
            <v>SI</v>
          </cell>
          <cell r="L360" t="str">
            <v>SI</v>
          </cell>
          <cell r="M360" t="e">
            <v>#N/A</v>
          </cell>
          <cell r="N360" t="str">
            <v>MARTHA INÉS ZAMORA GAÑAN</v>
          </cell>
        </row>
        <row r="361">
          <cell r="A361">
            <v>66900125</v>
          </cell>
          <cell r="B361">
            <v>360</v>
          </cell>
          <cell r="C361" t="str">
            <v>Ferney</v>
          </cell>
          <cell r="D361" t="str">
            <v>Cali</v>
          </cell>
          <cell r="E361" t="str">
            <v>Cl 4b  oeste 73 d bis 130</v>
          </cell>
          <cell r="F361" t="str">
            <v>Comedor comunitario. Diagonal</v>
          </cell>
          <cell r="G361" t="str">
            <v>3233238866</v>
          </cell>
          <cell r="H361" t="str">
            <v>3217270289</v>
          </cell>
          <cell r="I361" t="str">
            <v>Tratamiento</v>
          </cell>
          <cell r="K361" t="str">
            <v>SI</v>
          </cell>
          <cell r="L361" t="str">
            <v>SI</v>
          </cell>
          <cell r="M361" t="e">
            <v>#N/A</v>
          </cell>
          <cell r="N361" t="str">
            <v>YANETH JARAMILLO CHARRY</v>
          </cell>
        </row>
        <row r="362">
          <cell r="A362">
            <v>66908388</v>
          </cell>
          <cell r="B362">
            <v>361</v>
          </cell>
          <cell r="C362" t="str">
            <v>Omar Alberto</v>
          </cell>
          <cell r="D362" t="str">
            <v>Cali</v>
          </cell>
          <cell r="E362" t="str">
            <v>Cll 4 g oeste 74 53</v>
          </cell>
          <cell r="F362" t="str">
            <v xml:space="preserve">Comedor las minas por la subida parada.   Rampla </v>
          </cell>
          <cell r="G362" t="str">
            <v>3145680921</v>
          </cell>
          <cell r="H362" t="str">
            <v>3127895601</v>
          </cell>
          <cell r="I362" t="str">
            <v>Tratamiento</v>
          </cell>
          <cell r="K362" t="str">
            <v>SI</v>
          </cell>
          <cell r="L362" t="str">
            <v>SI</v>
          </cell>
          <cell r="M362" t="e">
            <v>#N/A</v>
          </cell>
          <cell r="N362" t="str">
            <v>MARIA EUGENIA ZAMORA GAÑAN</v>
          </cell>
        </row>
        <row r="363">
          <cell r="A363">
            <v>66908980</v>
          </cell>
          <cell r="B363">
            <v>362</v>
          </cell>
          <cell r="C363" t="str">
            <v>Mariela</v>
          </cell>
          <cell r="D363" t="str">
            <v>Cali</v>
          </cell>
          <cell r="E363" t="str">
            <v>CL 4a oeste 74G 57</v>
          </cell>
          <cell r="F363" t="str">
            <v/>
          </cell>
          <cell r="G363" t="str">
            <v>3174436878</v>
          </cell>
          <cell r="H363" t="str">
            <v xml:space="preserve">No dan información </v>
          </cell>
          <cell r="I363" t="str">
            <v>Tratamiento</v>
          </cell>
          <cell r="K363" t="str">
            <v>SI</v>
          </cell>
          <cell r="L363" t="str">
            <v>SI</v>
          </cell>
          <cell r="M363" t="e">
            <v>#N/A</v>
          </cell>
          <cell r="N363" t="str">
            <v>MARIELA MANBUSCAI</v>
          </cell>
        </row>
        <row r="364">
          <cell r="A364">
            <v>66914158</v>
          </cell>
          <cell r="B364">
            <v>363</v>
          </cell>
          <cell r="C364" t="str">
            <v xml:space="preserve">Dilía Franky </v>
          </cell>
          <cell r="D364" t="str">
            <v>Cali</v>
          </cell>
          <cell r="E364" t="str">
            <v>CL 4 C OESTE 76C 61</v>
          </cell>
          <cell r="F364" t="str">
            <v>A 7 viviendas del shut de basura</v>
          </cell>
          <cell r="G364" t="str">
            <v>3137402468</v>
          </cell>
          <cell r="H364" t="str">
            <v>3215888260</v>
          </cell>
          <cell r="I364" t="str">
            <v>Tratamiento</v>
          </cell>
          <cell r="K364" t="str">
            <v>SI</v>
          </cell>
          <cell r="L364" t="str">
            <v>SI</v>
          </cell>
          <cell r="M364" t="str">
            <v>JFRANKY VALENCIA</v>
          </cell>
          <cell r="N364" t="e">
            <v>#N/A</v>
          </cell>
        </row>
        <row r="365">
          <cell r="A365">
            <v>66914781</v>
          </cell>
          <cell r="B365">
            <v>364</v>
          </cell>
          <cell r="C365" t="str">
            <v>GLORIA OLAYA DE JESUS</v>
          </cell>
          <cell r="D365" t="str">
            <v>Cali</v>
          </cell>
          <cell r="E365" t="str">
            <v>CALLE 4D BIS OESTE 76A-21</v>
          </cell>
          <cell r="F365" t="str">
            <v xml:space="preserve">Por la caseta Comunal de la cruz </v>
          </cell>
          <cell r="G365" t="str">
            <v>3104633547</v>
          </cell>
          <cell r="H365" t="str">
            <v>3208121249</v>
          </cell>
          <cell r="I365" t="str">
            <v>Tratamiento</v>
          </cell>
          <cell r="K365" t="str">
            <v>SI</v>
          </cell>
          <cell r="L365" t="str">
            <v>SI</v>
          </cell>
          <cell r="M365" t="str">
            <v>GLORIA DE JESUS TELAG</v>
          </cell>
          <cell r="N365" t="e">
            <v>#N/A</v>
          </cell>
        </row>
        <row r="366">
          <cell r="A366">
            <v>66922979</v>
          </cell>
          <cell r="B366">
            <v>365</v>
          </cell>
          <cell r="C366" t="str">
            <v>Martha cecilia</v>
          </cell>
          <cell r="D366" t="str">
            <v>Cali</v>
          </cell>
          <cell r="E366" t="str">
            <v>CL 4E OESTE 76 17</v>
          </cell>
          <cell r="F366" t="str">
            <v>Enseguida del comedor de los motoristas</v>
          </cell>
          <cell r="G366" t="str">
            <v>3136812264</v>
          </cell>
          <cell r="H366" t="str">
            <v/>
          </cell>
          <cell r="I366" t="str">
            <v>Tratamiento</v>
          </cell>
          <cell r="K366" t="str">
            <v>SI</v>
          </cell>
          <cell r="L366" t="str">
            <v>SI</v>
          </cell>
          <cell r="M366" t="str">
            <v>MARTHA CECILIA LOPEZ</v>
          </cell>
          <cell r="N366" t="e">
            <v>#N/A</v>
          </cell>
        </row>
        <row r="367">
          <cell r="A367">
            <v>66983263</v>
          </cell>
          <cell r="B367">
            <v>366</v>
          </cell>
          <cell r="C367" t="str">
            <v xml:space="preserve">CARMEN ALICIA </v>
          </cell>
          <cell r="D367" t="str">
            <v>Cali</v>
          </cell>
          <cell r="E367" t="str">
            <v>KR 74G OESTE 4B-86</v>
          </cell>
          <cell r="F367" t="str">
            <v xml:space="preserve">Por Cesoces al fondo hacia el oasis sector Las Minas </v>
          </cell>
          <cell r="G367" t="str">
            <v>3173598248</v>
          </cell>
          <cell r="H367" t="str">
            <v>3245656374</v>
          </cell>
          <cell r="I367" t="str">
            <v>Tratamiento</v>
          </cell>
          <cell r="K367" t="str">
            <v>SI</v>
          </cell>
          <cell r="L367" t="str">
            <v>SI</v>
          </cell>
          <cell r="M367" t="str">
            <v>CARMEN ALICIA ARMERO</v>
          </cell>
          <cell r="N367" t="e">
            <v>#N/A</v>
          </cell>
        </row>
        <row r="368">
          <cell r="A368">
            <v>66993543</v>
          </cell>
          <cell r="B368">
            <v>367</v>
          </cell>
          <cell r="C368" t="str">
            <v>ERMILA</v>
          </cell>
          <cell r="D368" t="str">
            <v>Cali</v>
          </cell>
          <cell r="E368" t="str">
            <v>Cr 76A BIS OESTE 4E-07</v>
          </cell>
          <cell r="F368" t="str">
            <v>Diagonal a la tienda doña marina el primer callejón bajando segunda vivienda</v>
          </cell>
          <cell r="G368" t="str">
            <v>3216478912</v>
          </cell>
          <cell r="H368" t="str">
            <v>3182693858</v>
          </cell>
          <cell r="I368" t="str">
            <v>Tratamiento</v>
          </cell>
          <cell r="K368" t="str">
            <v>SI</v>
          </cell>
          <cell r="L368" t="str">
            <v>SI</v>
          </cell>
          <cell r="M368" t="str">
            <v>ERMILA HOYOS</v>
          </cell>
          <cell r="N368" t="e">
            <v>#N/A</v>
          </cell>
        </row>
        <row r="369">
          <cell r="A369">
            <v>66996132</v>
          </cell>
          <cell r="B369">
            <v>368</v>
          </cell>
          <cell r="C369" t="str">
            <v xml:space="preserve">AURA ELENA </v>
          </cell>
          <cell r="D369" t="str">
            <v>Cali</v>
          </cell>
          <cell r="E369" t="str">
            <v>CL 4D OESTE 72-08</v>
          </cell>
          <cell r="F369" t="str">
            <v xml:space="preserve">Por el control de los jeeps de la cruz </v>
          </cell>
          <cell r="G369" t="str">
            <v>3105455926</v>
          </cell>
          <cell r="H369" t="str">
            <v>3146760645</v>
          </cell>
          <cell r="I369" t="str">
            <v>Tratamiento</v>
          </cell>
          <cell r="J369"/>
          <cell r="K369" t="str">
            <v>SI</v>
          </cell>
          <cell r="L369" t="str">
            <v>SI</v>
          </cell>
          <cell r="M369" t="str">
            <v xml:space="preserve">AURA ELENA ARCOS </v>
          </cell>
          <cell r="N369" t="e">
            <v>#N/A</v>
          </cell>
        </row>
        <row r="370">
          <cell r="A370">
            <v>67014284</v>
          </cell>
          <cell r="B370">
            <v>369</v>
          </cell>
          <cell r="C370" t="str">
            <v>María mercedes</v>
          </cell>
          <cell r="D370" t="str">
            <v>Cali</v>
          </cell>
          <cell r="E370" t="str">
            <v>Ck74g 4b oeste mz 19 46 casa 04</v>
          </cell>
          <cell r="F370" t="str">
            <v>Escuela las minas. Dónde don Héctor hacia arriba  palo de papaya</v>
          </cell>
          <cell r="G370" t="str">
            <v>3215461593</v>
          </cell>
          <cell r="H370" t="str">
            <v xml:space="preserve">No dan información </v>
          </cell>
          <cell r="I370" t="str">
            <v>Tratamiento</v>
          </cell>
          <cell r="J370"/>
          <cell r="K370" t="str">
            <v>SI</v>
          </cell>
          <cell r="L370" t="str">
            <v>SI</v>
          </cell>
          <cell r="M370" t="e">
            <v>#N/A</v>
          </cell>
          <cell r="N370" t="str">
            <v>MARIA MERCEDES GRUESO</v>
          </cell>
        </row>
        <row r="371">
          <cell r="A371">
            <v>67021030</v>
          </cell>
          <cell r="B371">
            <v>370</v>
          </cell>
          <cell r="C371" t="str">
            <v>María luz dalia</v>
          </cell>
          <cell r="D371" t="str">
            <v>Cali</v>
          </cell>
          <cell r="E371" t="str">
            <v>Cr 74G oeste 74-51</v>
          </cell>
          <cell r="F371" t="str">
            <v>Cr 74G oeste 74-51</v>
          </cell>
          <cell r="G371" t="str">
            <v>3203611755</v>
          </cell>
          <cell r="H371" t="str">
            <v xml:space="preserve">No dan información </v>
          </cell>
          <cell r="I371" t="str">
            <v>Tratamiento</v>
          </cell>
          <cell r="K371" t="str">
            <v>SI</v>
          </cell>
          <cell r="L371" t="str">
            <v>SI</v>
          </cell>
          <cell r="M371" t="e">
            <v>#N/A</v>
          </cell>
          <cell r="N371" t="str">
            <v>MARIA LUZ DALIA GARCIA GARCIA</v>
          </cell>
        </row>
        <row r="372">
          <cell r="A372">
            <v>67033667</v>
          </cell>
          <cell r="B372">
            <v>371</v>
          </cell>
          <cell r="C372" t="str">
            <v>Sandra Marlem</v>
          </cell>
          <cell r="D372" t="str">
            <v>Cali</v>
          </cell>
          <cell r="E372" t="str">
            <v>Kr 76 C OESTE 3Bis 08</v>
          </cell>
          <cell r="F372" t="str">
            <v>Al lado de la tienda Mixta</v>
          </cell>
          <cell r="G372" t="str">
            <v>3113441701</v>
          </cell>
          <cell r="H372" t="str">
            <v xml:space="preserve">No dan información </v>
          </cell>
          <cell r="I372" t="str">
            <v>Tratamiento</v>
          </cell>
          <cell r="K372" t="str">
            <v>SI</v>
          </cell>
          <cell r="L372" t="str">
            <v>SI</v>
          </cell>
          <cell r="M372" t="str">
            <v>SANDRA MARLEN TOVAR</v>
          </cell>
          <cell r="N372" t="e">
            <v>#N/A</v>
          </cell>
        </row>
        <row r="373">
          <cell r="A373">
            <v>76047511</v>
          </cell>
          <cell r="B373">
            <v>372</v>
          </cell>
          <cell r="C373" t="str">
            <v xml:space="preserve">Mauricio </v>
          </cell>
          <cell r="D373" t="str">
            <v>Cali</v>
          </cell>
          <cell r="E373" t="str">
            <v>Cr 74g oeste 4b 76</v>
          </cell>
          <cell r="F373" t="str">
            <v xml:space="preserve"> Comedor las minas. Por la rampla hacia arriba</v>
          </cell>
          <cell r="G373" t="str">
            <v>3105308371</v>
          </cell>
          <cell r="H373" t="str">
            <v xml:space="preserve">No dan información </v>
          </cell>
          <cell r="I373" t="str">
            <v>Tratamiento</v>
          </cell>
          <cell r="K373" t="str">
            <v>SI</v>
          </cell>
          <cell r="L373" t="str">
            <v>SI</v>
          </cell>
          <cell r="M373" t="e">
            <v>#N/A</v>
          </cell>
          <cell r="N373" t="str">
            <v>MAURICIO TORRES ZUARES</v>
          </cell>
        </row>
        <row r="374">
          <cell r="A374">
            <v>76291034</v>
          </cell>
          <cell r="B374">
            <v>373</v>
          </cell>
          <cell r="C374" t="str">
            <v>José alirio</v>
          </cell>
          <cell r="D374" t="str">
            <v>Cali</v>
          </cell>
          <cell r="E374" t="str">
            <v>CL 4E OESTE 70A - 26</v>
          </cell>
          <cell r="F374" t="str">
            <v>Por la iglesias católica sigue de largo el camino o y cuando termina las gradas</v>
          </cell>
          <cell r="G374" t="str">
            <v>3042329571</v>
          </cell>
          <cell r="H374" t="str">
            <v xml:space="preserve">No dan información </v>
          </cell>
          <cell r="I374" t="str">
            <v>Tratamiento</v>
          </cell>
          <cell r="K374" t="str">
            <v>SI</v>
          </cell>
          <cell r="L374"/>
          <cell r="M374" t="e">
            <v>#N/A</v>
          </cell>
          <cell r="N374" t="e">
            <v>#N/A</v>
          </cell>
        </row>
        <row r="375">
          <cell r="A375">
            <v>76324402</v>
          </cell>
          <cell r="B375">
            <v>374</v>
          </cell>
          <cell r="C375" t="str">
            <v xml:space="preserve">JESÚS FRANCO </v>
          </cell>
          <cell r="D375" t="str">
            <v>Cali</v>
          </cell>
          <cell r="E375" t="str">
            <v>CRA 76C OESTE 4B 35</v>
          </cell>
          <cell r="F375" t="str">
            <v xml:space="preserve">Junto a la Virgen </v>
          </cell>
          <cell r="G375" t="str">
            <v>3177561526</v>
          </cell>
          <cell r="H375" t="str">
            <v>3186368160</v>
          </cell>
          <cell r="I375" t="str">
            <v>Tratamiento</v>
          </cell>
          <cell r="K375" t="str">
            <v>SI</v>
          </cell>
          <cell r="L375" t="str">
            <v>SI</v>
          </cell>
          <cell r="M375" t="str">
            <v>JESUS FRANCO GÜERO</v>
          </cell>
          <cell r="N375" t="e">
            <v>#N/A</v>
          </cell>
        </row>
        <row r="376">
          <cell r="A376">
            <v>76336138</v>
          </cell>
          <cell r="B376">
            <v>375</v>
          </cell>
          <cell r="C376" t="str">
            <v xml:space="preserve">Laurido  Hernán </v>
          </cell>
          <cell r="D376" t="str">
            <v>Cali</v>
          </cell>
          <cell r="E376" t="str">
            <v>CL 4A oeste 74 G 38</v>
          </cell>
          <cell r="F376" t="str">
            <v/>
          </cell>
          <cell r="G376" t="str">
            <v>3117104646</v>
          </cell>
          <cell r="H376" t="str">
            <v>3186987505</v>
          </cell>
          <cell r="I376" t="str">
            <v>Tratamiento</v>
          </cell>
          <cell r="K376" t="str">
            <v>SI</v>
          </cell>
          <cell r="L376" t="str">
            <v>SI</v>
          </cell>
          <cell r="M376" t="e">
            <v>#N/A</v>
          </cell>
          <cell r="N376" t="str">
            <v>LAURIDO HERNAN GOMEZ JOAQUIN</v>
          </cell>
        </row>
        <row r="377">
          <cell r="A377">
            <v>87430106</v>
          </cell>
          <cell r="B377">
            <v>376</v>
          </cell>
          <cell r="C377" t="str">
            <v xml:space="preserve">Gerardo </v>
          </cell>
          <cell r="D377" t="str">
            <v>Cali</v>
          </cell>
          <cell r="E377" t="str">
            <v>Cr 74g 4b15</v>
          </cell>
          <cell r="F377" t="str">
            <v xml:space="preserve">Comedor las minas. Escuelita  por la subida Rampla </v>
          </cell>
          <cell r="G377" t="str">
            <v>3226684880</v>
          </cell>
          <cell r="H377" t="str">
            <v>3134608923</v>
          </cell>
          <cell r="I377" t="str">
            <v>Tratamiento</v>
          </cell>
          <cell r="J377" t="str">
            <v>Cali</v>
          </cell>
          <cell r="K377" t="str">
            <v>SI</v>
          </cell>
          <cell r="L377" t="str">
            <v>SI</v>
          </cell>
          <cell r="M377" t="e">
            <v>#N/A</v>
          </cell>
          <cell r="N377" t="str">
            <v>GERARDO ANGULO OCAMPO</v>
          </cell>
        </row>
        <row r="378">
          <cell r="A378">
            <v>94225090</v>
          </cell>
          <cell r="B378">
            <v>377</v>
          </cell>
          <cell r="C378" t="str">
            <v>Medardo</v>
          </cell>
          <cell r="D378" t="str">
            <v>Cali</v>
          </cell>
          <cell r="E378" t="str">
            <v>Cl 4b oeste 73 d bis 38</v>
          </cell>
          <cell r="F378" t="str">
            <v>Cuatro esquina y pregunta dónde es las minas  más abajo de la cancha</v>
          </cell>
          <cell r="G378" t="str">
            <v>3167775780</v>
          </cell>
          <cell r="H378" t="str">
            <v xml:space="preserve">No dan información </v>
          </cell>
          <cell r="I378" t="str">
            <v>Tratamiento</v>
          </cell>
          <cell r="K378" t="str">
            <v>SI</v>
          </cell>
          <cell r="L378" t="str">
            <v>SI</v>
          </cell>
          <cell r="M378" t="e">
            <v>#N/A</v>
          </cell>
          <cell r="N378" t="str">
            <v>MEDARDO FAJARDO MUÑOZ</v>
          </cell>
        </row>
        <row r="379">
          <cell r="A379">
            <v>94459917</v>
          </cell>
          <cell r="B379">
            <v>378</v>
          </cell>
          <cell r="C379" t="str">
            <v>Leonardo</v>
          </cell>
          <cell r="D379" t="str">
            <v>Cali</v>
          </cell>
          <cell r="E379" t="str">
            <v>Cr 74g bis oeste 4 11</v>
          </cell>
          <cell r="F379" t="str">
            <v xml:space="preserve"> Comedor las minas   serca</v>
          </cell>
          <cell r="G379" t="str">
            <v>3116094694</v>
          </cell>
          <cell r="H379" t="str">
            <v>3177584914</v>
          </cell>
          <cell r="I379" t="str">
            <v>Tratamiento</v>
          </cell>
          <cell r="K379" t="str">
            <v>SI</v>
          </cell>
          <cell r="L379" t="str">
            <v>SI</v>
          </cell>
          <cell r="M379" t="e">
            <v>#N/A</v>
          </cell>
          <cell r="N379" t="str">
            <v>LEONARDO CABAL VALENCIA</v>
          </cell>
        </row>
        <row r="380">
          <cell r="A380">
            <v>94494784</v>
          </cell>
          <cell r="B380">
            <v>379</v>
          </cell>
          <cell r="C380" t="str">
            <v>Didier</v>
          </cell>
          <cell r="D380" t="str">
            <v>Cali</v>
          </cell>
          <cell r="E380" t="str">
            <v>Cl 4 B oeste 73Dbis 60</v>
          </cell>
          <cell r="F380" t="str">
            <v/>
          </cell>
          <cell r="G380" t="str">
            <v>3117711800</v>
          </cell>
          <cell r="H380" t="str">
            <v>3177584914</v>
          </cell>
          <cell r="I380" t="str">
            <v>Tratamiento</v>
          </cell>
          <cell r="K380" t="str">
            <v>SI</v>
          </cell>
          <cell r="L380" t="str">
            <v>SI</v>
          </cell>
          <cell r="M380" t="e">
            <v>#N/A</v>
          </cell>
          <cell r="N380" t="str">
            <v>DIDIER ALBERTO HOYOS</v>
          </cell>
        </row>
        <row r="381">
          <cell r="A381">
            <v>94513261</v>
          </cell>
          <cell r="B381">
            <v>380</v>
          </cell>
          <cell r="C381" t="str">
            <v xml:space="preserve">CESAR AUGUSTO </v>
          </cell>
          <cell r="D381" t="str">
            <v>Cali</v>
          </cell>
          <cell r="E381" t="str">
            <v xml:space="preserve">No dan información </v>
          </cell>
          <cell r="F381" t="str">
            <v xml:space="preserve">Vecino del lado derecho de MAYRA MUÑOZ </v>
          </cell>
          <cell r="G381" t="str">
            <v>3177210488</v>
          </cell>
          <cell r="H381" t="str">
            <v xml:space="preserve">No dan información </v>
          </cell>
          <cell r="I381" t="str">
            <v>Tratamiento</v>
          </cell>
          <cell r="K381" t="str">
            <v>SI</v>
          </cell>
          <cell r="L381" t="str">
            <v>SI</v>
          </cell>
          <cell r="M381" t="str">
            <v>CESAR AUGUSTO PERDOMO</v>
          </cell>
          <cell r="N381" t="e">
            <v>#N/A</v>
          </cell>
        </row>
        <row r="382">
          <cell r="A382">
            <v>94540935</v>
          </cell>
          <cell r="B382">
            <v>381</v>
          </cell>
          <cell r="C382" t="str">
            <v xml:space="preserve">Emilio José </v>
          </cell>
          <cell r="D382" t="str">
            <v>Cali</v>
          </cell>
          <cell r="E382" t="str">
            <v>Cr 4 bbbis # 73a70</v>
          </cell>
          <cell r="F382" t="str">
            <v xml:space="preserve">Las canchas las minas   </v>
          </cell>
          <cell r="G382" t="str">
            <v>3174764675</v>
          </cell>
          <cell r="H382" t="str">
            <v>3186560565</v>
          </cell>
          <cell r="I382" t="str">
            <v>Tratamiento</v>
          </cell>
          <cell r="K382" t="str">
            <v>SI</v>
          </cell>
          <cell r="L382" t="str">
            <v>SI</v>
          </cell>
          <cell r="M382" t="e">
            <v>#N/A</v>
          </cell>
          <cell r="N382" t="str">
            <v>EMILIO JOSE AGUDELO BURBANO</v>
          </cell>
        </row>
        <row r="383">
          <cell r="A383">
            <v>94550202</v>
          </cell>
          <cell r="B383">
            <v>382</v>
          </cell>
          <cell r="C383" t="str">
            <v>Geiver</v>
          </cell>
          <cell r="D383" t="str">
            <v>Cali</v>
          </cell>
          <cell r="E383" t="str">
            <v>CL 4B oeste 73Dbis 114</v>
          </cell>
          <cell r="F383" t="str">
            <v>Cerca al comedor de las minas</v>
          </cell>
          <cell r="G383" t="str">
            <v>3176543327</v>
          </cell>
          <cell r="H383" t="str">
            <v xml:space="preserve">No dan información </v>
          </cell>
          <cell r="I383" t="str">
            <v>Tratamiento</v>
          </cell>
          <cell r="K383" t="str">
            <v>SI</v>
          </cell>
          <cell r="L383" t="str">
            <v>SI</v>
          </cell>
          <cell r="M383" t="e">
            <v>#N/A</v>
          </cell>
          <cell r="N383" t="str">
            <v>GEIVER GARCIA HOYOS</v>
          </cell>
        </row>
        <row r="384">
          <cell r="A384">
            <v>1000536137</v>
          </cell>
          <cell r="B384">
            <v>383</v>
          </cell>
          <cell r="C384" t="str">
            <v xml:space="preserve">Jenifer Andrea </v>
          </cell>
          <cell r="D384" t="str">
            <v>Medellin</v>
          </cell>
          <cell r="E384" t="str">
            <v>Cr9 a este #54a 35</v>
          </cell>
          <cell r="F384" t="str">
            <v>Del Cai viejo bajan toda alas escalas derecho</v>
          </cell>
          <cell r="G384" t="str">
            <v>3234480142</v>
          </cell>
          <cell r="H384" t="str">
            <v xml:space="preserve">No dan información </v>
          </cell>
          <cell r="I384" t="str">
            <v>Tratamiento</v>
          </cell>
          <cell r="K384" t="str">
            <v>SI</v>
          </cell>
          <cell r="M384" t="e">
            <v>#REF!</v>
          </cell>
        </row>
        <row r="385">
          <cell r="A385">
            <v>1000538215</v>
          </cell>
          <cell r="B385">
            <v>384</v>
          </cell>
          <cell r="C385" t="str">
            <v>Shirley Tatiana</v>
          </cell>
          <cell r="D385" t="str">
            <v>Medellin</v>
          </cell>
          <cell r="E385" t="str">
            <v>Cl 56 EG # 18a -27</v>
          </cell>
          <cell r="F385" t="str">
            <v>Cerca  la uva sol de oriente</v>
          </cell>
          <cell r="G385" t="str">
            <v>3246387612</v>
          </cell>
          <cell r="H385" t="str">
            <v>6045737649</v>
          </cell>
          <cell r="I385" t="str">
            <v>Tratamiento</v>
          </cell>
          <cell r="K385" t="str">
            <v>SI</v>
          </cell>
          <cell r="M385" t="e">
            <v>#REF!</v>
          </cell>
        </row>
        <row r="386">
          <cell r="A386">
            <v>1000638664</v>
          </cell>
          <cell r="B386">
            <v>385</v>
          </cell>
          <cell r="C386" t="str">
            <v xml:space="preserve">Isabel Cristina </v>
          </cell>
          <cell r="D386" t="str">
            <v>Medellin</v>
          </cell>
          <cell r="E386" t="str">
            <v>Carrera 18A # 56 EC -25</v>
          </cell>
          <cell r="F386" t="str">
            <v xml:space="preserve">Cerca  a la uva sol de oriente </v>
          </cell>
          <cell r="G386" t="str">
            <v>3046127155</v>
          </cell>
          <cell r="H386" t="str">
            <v>3114232197</v>
          </cell>
          <cell r="I386" t="str">
            <v>Tratamiento</v>
          </cell>
          <cell r="J386" t="str">
            <v>Medellín</v>
          </cell>
          <cell r="K386" t="str">
            <v>SI</v>
          </cell>
          <cell r="M386" t="e">
            <v>#REF!</v>
          </cell>
        </row>
        <row r="387">
          <cell r="A387">
            <v>1000643548</v>
          </cell>
          <cell r="B387">
            <v>386</v>
          </cell>
          <cell r="C387" t="str">
            <v>Tatiana Inés</v>
          </cell>
          <cell r="D387" t="str">
            <v>Medellin</v>
          </cell>
          <cell r="E387" t="str">
            <v>Cerca al parque pinares de oriente</v>
          </cell>
          <cell r="F387" t="str">
            <v/>
          </cell>
          <cell r="G387" t="str">
            <v>3013585823</v>
          </cell>
          <cell r="H387" t="str">
            <v>3015140013</v>
          </cell>
          <cell r="I387" t="str">
            <v>Tratamiento</v>
          </cell>
          <cell r="K387" t="str">
            <v>SI</v>
          </cell>
          <cell r="M387" t="e">
            <v>#REF!</v>
          </cell>
        </row>
        <row r="388">
          <cell r="A388">
            <v>1000871711</v>
          </cell>
          <cell r="B388">
            <v>387</v>
          </cell>
          <cell r="C388" t="str">
            <v>Luz Eneida</v>
          </cell>
          <cell r="D388" t="str">
            <v>Medellin</v>
          </cell>
          <cell r="E388" t="str">
            <v>Cerca a la junta de acción comunal el pacifico</v>
          </cell>
          <cell r="F388" t="str">
            <v/>
          </cell>
          <cell r="G388" t="str">
            <v>3204244342</v>
          </cell>
          <cell r="H388" t="str">
            <v>3244102848</v>
          </cell>
          <cell r="I388" t="str">
            <v>Tratamiento</v>
          </cell>
          <cell r="K388" t="str">
            <v>SI</v>
          </cell>
          <cell r="M388" t="e">
            <v>#REF!</v>
          </cell>
        </row>
        <row r="389">
          <cell r="A389">
            <v>1001359510</v>
          </cell>
          <cell r="B389">
            <v>388</v>
          </cell>
          <cell r="C389" t="str">
            <v>Margarita Isabel</v>
          </cell>
          <cell r="D389" t="str">
            <v>Medellin</v>
          </cell>
          <cell r="E389" t="str">
            <v>Colegio la libertad  abajo de la cancha de villatina</v>
          </cell>
          <cell r="F389" t="str">
            <v/>
          </cell>
          <cell r="G389" t="str">
            <v>3006818050</v>
          </cell>
          <cell r="H389" t="str">
            <v>3008197215</v>
          </cell>
          <cell r="I389" t="str">
            <v>Tratamiento</v>
          </cell>
          <cell r="K389" t="str">
            <v>SI</v>
          </cell>
          <cell r="L389"/>
          <cell r="M389" t="e">
            <v>#REF!</v>
          </cell>
        </row>
        <row r="390">
          <cell r="A390">
            <v>1010032037</v>
          </cell>
          <cell r="B390">
            <v>389</v>
          </cell>
          <cell r="C390" t="str">
            <v xml:space="preserve">Doralba </v>
          </cell>
          <cell r="D390" t="str">
            <v>Medellin</v>
          </cell>
          <cell r="E390" t="str">
            <v>Subiendo las escalas que quedan al frente del teléfono rojo de la junta acción comunal</v>
          </cell>
          <cell r="F390" t="str">
            <v/>
          </cell>
          <cell r="G390" t="str">
            <v>3008671238</v>
          </cell>
          <cell r="H390" t="str">
            <v>3017995013</v>
          </cell>
          <cell r="I390" t="str">
            <v>Tratamiento</v>
          </cell>
          <cell r="K390" t="str">
            <v>SI</v>
          </cell>
          <cell r="L390"/>
          <cell r="M390" t="e">
            <v>#REF!</v>
          </cell>
        </row>
        <row r="391">
          <cell r="A391">
            <v>1015186975</v>
          </cell>
          <cell r="B391">
            <v>390</v>
          </cell>
          <cell r="C391" t="str">
            <v>Daniel Esmirt</v>
          </cell>
          <cell r="D391" t="str">
            <v>Medellin</v>
          </cell>
          <cell r="E391" t="str">
            <v>Bajando las escalas de la estación villa sierra</v>
          </cell>
          <cell r="F391" t="str">
            <v/>
          </cell>
          <cell r="G391" t="str">
            <v>3128382959</v>
          </cell>
          <cell r="H391" t="str">
            <v>3226383399</v>
          </cell>
          <cell r="I391" t="str">
            <v>Tratamiento</v>
          </cell>
          <cell r="K391" t="str">
            <v>SI</v>
          </cell>
          <cell r="M391" t="e">
            <v>#REF!</v>
          </cell>
        </row>
        <row r="392">
          <cell r="A392">
            <v>1017135726</v>
          </cell>
          <cell r="B392">
            <v>391</v>
          </cell>
          <cell r="C392" t="str">
            <v>Lady  Yulieth</v>
          </cell>
          <cell r="D392" t="str">
            <v>Medellin</v>
          </cell>
          <cell r="E392" t="str">
            <v>Cerca a la acción comunal de Villatina</v>
          </cell>
          <cell r="F392" t="str">
            <v/>
          </cell>
          <cell r="G392" t="str">
            <v>3147306019</v>
          </cell>
          <cell r="H392" t="str">
            <v>3128738940</v>
          </cell>
          <cell r="I392" t="str">
            <v>Tratamiento</v>
          </cell>
          <cell r="K392" t="str">
            <v>SI</v>
          </cell>
          <cell r="M392" t="e">
            <v>#REF!</v>
          </cell>
        </row>
        <row r="393">
          <cell r="A393">
            <v>1017152403</v>
          </cell>
          <cell r="B393">
            <v>392</v>
          </cell>
          <cell r="C393" t="str">
            <v>Víctor Hugo</v>
          </cell>
          <cell r="D393" t="str">
            <v>Medellin</v>
          </cell>
          <cell r="E393" t="str">
            <v>Cl 56 EG # 18a - 11</v>
          </cell>
          <cell r="F393" t="str">
            <v>Cerca a la uva de sol de oriente</v>
          </cell>
          <cell r="G393" t="str">
            <v>3023727740</v>
          </cell>
          <cell r="H393" t="str">
            <v>3023727740</v>
          </cell>
          <cell r="I393" t="str">
            <v>Tratamiento</v>
          </cell>
          <cell r="K393" t="str">
            <v>SI</v>
          </cell>
          <cell r="M393" t="e">
            <v>#REF!</v>
          </cell>
        </row>
        <row r="394">
          <cell r="A394">
            <v>1017179652</v>
          </cell>
          <cell r="B394">
            <v>393</v>
          </cell>
          <cell r="C394" t="str">
            <v>Luisa Fernanda Jaramillo Jaramillo</v>
          </cell>
          <cell r="D394" t="str">
            <v>Medellin</v>
          </cell>
          <cell r="E394" t="str">
            <v>Arribe dle cuadradero de los buses blancos de villatina</v>
          </cell>
          <cell r="F394" t="str">
            <v/>
          </cell>
          <cell r="G394" t="str">
            <v>3013683299</v>
          </cell>
          <cell r="H394" t="str">
            <v>3205868911</v>
          </cell>
          <cell r="I394" t="str">
            <v>Tratamiento</v>
          </cell>
          <cell r="K394" t="str">
            <v>SI</v>
          </cell>
          <cell r="M394" t="e">
            <v>#REF!</v>
          </cell>
        </row>
        <row r="395">
          <cell r="A395">
            <v>1017179966</v>
          </cell>
          <cell r="B395">
            <v>394</v>
          </cell>
          <cell r="C395" t="str">
            <v xml:space="preserve">Jenifer Marcela </v>
          </cell>
          <cell r="D395" t="str">
            <v>Medellin</v>
          </cell>
          <cell r="E395" t="str">
            <v>En el parquecito en un segundo piso</v>
          </cell>
          <cell r="F395" t="str">
            <v/>
          </cell>
          <cell r="G395" t="str">
            <v>3215551592</v>
          </cell>
          <cell r="H395" t="str">
            <v>3016299448</v>
          </cell>
          <cell r="I395" t="str">
            <v>Tratamiento</v>
          </cell>
          <cell r="K395" t="str">
            <v>SI</v>
          </cell>
          <cell r="M395" t="e">
            <v>#REF!</v>
          </cell>
          <cell r="N395"/>
        </row>
        <row r="396">
          <cell r="A396">
            <v>1017190314</v>
          </cell>
          <cell r="B396">
            <v>395</v>
          </cell>
          <cell r="C396" t="str">
            <v>Keila Andrea</v>
          </cell>
          <cell r="D396" t="str">
            <v>Medellin</v>
          </cell>
          <cell r="E396" t="str">
            <v xml:space="preserve">Calle 63A#16DD27int 101 </v>
          </cell>
          <cell r="F396" t="str">
            <v>subiendo por la iglesia cristiana</v>
          </cell>
          <cell r="G396" t="str">
            <v>3013572714</v>
          </cell>
          <cell r="H396" t="str">
            <v>3005068990</v>
          </cell>
          <cell r="I396" t="str">
            <v>Tratamiento</v>
          </cell>
          <cell r="K396" t="str">
            <v>SI</v>
          </cell>
          <cell r="M396" t="e">
            <v>#REF!</v>
          </cell>
        </row>
        <row r="397">
          <cell r="A397">
            <v>1017192472</v>
          </cell>
          <cell r="B397">
            <v>396</v>
          </cell>
          <cell r="C397" t="str">
            <v>Carolina del carmen</v>
          </cell>
          <cell r="D397" t="str">
            <v>Medellin</v>
          </cell>
          <cell r="E397" t="str">
            <v>La iglesia María auxiliadora</v>
          </cell>
          <cell r="F397" t="str">
            <v/>
          </cell>
          <cell r="G397" t="str">
            <v>3147620932</v>
          </cell>
          <cell r="H397" t="str">
            <v>3015134979</v>
          </cell>
          <cell r="I397" t="str">
            <v>Tratamiento</v>
          </cell>
          <cell r="K397" t="str">
            <v>SI</v>
          </cell>
          <cell r="M397" t="e">
            <v>#REF!</v>
          </cell>
        </row>
        <row r="398">
          <cell r="A398">
            <v>1017206637</v>
          </cell>
          <cell r="B398">
            <v>397</v>
          </cell>
          <cell r="C398" t="str">
            <v>Gloria Gisela</v>
          </cell>
          <cell r="D398" t="str">
            <v>Medellin</v>
          </cell>
          <cell r="E398" t="str">
            <v>Carrera 17 B 56EE-50 int 145</v>
          </cell>
          <cell r="F398" t="str">
            <v/>
          </cell>
          <cell r="G398" t="str">
            <v>3146492065</v>
          </cell>
          <cell r="H398" t="str">
            <v>3146007349</v>
          </cell>
          <cell r="I398" t="str">
            <v>Tratamiento</v>
          </cell>
          <cell r="K398" t="str">
            <v>SI</v>
          </cell>
          <cell r="M398" t="e">
            <v>#REF!</v>
          </cell>
        </row>
        <row r="399">
          <cell r="A399">
            <v>1017212544</v>
          </cell>
          <cell r="B399">
            <v>398</v>
          </cell>
          <cell r="C399" t="str">
            <v>Jessica Stefania</v>
          </cell>
          <cell r="D399" t="str">
            <v>Medellin</v>
          </cell>
          <cell r="E399" t="str">
            <v>Arriba del paradero de la terminal de los colectivos cootransmalla</v>
          </cell>
          <cell r="F399" t="str">
            <v/>
          </cell>
          <cell r="G399" t="str">
            <v>3182749799</v>
          </cell>
          <cell r="H399" t="str">
            <v>3163142395</v>
          </cell>
          <cell r="I399" t="str">
            <v>Tratamiento</v>
          </cell>
          <cell r="K399" t="str">
            <v>SI</v>
          </cell>
          <cell r="M399" t="e">
            <v>#REF!</v>
          </cell>
        </row>
        <row r="400">
          <cell r="A400">
            <v>1017216558</v>
          </cell>
          <cell r="B400">
            <v>399</v>
          </cell>
          <cell r="C400" t="str">
            <v xml:space="preserve">Duvan Alexis </v>
          </cell>
          <cell r="D400" t="str">
            <v>Medellin</v>
          </cell>
          <cell r="E400" t="str">
            <v xml:space="preserve">Carrera 7este calle 54aa </v>
          </cell>
          <cell r="F400" t="str">
            <v xml:space="preserve">Por la panadería se mete por la bajada, y en un camino bajando la primera casa </v>
          </cell>
          <cell r="G400" t="str">
            <v>3006193298</v>
          </cell>
          <cell r="H400" t="str">
            <v>3246020021</v>
          </cell>
          <cell r="I400" t="str">
            <v>Tratamiento</v>
          </cell>
          <cell r="K400" t="str">
            <v>SI</v>
          </cell>
          <cell r="M400" t="e">
            <v>#REF!</v>
          </cell>
        </row>
        <row r="401">
          <cell r="A401">
            <v>1017233148</v>
          </cell>
          <cell r="B401">
            <v>400</v>
          </cell>
          <cell r="C401" t="str">
            <v>Blanca Aliria</v>
          </cell>
          <cell r="D401" t="str">
            <v>Medellin</v>
          </cell>
          <cell r="E401" t="str">
            <v>Cl56e 17b50</v>
          </cell>
          <cell r="F401" t="str">
            <v>Cerca la uva sol de oriente</v>
          </cell>
          <cell r="G401" t="str">
            <v>3206064356</v>
          </cell>
          <cell r="H401" t="str">
            <v>3016867797</v>
          </cell>
          <cell r="I401" t="str">
            <v>Tratamiento</v>
          </cell>
          <cell r="K401" t="str">
            <v>SI</v>
          </cell>
          <cell r="M401" t="e">
            <v>#REF!</v>
          </cell>
        </row>
        <row r="402">
          <cell r="A402">
            <v>1017239115</v>
          </cell>
          <cell r="B402">
            <v>401</v>
          </cell>
          <cell r="C402" t="str">
            <v>Sergio Alberto</v>
          </cell>
          <cell r="D402" t="str">
            <v>Medellin</v>
          </cell>
          <cell r="E402" t="str">
            <v>Cerca de metrosalud sol de Oriente</v>
          </cell>
          <cell r="F402" t="str">
            <v/>
          </cell>
          <cell r="G402" t="str">
            <v>3004080675</v>
          </cell>
          <cell r="H402" t="str">
            <v>3001947272</v>
          </cell>
          <cell r="I402" t="str">
            <v>Tratamiento</v>
          </cell>
          <cell r="K402" t="str">
            <v>SI</v>
          </cell>
          <cell r="M402" t="e">
            <v>#REF!</v>
          </cell>
        </row>
        <row r="403">
          <cell r="A403">
            <v>1017247299</v>
          </cell>
          <cell r="B403">
            <v>402</v>
          </cell>
          <cell r="C403" t="str">
            <v xml:space="preserve">Claudia Patricia </v>
          </cell>
          <cell r="D403" t="str">
            <v>Medellin</v>
          </cell>
          <cell r="E403" t="str">
            <v>Carrera 18 AB # 56 EC- 16</v>
          </cell>
          <cell r="F403" t="str">
            <v xml:space="preserve">Cerca a la uva sol de Oriente </v>
          </cell>
          <cell r="G403" t="str">
            <v>3507388094</v>
          </cell>
          <cell r="H403" t="str">
            <v>3004154949</v>
          </cell>
          <cell r="I403" t="str">
            <v>Tratamiento</v>
          </cell>
          <cell r="K403" t="str">
            <v>SI</v>
          </cell>
          <cell r="M403" t="e">
            <v>#REF!</v>
          </cell>
        </row>
        <row r="404">
          <cell r="A404">
            <v>1017248051</v>
          </cell>
          <cell r="B404">
            <v>403</v>
          </cell>
          <cell r="C404" t="str">
            <v>Hernán de Jesús</v>
          </cell>
          <cell r="D404" t="str">
            <v>Medellin</v>
          </cell>
          <cell r="E404" t="str">
            <v>Cerca de la iglesia de golondrinas</v>
          </cell>
          <cell r="F404" t="str">
            <v/>
          </cell>
          <cell r="G404" t="str">
            <v>3122856883</v>
          </cell>
          <cell r="H404" t="str">
            <v>3214015015</v>
          </cell>
          <cell r="I404" t="str">
            <v>Tratamiento</v>
          </cell>
          <cell r="K404" t="str">
            <v>SI</v>
          </cell>
          <cell r="M404" t="e">
            <v>#REF!</v>
          </cell>
        </row>
        <row r="405">
          <cell r="A405">
            <v>1017266133</v>
          </cell>
          <cell r="B405">
            <v>404</v>
          </cell>
          <cell r="C405" t="str">
            <v>Marco Tulio</v>
          </cell>
          <cell r="D405" t="str">
            <v>Medellin</v>
          </cell>
          <cell r="E405" t="str">
            <v>Carrera 18 # 56 EC - 13</v>
          </cell>
          <cell r="F405" t="str">
            <v>Cerca a la uva sol de oriente</v>
          </cell>
          <cell r="G405" t="str">
            <v>3218338835</v>
          </cell>
          <cell r="H405" t="str">
            <v>3108315345</v>
          </cell>
          <cell r="I405" t="str">
            <v>Tratamiento</v>
          </cell>
          <cell r="K405" t="str">
            <v>SI</v>
          </cell>
          <cell r="M405" t="e">
            <v>#REF!</v>
          </cell>
        </row>
        <row r="406">
          <cell r="A406">
            <v>1017269447</v>
          </cell>
          <cell r="B406">
            <v>405</v>
          </cell>
          <cell r="C406" t="str">
            <v>Cristián David</v>
          </cell>
          <cell r="D406" t="str">
            <v>Medellin</v>
          </cell>
          <cell r="E406" t="str">
            <v>La casa queda cerca de la panadería las tinajas bajando por el pasamanos amarillo en una casa de unos patos</v>
          </cell>
          <cell r="F406" t="str">
            <v/>
          </cell>
          <cell r="G406" t="str">
            <v>3022040061</v>
          </cell>
          <cell r="H406" t="str">
            <v xml:space="preserve">No dan información </v>
          </cell>
          <cell r="I406" t="str">
            <v>Tratamiento</v>
          </cell>
          <cell r="K406" t="str">
            <v>SI</v>
          </cell>
          <cell r="M406" t="e">
            <v>#REF!</v>
          </cell>
        </row>
        <row r="407">
          <cell r="A407">
            <v>1017269998</v>
          </cell>
          <cell r="B407">
            <v>406</v>
          </cell>
          <cell r="C407" t="str">
            <v>José Alberto</v>
          </cell>
          <cell r="D407" t="str">
            <v>Medellin</v>
          </cell>
          <cell r="E407" t="str">
            <v>Cerca a la panadería el faro</v>
          </cell>
          <cell r="F407" t="str">
            <v/>
          </cell>
          <cell r="G407" t="str">
            <v>3012948731</v>
          </cell>
          <cell r="H407" t="str">
            <v>3015052578</v>
          </cell>
          <cell r="I407" t="str">
            <v>Tratamiento</v>
          </cell>
          <cell r="K407" t="str">
            <v>SI</v>
          </cell>
          <cell r="M407" t="e">
            <v>#REF!</v>
          </cell>
        </row>
        <row r="408">
          <cell r="A408">
            <v>1020482801</v>
          </cell>
          <cell r="B408">
            <v>407</v>
          </cell>
          <cell r="C408" t="str">
            <v xml:space="preserve">Karen </v>
          </cell>
          <cell r="D408" t="str">
            <v>Medellin</v>
          </cell>
          <cell r="E408" t="str">
            <v xml:space="preserve">Desde la cancha sube por la sede de acción comunal derecho  </v>
          </cell>
          <cell r="F408" t="str">
            <v/>
          </cell>
          <cell r="G408" t="str">
            <v>3022129878</v>
          </cell>
          <cell r="H408" t="str">
            <v>3105087485</v>
          </cell>
          <cell r="I408" t="str">
            <v>Tratamiento</v>
          </cell>
          <cell r="K408" t="str">
            <v>SI</v>
          </cell>
          <cell r="M408" t="e">
            <v>#REF!</v>
          </cell>
        </row>
        <row r="409">
          <cell r="A409">
            <v>1022124557</v>
          </cell>
          <cell r="B409">
            <v>408</v>
          </cell>
          <cell r="C409" t="str">
            <v>Pablo Andrés</v>
          </cell>
          <cell r="D409" t="str">
            <v>Medellin</v>
          </cell>
          <cell r="E409" t="str">
            <v>Terminal de los buses blancos de Villatina</v>
          </cell>
          <cell r="F409" t="str">
            <v/>
          </cell>
          <cell r="G409" t="str">
            <v>3205996119</v>
          </cell>
          <cell r="H409" t="str">
            <v>3116128650</v>
          </cell>
          <cell r="I409" t="str">
            <v>Tratamiento</v>
          </cell>
          <cell r="J409"/>
          <cell r="K409" t="str">
            <v>SI</v>
          </cell>
          <cell r="L409"/>
          <cell r="M409" t="e">
            <v>#REF!</v>
          </cell>
          <cell r="N409"/>
        </row>
        <row r="410">
          <cell r="A410">
            <v>1022125326</v>
          </cell>
          <cell r="B410">
            <v>409</v>
          </cell>
          <cell r="C410" t="str">
            <v>Jorge Alberto</v>
          </cell>
          <cell r="D410" t="str">
            <v>Medellin</v>
          </cell>
          <cell r="E410" t="str">
            <v>Terminal de buses se villatina el primer callejón a mano izquierda</v>
          </cell>
          <cell r="F410" t="str">
            <v/>
          </cell>
          <cell r="G410" t="str">
            <v>3223989745</v>
          </cell>
          <cell r="H410" t="str">
            <v>3145353027</v>
          </cell>
          <cell r="I410" t="str">
            <v>Tratamiento</v>
          </cell>
          <cell r="K410" t="str">
            <v>SI</v>
          </cell>
          <cell r="M410" t="e">
            <v>#REF!</v>
          </cell>
        </row>
        <row r="411">
          <cell r="A411">
            <v>1025640590</v>
          </cell>
          <cell r="B411">
            <v>410</v>
          </cell>
          <cell r="C411" t="str">
            <v xml:space="preserve">Evelin Tatiana </v>
          </cell>
          <cell r="D411" t="str">
            <v>Medellin</v>
          </cell>
          <cell r="E411" t="str">
            <v>Carrera 10 Este #54B -53</v>
          </cell>
          <cell r="F411" t="str">
            <v>Bajando por las últimas escalas de la terminal</v>
          </cell>
          <cell r="G411" t="str">
            <v>3054512557</v>
          </cell>
          <cell r="H411" t="str">
            <v>3054512557</v>
          </cell>
          <cell r="I411" t="str">
            <v>Tratamiento</v>
          </cell>
          <cell r="K411" t="str">
            <v>SI</v>
          </cell>
          <cell r="M411" t="e">
            <v>#REF!</v>
          </cell>
        </row>
        <row r="412">
          <cell r="A412">
            <v>1025665487</v>
          </cell>
          <cell r="B412">
            <v>411</v>
          </cell>
          <cell r="C412" t="str">
            <v>Meilyn  paola</v>
          </cell>
          <cell r="D412" t="str">
            <v>Medellin</v>
          </cell>
          <cell r="E412" t="str">
            <v>CL 56ed 28a17</v>
          </cell>
          <cell r="F412" t="str">
            <v>Cerca a la uva sol de oriente</v>
          </cell>
          <cell r="G412" t="str">
            <v>3002321015</v>
          </cell>
          <cell r="H412" t="str">
            <v>3004154949</v>
          </cell>
          <cell r="I412" t="str">
            <v>Tratamiento</v>
          </cell>
          <cell r="J412"/>
          <cell r="K412" t="str">
            <v>SI</v>
          </cell>
          <cell r="L412"/>
          <cell r="M412" t="e">
            <v>#REF!</v>
          </cell>
          <cell r="N412"/>
        </row>
        <row r="413">
          <cell r="A413">
            <v>1026145865</v>
          </cell>
          <cell r="B413">
            <v>412</v>
          </cell>
          <cell r="C413" t="str">
            <v xml:space="preserve">Natalia </v>
          </cell>
          <cell r="D413" t="str">
            <v>Medellin</v>
          </cell>
          <cell r="E413" t="str">
            <v xml:space="preserve">De la terminal de buses sube por todas las escaleras </v>
          </cell>
          <cell r="F413" t="str">
            <v/>
          </cell>
          <cell r="G413" t="str">
            <v>3127742168</v>
          </cell>
          <cell r="H413" t="str">
            <v>3105057485</v>
          </cell>
          <cell r="I413" t="str">
            <v>Tratamiento</v>
          </cell>
          <cell r="K413" t="str">
            <v>SI</v>
          </cell>
          <cell r="M413" t="e">
            <v>#REF!</v>
          </cell>
          <cell r="N413"/>
        </row>
        <row r="414">
          <cell r="A414">
            <v>1036601648</v>
          </cell>
          <cell r="B414">
            <v>413</v>
          </cell>
          <cell r="C414" t="str">
            <v>Carlos Arturo</v>
          </cell>
          <cell r="D414" t="str">
            <v>Medellin</v>
          </cell>
          <cell r="E414" t="str">
            <v>Bajando por las escaleras de la farmacia San Cosme</v>
          </cell>
          <cell r="F414" t="str">
            <v/>
          </cell>
          <cell r="G414" t="str">
            <v>3102182207</v>
          </cell>
          <cell r="H414" t="str">
            <v>3012510143</v>
          </cell>
          <cell r="I414" t="str">
            <v>Tratamiento</v>
          </cell>
          <cell r="K414" t="str">
            <v>SI</v>
          </cell>
          <cell r="L414"/>
          <cell r="M414" t="e">
            <v>#REF!</v>
          </cell>
        </row>
        <row r="415">
          <cell r="A415">
            <v>1036934154</v>
          </cell>
          <cell r="B415">
            <v>414</v>
          </cell>
          <cell r="C415" t="str">
            <v>Jenifer julier calle parias</v>
          </cell>
          <cell r="D415" t="str">
            <v>Medellin</v>
          </cell>
          <cell r="E415" t="str">
            <v>CL 56 ed 18a38</v>
          </cell>
          <cell r="F415" t="str">
            <v xml:space="preserve">Cerca ala uva sol de oriente </v>
          </cell>
          <cell r="G415" t="str">
            <v>3012621077</v>
          </cell>
          <cell r="H415" t="str">
            <v>3902816922</v>
          </cell>
          <cell r="I415" t="str">
            <v>Tratamiento</v>
          </cell>
          <cell r="K415" t="str">
            <v>SI</v>
          </cell>
          <cell r="M415" t="e">
            <v>#REF!</v>
          </cell>
        </row>
        <row r="416">
          <cell r="A416">
            <v>1037263422</v>
          </cell>
          <cell r="B416">
            <v>415</v>
          </cell>
          <cell r="C416" t="str">
            <v>Flor Enid Sánchez molina</v>
          </cell>
          <cell r="D416" t="str">
            <v>Medellin</v>
          </cell>
          <cell r="E416" t="str">
            <v>7</v>
          </cell>
          <cell r="F416" t="str">
            <v/>
          </cell>
          <cell r="G416" t="str">
            <v>3116497357</v>
          </cell>
          <cell r="H416" t="str">
            <v>3042239761</v>
          </cell>
          <cell r="I416" t="str">
            <v>Tratamiento</v>
          </cell>
          <cell r="K416" t="str">
            <v>SI</v>
          </cell>
          <cell r="M416" t="e">
            <v>#REF!</v>
          </cell>
        </row>
        <row r="417">
          <cell r="A417">
            <v>1037570230</v>
          </cell>
          <cell r="B417">
            <v>416</v>
          </cell>
          <cell r="C417" t="str">
            <v xml:space="preserve">María Nubia </v>
          </cell>
          <cell r="D417" t="str">
            <v>Medellin</v>
          </cell>
          <cell r="E417" t="str">
            <v>Carrera 18B # 56 EC -14</v>
          </cell>
          <cell r="F417" t="str">
            <v xml:space="preserve">Cerca a la uva sol de Oriente </v>
          </cell>
          <cell r="G417" t="str">
            <v>3214097558</v>
          </cell>
          <cell r="H417" t="str">
            <v>6042272690</v>
          </cell>
          <cell r="I417" t="str">
            <v>Tratamiento</v>
          </cell>
          <cell r="K417" t="str">
            <v>SI</v>
          </cell>
          <cell r="M417" t="e">
            <v>#REF!</v>
          </cell>
        </row>
        <row r="418">
          <cell r="A418">
            <v>1039285463</v>
          </cell>
          <cell r="B418">
            <v>417</v>
          </cell>
          <cell r="C418" t="str">
            <v xml:space="preserve">Mario Humberto </v>
          </cell>
          <cell r="D418" t="str">
            <v>Medellin</v>
          </cell>
          <cell r="E418" t="str">
            <v>Sector la cancha pacifico</v>
          </cell>
          <cell r="F418" t="str">
            <v/>
          </cell>
          <cell r="G418" t="str">
            <v>3246482782</v>
          </cell>
          <cell r="H418" t="str">
            <v>3214104450</v>
          </cell>
          <cell r="I418" t="str">
            <v>Tratamiento</v>
          </cell>
          <cell r="K418" t="str">
            <v>SI</v>
          </cell>
          <cell r="M418" t="e">
            <v>#REF!</v>
          </cell>
        </row>
        <row r="419">
          <cell r="A419">
            <v>1040749440</v>
          </cell>
          <cell r="B419">
            <v>418</v>
          </cell>
          <cell r="C419" t="str">
            <v>Yuly Tatiana</v>
          </cell>
          <cell r="D419" t="str">
            <v>Medellin</v>
          </cell>
          <cell r="E419" t="str">
            <v>Cerca al metrosalud sol de oriente</v>
          </cell>
          <cell r="F419" t="str">
            <v/>
          </cell>
          <cell r="G419" t="str">
            <v>3127552474</v>
          </cell>
          <cell r="H419" t="str">
            <v>3001968164</v>
          </cell>
          <cell r="I419" t="str">
            <v>Tratamiento</v>
          </cell>
          <cell r="K419" t="str">
            <v>SI</v>
          </cell>
          <cell r="L419"/>
          <cell r="M419" t="e">
            <v>#REF!</v>
          </cell>
        </row>
        <row r="420">
          <cell r="A420">
            <v>1042064849</v>
          </cell>
          <cell r="B420">
            <v>419</v>
          </cell>
          <cell r="C420" t="str">
            <v>Yesica Alejandra</v>
          </cell>
          <cell r="D420" t="str">
            <v>Medellin</v>
          </cell>
          <cell r="E420" t="str">
            <v>Terminal de colectivos blancos cootransvi</v>
          </cell>
          <cell r="F420" t="str">
            <v/>
          </cell>
          <cell r="G420" t="str">
            <v>3023916893</v>
          </cell>
          <cell r="H420" t="str">
            <v>3116619882</v>
          </cell>
          <cell r="I420" t="str">
            <v>Tratamiento</v>
          </cell>
          <cell r="K420" t="str">
            <v>SI</v>
          </cell>
          <cell r="M420" t="e">
            <v>#REF!</v>
          </cell>
        </row>
        <row r="421">
          <cell r="A421">
            <v>1044150889</v>
          </cell>
          <cell r="B421">
            <v>420</v>
          </cell>
          <cell r="C421" t="str">
            <v>Leonardo Alonso</v>
          </cell>
          <cell r="D421" t="str">
            <v>Medellin</v>
          </cell>
          <cell r="E421" t="str">
            <v>Cerca al parque de sol de oriente</v>
          </cell>
          <cell r="F421" t="str">
            <v/>
          </cell>
          <cell r="G421" t="str">
            <v>3008621054</v>
          </cell>
          <cell r="H421" t="str">
            <v>3008621054</v>
          </cell>
          <cell r="I421" t="str">
            <v>Tratamiento</v>
          </cell>
          <cell r="K421" t="str">
            <v>SI</v>
          </cell>
          <cell r="M421" t="e">
            <v>#REF!</v>
          </cell>
        </row>
        <row r="422">
          <cell r="A422">
            <v>1067094968</v>
          </cell>
          <cell r="B422">
            <v>421</v>
          </cell>
          <cell r="C422" t="str">
            <v xml:space="preserve">Luis Eduardo Cartagena Vargas </v>
          </cell>
          <cell r="D422" t="str">
            <v>Medellin</v>
          </cell>
          <cell r="E422" t="str">
            <v>Cerca al plan de villatina</v>
          </cell>
          <cell r="F422" t="str">
            <v/>
          </cell>
          <cell r="G422" t="str">
            <v>3041410097</v>
          </cell>
          <cell r="H422" t="str">
            <v>3002208116</v>
          </cell>
          <cell r="I422" t="str">
            <v>Tratamiento</v>
          </cell>
          <cell r="K422" t="str">
            <v>SI</v>
          </cell>
          <cell r="M422" t="e">
            <v>#REF!</v>
          </cell>
        </row>
        <row r="423">
          <cell r="A423">
            <v>1128271580</v>
          </cell>
          <cell r="B423">
            <v>422</v>
          </cell>
          <cell r="C423" t="str">
            <v xml:space="preserve">Edelmira </v>
          </cell>
          <cell r="D423" t="str">
            <v>Medellin</v>
          </cell>
          <cell r="E423" t="str">
            <v xml:space="preserve">De la junta de acción comunal subiendo a la izquierda </v>
          </cell>
          <cell r="F423" t="str">
            <v/>
          </cell>
          <cell r="G423" t="str">
            <v>3117261374</v>
          </cell>
          <cell r="H423" t="str">
            <v>3024556964</v>
          </cell>
          <cell r="I423" t="str">
            <v>Tratamiento</v>
          </cell>
          <cell r="K423" t="str">
            <v>SI</v>
          </cell>
          <cell r="M423" t="e">
            <v>#REF!</v>
          </cell>
        </row>
        <row r="424">
          <cell r="A424">
            <v>1144201470</v>
          </cell>
          <cell r="B424">
            <v>423</v>
          </cell>
          <cell r="C424" t="str">
            <v>Paula Andrea</v>
          </cell>
          <cell r="D424" t="str">
            <v>Medellin</v>
          </cell>
          <cell r="E424" t="str">
            <v>Bbuuu</v>
          </cell>
          <cell r="F424" t="str">
            <v>Por la torre</v>
          </cell>
          <cell r="G424" t="str">
            <v>3015532555</v>
          </cell>
          <cell r="H424" t="str">
            <v>3003508633</v>
          </cell>
          <cell r="I424" t="str">
            <v>Tratamiento</v>
          </cell>
          <cell r="K424" t="str">
            <v>SI</v>
          </cell>
          <cell r="L424"/>
          <cell r="M424" t="e">
            <v>#REF!</v>
          </cell>
        </row>
        <row r="425">
          <cell r="A425">
            <v>1146434251</v>
          </cell>
          <cell r="B425">
            <v>424</v>
          </cell>
          <cell r="C425" t="str">
            <v xml:space="preserve">Luz Amparo </v>
          </cell>
          <cell r="D425" t="str">
            <v>Medellin</v>
          </cell>
          <cell r="E425" t="str">
            <v>Carrera 17.ª #56h 08 int 1318</v>
          </cell>
          <cell r="F425" t="str">
            <v xml:space="preserve">Por las escaleras del plan a la izquierda y luego a la derecha </v>
          </cell>
          <cell r="G425" t="str">
            <v>3046187630</v>
          </cell>
          <cell r="H425" t="str">
            <v xml:space="preserve">No dan información </v>
          </cell>
          <cell r="I425" t="str">
            <v>Tratamiento</v>
          </cell>
          <cell r="K425" t="str">
            <v>SI</v>
          </cell>
          <cell r="M425" t="e">
            <v>#REF!</v>
          </cell>
        </row>
        <row r="426">
          <cell r="A426">
            <v>1147950412</v>
          </cell>
          <cell r="B426">
            <v>425</v>
          </cell>
          <cell r="C426" t="str">
            <v xml:space="preserve">Yanfary </v>
          </cell>
          <cell r="D426" t="str">
            <v>Medellin</v>
          </cell>
          <cell r="E426" t="str">
            <v>Carrera 18#56Ec -36</v>
          </cell>
          <cell r="F426" t="str">
            <v>Llegamos al parquecito de la uva y se baja por la calle a media cuadra</v>
          </cell>
          <cell r="G426" t="str">
            <v>3043836420</v>
          </cell>
          <cell r="H426" t="str">
            <v xml:space="preserve">No dan información </v>
          </cell>
          <cell r="I426" t="str">
            <v>Tratamiento</v>
          </cell>
          <cell r="K426" t="str">
            <v>SI</v>
          </cell>
          <cell r="M426" t="e">
            <v>#REF!</v>
          </cell>
        </row>
        <row r="427">
          <cell r="A427">
            <v>1147957415</v>
          </cell>
          <cell r="B427">
            <v>426</v>
          </cell>
          <cell r="C427" t="str">
            <v>Sindy Yomara</v>
          </cell>
          <cell r="D427" t="str">
            <v>Medellin</v>
          </cell>
          <cell r="E427" t="str">
            <v>Cl 56EE 17-90 int.112</v>
          </cell>
          <cell r="F427" t="str">
            <v>Hasta el cuadradero de lo colectivos costravi</v>
          </cell>
          <cell r="G427" t="str">
            <v>3127686916</v>
          </cell>
          <cell r="H427" t="str">
            <v>3053642789</v>
          </cell>
          <cell r="I427" t="str">
            <v>Tratamiento</v>
          </cell>
          <cell r="K427" t="str">
            <v>SI</v>
          </cell>
          <cell r="M427" t="e">
            <v>#REF!</v>
          </cell>
        </row>
        <row r="428">
          <cell r="A428">
            <v>1152204057</v>
          </cell>
          <cell r="B428">
            <v>427</v>
          </cell>
          <cell r="C428" t="str">
            <v xml:space="preserve">Eber Arley </v>
          </cell>
          <cell r="D428" t="str">
            <v>Medellin</v>
          </cell>
          <cell r="E428" t="str">
            <v>Carrera 5 Este #54B-83</v>
          </cell>
          <cell r="F428" t="str">
            <v>Subiendo por la iglesia</v>
          </cell>
          <cell r="G428" t="str">
            <v>3137669335</v>
          </cell>
          <cell r="H428" t="str">
            <v>3137669335</v>
          </cell>
          <cell r="I428" t="str">
            <v>Tratamiento</v>
          </cell>
          <cell r="J428" t="str">
            <v>Medellín</v>
          </cell>
          <cell r="K428" t="str">
            <v>SI</v>
          </cell>
          <cell r="M428" t="e">
            <v>#REF!</v>
          </cell>
        </row>
        <row r="429">
          <cell r="A429">
            <v>1192898936</v>
          </cell>
          <cell r="B429">
            <v>428</v>
          </cell>
          <cell r="C429" t="str">
            <v>Rosalba</v>
          </cell>
          <cell r="D429" t="str">
            <v>Medellin</v>
          </cell>
          <cell r="E429" t="str">
            <v>Cerca de la tienda Camila</v>
          </cell>
          <cell r="F429" t="str">
            <v/>
          </cell>
          <cell r="G429" t="str">
            <v>3113234103</v>
          </cell>
          <cell r="H429" t="str">
            <v>3128935638</v>
          </cell>
          <cell r="I429" t="str">
            <v>Tratamiento</v>
          </cell>
          <cell r="K429" t="str">
            <v>SI</v>
          </cell>
          <cell r="M429" t="e">
            <v>#REF!</v>
          </cell>
        </row>
        <row r="430">
          <cell r="A430">
            <v>1214733443</v>
          </cell>
          <cell r="B430">
            <v>429</v>
          </cell>
          <cell r="C430" t="str">
            <v>Aleidy Andrea</v>
          </cell>
          <cell r="D430" t="str">
            <v>Medellin</v>
          </cell>
          <cell r="E430" t="str">
            <v>De la panadería en la parte izquierda bajan por las escalas en el primer callejon</v>
          </cell>
          <cell r="F430" t="str">
            <v/>
          </cell>
          <cell r="G430" t="str">
            <v>3166359401</v>
          </cell>
          <cell r="H430" t="str">
            <v>3245908559</v>
          </cell>
          <cell r="I430" t="str">
            <v>Tratamiento</v>
          </cell>
          <cell r="K430" t="str">
            <v>SI</v>
          </cell>
          <cell r="M430" t="e">
            <v>#REF!</v>
          </cell>
        </row>
        <row r="431">
          <cell r="A431">
            <v>21386259</v>
          </cell>
          <cell r="B431">
            <v>430</v>
          </cell>
          <cell r="C431" t="str">
            <v>Alba Lucía</v>
          </cell>
          <cell r="D431" t="str">
            <v>Medellin</v>
          </cell>
          <cell r="E431" t="str">
            <v>Cerca a la panadería el faro</v>
          </cell>
          <cell r="F431" t="str">
            <v/>
          </cell>
          <cell r="G431" t="str">
            <v>3246460610</v>
          </cell>
          <cell r="H431" t="str">
            <v>3178125194</v>
          </cell>
          <cell r="I431" t="str">
            <v>Tratamiento</v>
          </cell>
          <cell r="K431" t="str">
            <v>SI</v>
          </cell>
          <cell r="L431" t="str">
            <v>SI</v>
          </cell>
          <cell r="M431" t="e">
            <v>#REF!</v>
          </cell>
        </row>
        <row r="432">
          <cell r="A432">
            <v>21399690</v>
          </cell>
          <cell r="B432">
            <v>431</v>
          </cell>
          <cell r="C432" t="str">
            <v xml:space="preserve">María Adalisve rincón </v>
          </cell>
          <cell r="D432" t="str">
            <v>Medellin</v>
          </cell>
          <cell r="E432" t="str">
            <v>De la esquina de la sequia</v>
          </cell>
          <cell r="F432" t="str">
            <v/>
          </cell>
          <cell r="G432" t="str">
            <v>3108418480</v>
          </cell>
          <cell r="H432" t="str">
            <v>3122688724</v>
          </cell>
          <cell r="I432" t="str">
            <v>Tratamiento</v>
          </cell>
          <cell r="J432" t="str">
            <v>Medellín</v>
          </cell>
          <cell r="K432" t="str">
            <v>SI</v>
          </cell>
          <cell r="L432" t="str">
            <v>SI</v>
          </cell>
          <cell r="M432" t="e">
            <v>#REF!</v>
          </cell>
        </row>
        <row r="433">
          <cell r="A433">
            <v>21400273</v>
          </cell>
          <cell r="B433">
            <v>432</v>
          </cell>
          <cell r="C433" t="str">
            <v>Maria Viglenisa</v>
          </cell>
          <cell r="D433" t="str">
            <v>Medellin</v>
          </cell>
          <cell r="E433" t="str">
            <v>Carrera 5 este # 54B - 104</v>
          </cell>
          <cell r="F433" t="str">
            <v>Subiendo las escalas de la iglesia la sierra</v>
          </cell>
          <cell r="G433" t="str">
            <v>3127639500</v>
          </cell>
          <cell r="H433" t="str">
            <v>3127639500</v>
          </cell>
          <cell r="I433" t="str">
            <v>Tratamiento</v>
          </cell>
          <cell r="K433" t="str">
            <v>SI</v>
          </cell>
          <cell r="L433" t="str">
            <v>SI</v>
          </cell>
          <cell r="M433" t="e">
            <v>#REF!</v>
          </cell>
          <cell r="N433"/>
        </row>
        <row r="434">
          <cell r="A434">
            <v>21451506</v>
          </cell>
          <cell r="B434">
            <v>433</v>
          </cell>
          <cell r="C434" t="str">
            <v>Gloria de Jesús</v>
          </cell>
          <cell r="D434" t="str">
            <v>Medellin</v>
          </cell>
          <cell r="E434" t="str">
            <v>Carrera 18 C#64B41 int 111</v>
          </cell>
          <cell r="F434" t="str">
            <v>En la y a mano derecha entrada por la virgen</v>
          </cell>
          <cell r="G434" t="str">
            <v>3002553069</v>
          </cell>
          <cell r="H434" t="str">
            <v>3155479225</v>
          </cell>
          <cell r="I434" t="str">
            <v>Tratamiento</v>
          </cell>
          <cell r="J434" t="str">
            <v>Medellín</v>
          </cell>
          <cell r="K434" t="str">
            <v>SI</v>
          </cell>
          <cell r="L434" t="str">
            <v>SI</v>
          </cell>
          <cell r="M434" t="e">
            <v>#REF!</v>
          </cell>
        </row>
        <row r="435">
          <cell r="A435">
            <v>21464825</v>
          </cell>
          <cell r="B435">
            <v>434</v>
          </cell>
          <cell r="C435" t="str">
            <v>Fabia Margarita</v>
          </cell>
          <cell r="D435" t="str">
            <v>Medellin</v>
          </cell>
          <cell r="E435" t="str">
            <v>Bajando las escaleras de la estación villa sierra</v>
          </cell>
          <cell r="F435" t="str">
            <v/>
          </cell>
          <cell r="G435" t="str">
            <v>3108296825</v>
          </cell>
          <cell r="H435" t="str">
            <v>3207400577</v>
          </cell>
          <cell r="I435" t="str">
            <v>Tratamiento</v>
          </cell>
          <cell r="K435" t="str">
            <v>SI</v>
          </cell>
          <cell r="L435" t="str">
            <v>SI</v>
          </cell>
          <cell r="M435" t="e">
            <v>#REF!</v>
          </cell>
        </row>
        <row r="436">
          <cell r="A436">
            <v>21467983</v>
          </cell>
          <cell r="B436">
            <v>435</v>
          </cell>
          <cell r="C436" t="str">
            <v xml:space="preserve">Gloria Eunice </v>
          </cell>
          <cell r="D436" t="str">
            <v>Medellin</v>
          </cell>
          <cell r="E436" t="str">
            <v>Carrera 4 este#55 H 41int 114</v>
          </cell>
          <cell r="F436" t="str">
            <v>Por la iglesia por la cuadra subiendo todas las escalares</v>
          </cell>
          <cell r="G436" t="str">
            <v>3003382218</v>
          </cell>
          <cell r="H436" t="str">
            <v>3007253176</v>
          </cell>
          <cell r="I436" t="str">
            <v>Tratamiento</v>
          </cell>
          <cell r="K436" t="str">
            <v>SI</v>
          </cell>
          <cell r="L436" t="str">
            <v>SI</v>
          </cell>
          <cell r="M436" t="e">
            <v>#REF!</v>
          </cell>
        </row>
        <row r="437">
          <cell r="A437">
            <v>21508452</v>
          </cell>
          <cell r="B437">
            <v>436</v>
          </cell>
          <cell r="C437" t="str">
            <v xml:space="preserve">María Mercedes </v>
          </cell>
          <cell r="D437" t="str">
            <v>Medellin</v>
          </cell>
          <cell r="E437" t="str">
            <v>Carrera 18A #56 EC 32</v>
          </cell>
          <cell r="F437" t="str">
            <v>Uva sol de oriente</v>
          </cell>
          <cell r="G437" t="str">
            <v>3002828154</v>
          </cell>
          <cell r="H437" t="str">
            <v>3002828154</v>
          </cell>
          <cell r="I437" t="str">
            <v>Tratamiento</v>
          </cell>
          <cell r="K437" t="str">
            <v>SI</v>
          </cell>
          <cell r="L437" t="str">
            <v>SI</v>
          </cell>
          <cell r="M437" t="e">
            <v>#REF!</v>
          </cell>
        </row>
        <row r="438">
          <cell r="A438">
            <v>21521912</v>
          </cell>
          <cell r="B438">
            <v>437</v>
          </cell>
          <cell r="C438" t="str">
            <v>Fany de jesus</v>
          </cell>
          <cell r="D438" t="str">
            <v>Medellin</v>
          </cell>
          <cell r="E438" t="str">
            <v>Carrera 10 este 54B -52</v>
          </cell>
          <cell r="F438" t="str">
            <v>Bajando por la estación de policia</v>
          </cell>
          <cell r="G438" t="str">
            <v>3104309312</v>
          </cell>
          <cell r="H438" t="str">
            <v>3027164930</v>
          </cell>
          <cell r="I438" t="str">
            <v>Tratamiento</v>
          </cell>
          <cell r="J438" t="str">
            <v>Medellín</v>
          </cell>
          <cell r="K438" t="str">
            <v>SI</v>
          </cell>
          <cell r="L438" t="str">
            <v>SI</v>
          </cell>
          <cell r="M438" t="e">
            <v>#REF!</v>
          </cell>
        </row>
        <row r="439">
          <cell r="A439">
            <v>21559816</v>
          </cell>
          <cell r="B439">
            <v>438</v>
          </cell>
          <cell r="C439" t="str">
            <v>Luz omaira</v>
          </cell>
          <cell r="D439" t="str">
            <v>Medellin</v>
          </cell>
          <cell r="E439" t="str">
            <v>Por la cancha, por la junta de acción comunal subiendo las escaleras</v>
          </cell>
          <cell r="F439" t="str">
            <v/>
          </cell>
          <cell r="G439" t="str">
            <v>3022129878</v>
          </cell>
          <cell r="H439" t="str">
            <v>3012689121</v>
          </cell>
          <cell r="I439" t="str">
            <v>Tratamiento</v>
          </cell>
          <cell r="K439" t="str">
            <v>SI</v>
          </cell>
          <cell r="L439" t="str">
            <v>SI</v>
          </cell>
          <cell r="M439" t="e">
            <v>#REF!</v>
          </cell>
        </row>
        <row r="440">
          <cell r="A440">
            <v>21573512</v>
          </cell>
          <cell r="B440">
            <v>439</v>
          </cell>
          <cell r="C440" t="str">
            <v xml:space="preserve">Marta Lilia </v>
          </cell>
          <cell r="D440" t="str">
            <v>Medellin</v>
          </cell>
          <cell r="E440" t="str">
            <v>Carrera 7 # 55 GA - 115 interior 1417</v>
          </cell>
          <cell r="F440" t="str">
            <v xml:space="preserve">Bajando a mano derecha por la cancha de alto bonito </v>
          </cell>
          <cell r="G440" t="str">
            <v>3002697858</v>
          </cell>
          <cell r="H440" t="str">
            <v>3135369565</v>
          </cell>
          <cell r="I440" t="str">
            <v>Tratamiento</v>
          </cell>
          <cell r="K440" t="str">
            <v>SI</v>
          </cell>
          <cell r="L440" t="str">
            <v>SI</v>
          </cell>
          <cell r="M440" t="e">
            <v>#REF!</v>
          </cell>
        </row>
        <row r="441">
          <cell r="A441">
            <v>21575791</v>
          </cell>
          <cell r="B441">
            <v>440</v>
          </cell>
          <cell r="C441" t="str">
            <v>Luz marina</v>
          </cell>
          <cell r="D441" t="str">
            <v>Medellin</v>
          </cell>
          <cell r="E441" t="str">
            <v>Por la principal de sol de oriente</v>
          </cell>
          <cell r="F441" t="str">
            <v/>
          </cell>
          <cell r="G441" t="str">
            <v>3245021070</v>
          </cell>
          <cell r="H441" t="str">
            <v>No tiene</v>
          </cell>
          <cell r="I441" t="str">
            <v>Tratamiento</v>
          </cell>
          <cell r="J441"/>
          <cell r="K441" t="str">
            <v>SI</v>
          </cell>
          <cell r="L441" t="str">
            <v>SI</v>
          </cell>
          <cell r="M441" t="e">
            <v>#REF!</v>
          </cell>
          <cell r="N441"/>
        </row>
        <row r="442">
          <cell r="A442">
            <v>21584884</v>
          </cell>
          <cell r="B442">
            <v>441</v>
          </cell>
          <cell r="C442" t="str">
            <v>Maria franquelina</v>
          </cell>
          <cell r="D442" t="str">
            <v>Medellin</v>
          </cell>
          <cell r="E442" t="str">
            <v>De la acción comunal de golondrinas hacia arriba casa de puerta verdeqqq</v>
          </cell>
          <cell r="F442" t="str">
            <v/>
          </cell>
          <cell r="G442" t="str">
            <v>604 2924009</v>
          </cell>
          <cell r="H442" t="str">
            <v>3052945310</v>
          </cell>
          <cell r="I442" t="str">
            <v>Tratamiento</v>
          </cell>
          <cell r="K442" t="str">
            <v>SI</v>
          </cell>
          <cell r="L442" t="str">
            <v>SI</v>
          </cell>
          <cell r="M442" t="e">
            <v>#REF!</v>
          </cell>
        </row>
        <row r="443">
          <cell r="A443">
            <v>21620314</v>
          </cell>
          <cell r="B443">
            <v>442</v>
          </cell>
          <cell r="C443" t="str">
            <v>Beatriz Elena</v>
          </cell>
          <cell r="D443" t="str">
            <v>Medellin</v>
          </cell>
          <cell r="E443" t="str">
            <v>CRA 2 # 55CC - 18 int 110</v>
          </cell>
          <cell r="F443" t="str">
            <v>Cerca de la Institución educativa villa turbay</v>
          </cell>
          <cell r="G443" t="str">
            <v>3024565983</v>
          </cell>
          <cell r="H443" t="str">
            <v>3127405875</v>
          </cell>
          <cell r="I443" t="str">
            <v>Tratamiento</v>
          </cell>
          <cell r="K443" t="str">
            <v>SI</v>
          </cell>
          <cell r="L443" t="str">
            <v>SI</v>
          </cell>
          <cell r="M443" t="e">
            <v>#REF!</v>
          </cell>
        </row>
        <row r="444">
          <cell r="A444">
            <v>21691463</v>
          </cell>
          <cell r="B444">
            <v>443</v>
          </cell>
          <cell r="C444" t="str">
            <v xml:space="preserve">Berta oliva </v>
          </cell>
          <cell r="D444" t="str">
            <v>Medellin</v>
          </cell>
          <cell r="E444" t="str">
            <v>Calle 55 GA #5 a-18</v>
          </cell>
          <cell r="F444" t="str">
            <v>Llega al supermercado xiomy, sube por las escaleras en el descanso a la izquierda</v>
          </cell>
          <cell r="G444" t="str">
            <v>3147664054</v>
          </cell>
          <cell r="H444" t="str">
            <v>3145752008</v>
          </cell>
          <cell r="I444" t="str">
            <v>Tratamiento</v>
          </cell>
          <cell r="K444" t="str">
            <v>SI</v>
          </cell>
          <cell r="L444" t="str">
            <v>SI</v>
          </cell>
          <cell r="M444" t="e">
            <v>#REF!</v>
          </cell>
        </row>
        <row r="445">
          <cell r="A445">
            <v>21693354</v>
          </cell>
          <cell r="B445">
            <v>444</v>
          </cell>
          <cell r="C445" t="str">
            <v>Blanca emilia</v>
          </cell>
          <cell r="D445" t="str">
            <v>Medellin</v>
          </cell>
          <cell r="E445" t="str">
            <v>Cr 18 56EC19 int.201</v>
          </cell>
          <cell r="F445" t="str">
            <v>Bajando por la uva</v>
          </cell>
          <cell r="G445" t="str">
            <v>3053550544</v>
          </cell>
          <cell r="H445" t="str">
            <v>6042222618</v>
          </cell>
          <cell r="I445" t="str">
            <v>Tratamiento</v>
          </cell>
          <cell r="K445" t="str">
            <v>SI</v>
          </cell>
          <cell r="L445" t="str">
            <v>SI</v>
          </cell>
          <cell r="M445" t="e">
            <v>#REF!</v>
          </cell>
        </row>
        <row r="446">
          <cell r="A446">
            <v>21697016</v>
          </cell>
          <cell r="B446">
            <v>445</v>
          </cell>
          <cell r="C446" t="str">
            <v>Martha ligia</v>
          </cell>
          <cell r="D446" t="str">
            <v>Medellin</v>
          </cell>
          <cell r="E446" t="str">
            <v>Abajo de la tienda de don Jesus</v>
          </cell>
          <cell r="F446" t="str">
            <v/>
          </cell>
          <cell r="G446" t="str">
            <v>3057074867</v>
          </cell>
          <cell r="H446" t="str">
            <v>3107573949</v>
          </cell>
          <cell r="I446" t="str">
            <v>Tratamiento</v>
          </cell>
          <cell r="K446" t="str">
            <v>SI</v>
          </cell>
          <cell r="L446" t="str">
            <v>SI</v>
          </cell>
          <cell r="M446" t="e">
            <v>#REF!</v>
          </cell>
        </row>
        <row r="447">
          <cell r="A447">
            <v>21697063</v>
          </cell>
          <cell r="B447">
            <v>446</v>
          </cell>
          <cell r="C447" t="str">
            <v>Nancy elena</v>
          </cell>
          <cell r="D447" t="str">
            <v>Medellin</v>
          </cell>
          <cell r="E447" t="str">
            <v>Cerca ala cancha</v>
          </cell>
          <cell r="F447" t="str">
            <v/>
          </cell>
          <cell r="G447" t="str">
            <v>3045812327</v>
          </cell>
          <cell r="H447" t="str">
            <v>3008277219</v>
          </cell>
          <cell r="I447" t="str">
            <v>Tratamiento</v>
          </cell>
          <cell r="K447" t="str">
            <v>SI</v>
          </cell>
          <cell r="L447" t="str">
            <v>SI</v>
          </cell>
          <cell r="M447" t="e">
            <v>#REF!</v>
          </cell>
        </row>
        <row r="448">
          <cell r="A448">
            <v>21697589</v>
          </cell>
          <cell r="B448">
            <v>447</v>
          </cell>
          <cell r="C448" t="str">
            <v>Maria Magnolia</v>
          </cell>
          <cell r="D448" t="str">
            <v>Medellin</v>
          </cell>
          <cell r="E448" t="str">
            <v>Cerca a la cede comunal el pacifico</v>
          </cell>
          <cell r="F448" t="str">
            <v/>
          </cell>
          <cell r="G448" t="str">
            <v>3183967509</v>
          </cell>
          <cell r="H448" t="str">
            <v>3152447854</v>
          </cell>
          <cell r="I448" t="str">
            <v>Tratamiento</v>
          </cell>
          <cell r="K448" t="str">
            <v>SI</v>
          </cell>
          <cell r="L448" t="str">
            <v>SI</v>
          </cell>
          <cell r="M448" t="e">
            <v>#REF!</v>
          </cell>
        </row>
        <row r="449">
          <cell r="A449">
            <v>21709045</v>
          </cell>
          <cell r="B449">
            <v>448</v>
          </cell>
          <cell r="C449" t="str">
            <v>María Dolore</v>
          </cell>
          <cell r="D449" t="str">
            <v>Medellin</v>
          </cell>
          <cell r="E449" t="str">
            <v>Calle 56Ed #18a24</v>
          </cell>
          <cell r="F449" t="str">
            <v xml:space="preserve">Desde la uva derecho hasta el fondo a la derecha </v>
          </cell>
          <cell r="G449" t="str">
            <v>3014362311</v>
          </cell>
          <cell r="H449" t="str">
            <v xml:space="preserve">No dan información </v>
          </cell>
          <cell r="I449" t="str">
            <v>Tratamiento</v>
          </cell>
          <cell r="J449"/>
          <cell r="K449" t="str">
            <v>SI</v>
          </cell>
          <cell r="L449" t="str">
            <v>SI</v>
          </cell>
          <cell r="M449" t="e">
            <v>#REF!</v>
          </cell>
          <cell r="N449"/>
        </row>
        <row r="450">
          <cell r="A450">
            <v>21744070</v>
          </cell>
          <cell r="B450">
            <v>449</v>
          </cell>
          <cell r="C450" t="str">
            <v>María franquelina</v>
          </cell>
          <cell r="D450" t="str">
            <v>Medellin</v>
          </cell>
          <cell r="E450" t="str">
            <v>Por las escalas del autoservicio siomi</v>
          </cell>
          <cell r="F450" t="str">
            <v/>
          </cell>
          <cell r="G450" t="str">
            <v>3207831668</v>
          </cell>
          <cell r="H450" t="str">
            <v>3164403508</v>
          </cell>
          <cell r="I450" t="str">
            <v>Tratamiento</v>
          </cell>
          <cell r="J450"/>
          <cell r="K450" t="str">
            <v>SI</v>
          </cell>
          <cell r="L450" t="str">
            <v>SI</v>
          </cell>
          <cell r="M450" t="e">
            <v>#REF!</v>
          </cell>
          <cell r="N450"/>
        </row>
        <row r="451">
          <cell r="A451">
            <v>21785236</v>
          </cell>
          <cell r="B451">
            <v>450</v>
          </cell>
          <cell r="C451" t="str">
            <v>Maria Doriela</v>
          </cell>
          <cell r="D451" t="str">
            <v>Medellin</v>
          </cell>
          <cell r="E451" t="str">
            <v>Carrera 7A este # 54A - 13 interior 103</v>
          </cell>
          <cell r="F451" t="str">
            <v>Bajando por el divino niño</v>
          </cell>
          <cell r="G451" t="str">
            <v>3011773081</v>
          </cell>
          <cell r="H451" t="str">
            <v>3234066466</v>
          </cell>
          <cell r="I451" t="str">
            <v>Tratamiento</v>
          </cell>
          <cell r="K451" t="str">
            <v>SI</v>
          </cell>
          <cell r="L451" t="str">
            <v>SI</v>
          </cell>
          <cell r="M451" t="e">
            <v>#REF!</v>
          </cell>
        </row>
        <row r="452">
          <cell r="A452">
            <v>21808751</v>
          </cell>
          <cell r="B452">
            <v>451</v>
          </cell>
          <cell r="C452" t="str">
            <v xml:space="preserve">Ana de Jesús </v>
          </cell>
          <cell r="D452" t="str">
            <v>Medellin</v>
          </cell>
          <cell r="E452" t="str">
            <v>Carrera 5A#56AA100</v>
          </cell>
          <cell r="F452" t="str">
            <v xml:space="preserve">Bajando por las Escalas del ecoparque </v>
          </cell>
          <cell r="G452" t="str">
            <v>3114049859</v>
          </cell>
          <cell r="H452" t="str">
            <v>3114049859</v>
          </cell>
          <cell r="I452" t="str">
            <v>Tratamiento</v>
          </cell>
          <cell r="K452" t="str">
            <v>SI</v>
          </cell>
          <cell r="L452" t="str">
            <v>SI</v>
          </cell>
          <cell r="M452" t="e">
            <v>#REF!</v>
          </cell>
        </row>
        <row r="453">
          <cell r="A453">
            <v>21808821</v>
          </cell>
          <cell r="B453">
            <v>452</v>
          </cell>
          <cell r="C453" t="str">
            <v>Laura Rosa</v>
          </cell>
          <cell r="D453" t="str">
            <v>Medellin</v>
          </cell>
          <cell r="E453" t="str">
            <v>Carrera 5A#56AAInt 107</v>
          </cell>
          <cell r="F453" t="str">
            <v>Bajando por las escalas del ecoparque en el puentecito</v>
          </cell>
          <cell r="G453" t="str">
            <v>3226794610</v>
          </cell>
          <cell r="H453" t="str">
            <v>3136765153</v>
          </cell>
          <cell r="I453" t="str">
            <v>Tratamiento</v>
          </cell>
          <cell r="K453" t="str">
            <v>SI</v>
          </cell>
          <cell r="L453" t="str">
            <v>SI</v>
          </cell>
          <cell r="M453" t="e">
            <v>#REF!</v>
          </cell>
        </row>
        <row r="454">
          <cell r="A454">
            <v>21809439</v>
          </cell>
          <cell r="B454">
            <v>453</v>
          </cell>
          <cell r="C454" t="str">
            <v>Martha Alicia</v>
          </cell>
          <cell r="D454" t="str">
            <v>Medellin</v>
          </cell>
          <cell r="E454" t="str">
            <v>Carrera 18A #46 EC-48</v>
          </cell>
          <cell r="F454" t="str">
            <v>Bajando por la uva</v>
          </cell>
          <cell r="G454" t="str">
            <v>3015193264</v>
          </cell>
          <cell r="H454" t="str">
            <v>3015193264</v>
          </cell>
          <cell r="I454" t="str">
            <v>Tratamiento</v>
          </cell>
          <cell r="K454" t="str">
            <v>SI</v>
          </cell>
          <cell r="L454" t="str">
            <v>SI</v>
          </cell>
          <cell r="M454" t="e">
            <v>#REF!</v>
          </cell>
        </row>
        <row r="455">
          <cell r="A455">
            <v>21812687</v>
          </cell>
          <cell r="B455">
            <v>454</v>
          </cell>
          <cell r="C455" t="str">
            <v>Ruperto eliecer</v>
          </cell>
          <cell r="D455" t="str">
            <v>Medellin</v>
          </cell>
          <cell r="E455" t="str">
            <v>Cerca al cuadradero d elos colectivos de cootrasmallat</v>
          </cell>
          <cell r="F455" t="str">
            <v/>
          </cell>
          <cell r="G455" t="str">
            <v>3004009374</v>
          </cell>
          <cell r="H455" t="str">
            <v>3205929308</v>
          </cell>
          <cell r="I455" t="str">
            <v>Tratamiento</v>
          </cell>
          <cell r="K455" t="str">
            <v>SI</v>
          </cell>
          <cell r="L455" t="str">
            <v>SI</v>
          </cell>
          <cell r="M455" t="e">
            <v>#REF!</v>
          </cell>
        </row>
        <row r="456">
          <cell r="A456">
            <v>21816448</v>
          </cell>
          <cell r="B456">
            <v>455</v>
          </cell>
          <cell r="C456" t="str">
            <v xml:space="preserve">Gloria Elena </v>
          </cell>
          <cell r="D456" t="str">
            <v>Medellin</v>
          </cell>
          <cell r="E456" t="str">
            <v>CL 56 ed 18a20</v>
          </cell>
          <cell r="F456" t="str">
            <v>Cerca uva sol de oriente</v>
          </cell>
          <cell r="G456" t="str">
            <v>3127605708</v>
          </cell>
          <cell r="H456" t="str">
            <v>3093202326</v>
          </cell>
          <cell r="I456" t="str">
            <v>Tratamiento</v>
          </cell>
          <cell r="K456" t="str">
            <v>SI</v>
          </cell>
          <cell r="L456" t="str">
            <v>SI</v>
          </cell>
          <cell r="M456" t="e">
            <v>#REF!</v>
          </cell>
        </row>
        <row r="457">
          <cell r="A457">
            <v>21893072</v>
          </cell>
          <cell r="B457">
            <v>456</v>
          </cell>
          <cell r="C457" t="str">
            <v>María Inés</v>
          </cell>
          <cell r="D457" t="str">
            <v>Medellin</v>
          </cell>
          <cell r="E457" t="str">
            <v>Por la primera panaderia del faro de ahí llamar</v>
          </cell>
          <cell r="F457" t="str">
            <v/>
          </cell>
          <cell r="G457" t="str">
            <v>3235134807</v>
          </cell>
          <cell r="H457" t="str">
            <v>3006014403</v>
          </cell>
          <cell r="I457" t="str">
            <v>Tratamiento</v>
          </cell>
          <cell r="K457" t="str">
            <v>SI</v>
          </cell>
          <cell r="L457" t="str">
            <v>SI</v>
          </cell>
          <cell r="M457" t="e">
            <v>#REF!</v>
          </cell>
        </row>
        <row r="458">
          <cell r="A458">
            <v>21910729</v>
          </cell>
          <cell r="B458">
            <v>457</v>
          </cell>
          <cell r="C458" t="str">
            <v>Rosalba</v>
          </cell>
          <cell r="D458" t="str">
            <v>Medellin</v>
          </cell>
          <cell r="E458" t="str">
            <v>Cerca  a la terminal de los buses</v>
          </cell>
          <cell r="F458" t="str">
            <v/>
          </cell>
          <cell r="G458" t="str">
            <v>3007546807</v>
          </cell>
          <cell r="H458" t="str">
            <v>3105912420</v>
          </cell>
          <cell r="I458" t="str">
            <v>Tratamiento</v>
          </cell>
          <cell r="K458" t="str">
            <v>SI</v>
          </cell>
          <cell r="L458" t="str">
            <v>SI</v>
          </cell>
          <cell r="M458" t="e">
            <v>#REF!</v>
          </cell>
        </row>
        <row r="459">
          <cell r="A459">
            <v>21910873</v>
          </cell>
          <cell r="B459">
            <v>458</v>
          </cell>
          <cell r="C459" t="str">
            <v>Maria isidora</v>
          </cell>
          <cell r="D459" t="str">
            <v>Medellin</v>
          </cell>
          <cell r="E459" t="str">
            <v>Cr17C 56Ec7 int.201</v>
          </cell>
          <cell r="F459" t="str">
            <v>Llegar uva sol de oriente baja y voltea a mano izquierda cruza elnparque y sube las escalas segundones puerta verde</v>
          </cell>
          <cell r="G459" t="str">
            <v>3046830633</v>
          </cell>
          <cell r="H459" t="str">
            <v>6045457590</v>
          </cell>
          <cell r="I459" t="str">
            <v>Tratamiento</v>
          </cell>
          <cell r="K459" t="str">
            <v>SI</v>
          </cell>
          <cell r="L459" t="str">
            <v>SI</v>
          </cell>
          <cell r="M459" t="e">
            <v>#REF!</v>
          </cell>
        </row>
        <row r="460">
          <cell r="A460">
            <v>21910907</v>
          </cell>
          <cell r="B460">
            <v>459</v>
          </cell>
          <cell r="C460" t="str">
            <v xml:space="preserve">María Otilia </v>
          </cell>
          <cell r="D460" t="str">
            <v>Medellin</v>
          </cell>
          <cell r="E460" t="str">
            <v>Calle 56EF 18A -36</v>
          </cell>
          <cell r="F460" t="str">
            <v>Uva sol de oriente</v>
          </cell>
          <cell r="G460" t="str">
            <v>3272414</v>
          </cell>
          <cell r="H460" t="str">
            <v>3004573891</v>
          </cell>
          <cell r="I460" t="str">
            <v>Tratamiento</v>
          </cell>
          <cell r="K460" t="str">
            <v>SI</v>
          </cell>
          <cell r="L460" t="str">
            <v>SI</v>
          </cell>
          <cell r="M460" t="e">
            <v>#REF!</v>
          </cell>
        </row>
        <row r="461">
          <cell r="A461">
            <v>21912116</v>
          </cell>
          <cell r="B461">
            <v>460</v>
          </cell>
          <cell r="C461" t="str">
            <v>Joaquín Guillermo</v>
          </cell>
          <cell r="D461" t="str">
            <v>Medellin</v>
          </cell>
          <cell r="E461" t="str">
            <v xml:space="preserve">Termina de subir por la terminal de buses de golondrinas y suben todas las escaleras a la izquierda </v>
          </cell>
          <cell r="F461" t="str">
            <v/>
          </cell>
          <cell r="G461" t="str">
            <v>3157745489</v>
          </cell>
          <cell r="H461" t="str">
            <v>3148272072</v>
          </cell>
          <cell r="I461" t="str">
            <v>Tratamiento</v>
          </cell>
          <cell r="K461" t="str">
            <v>SI</v>
          </cell>
          <cell r="L461" t="str">
            <v>SI</v>
          </cell>
          <cell r="M461" t="e">
            <v>#REF!</v>
          </cell>
        </row>
        <row r="462">
          <cell r="A462">
            <v>21954148</v>
          </cell>
          <cell r="B462">
            <v>461</v>
          </cell>
          <cell r="C462" t="str">
            <v xml:space="preserve">María Justiniano </v>
          </cell>
          <cell r="D462" t="str">
            <v>Medellin</v>
          </cell>
          <cell r="E462" t="str">
            <v>Calle 56ED#18A 30</v>
          </cell>
          <cell r="F462" t="str">
            <v>Entrando por las barandas azules de la uva sol de oriente</v>
          </cell>
          <cell r="G462" t="str">
            <v>3015193264</v>
          </cell>
          <cell r="H462" t="str">
            <v>3015193264</v>
          </cell>
          <cell r="I462" t="str">
            <v>Tratamiento</v>
          </cell>
          <cell r="K462" t="str">
            <v>SI</v>
          </cell>
          <cell r="L462" t="str">
            <v>SI</v>
          </cell>
          <cell r="M462" t="e">
            <v>#REF!</v>
          </cell>
        </row>
        <row r="463">
          <cell r="A463">
            <v>21977327</v>
          </cell>
          <cell r="B463">
            <v>462</v>
          </cell>
          <cell r="C463" t="str">
            <v>Luz Marina</v>
          </cell>
          <cell r="D463" t="str">
            <v>Medellin</v>
          </cell>
          <cell r="E463" t="str">
            <v>Carrera 9.ª este #54aa 29</v>
          </cell>
          <cell r="F463" t="str">
            <v>Por el Cai viejo, por la tienda los panchos, bajando a mitad de cuadra</v>
          </cell>
          <cell r="G463" t="str">
            <v>3206694208</v>
          </cell>
          <cell r="H463" t="str">
            <v>No tiene</v>
          </cell>
          <cell r="I463" t="str">
            <v>Tratamiento</v>
          </cell>
          <cell r="K463" t="str">
            <v>SI</v>
          </cell>
          <cell r="L463" t="str">
            <v>SI</v>
          </cell>
          <cell r="M463" t="e">
            <v>#REF!</v>
          </cell>
        </row>
        <row r="464">
          <cell r="A464">
            <v>22032152</v>
          </cell>
          <cell r="B464">
            <v>463</v>
          </cell>
          <cell r="C464" t="str">
            <v xml:space="preserve">Bertha Inés </v>
          </cell>
          <cell r="D464" t="str">
            <v>Medellin</v>
          </cell>
          <cell r="E464" t="str">
            <v>Calle 56 AA # 2 - 62</v>
          </cell>
          <cell r="F464" t="str">
            <v>Cerca a los billares de don  gregorio</v>
          </cell>
          <cell r="G464" t="str">
            <v>3044776972</v>
          </cell>
          <cell r="H464" t="str">
            <v>3234011859</v>
          </cell>
          <cell r="I464" t="str">
            <v>Tratamiento</v>
          </cell>
          <cell r="K464" t="str">
            <v>SI</v>
          </cell>
          <cell r="L464" t="str">
            <v>SI</v>
          </cell>
          <cell r="M464" t="e">
            <v>#REF!</v>
          </cell>
        </row>
        <row r="465">
          <cell r="A465">
            <v>22103917</v>
          </cell>
          <cell r="B465">
            <v>464</v>
          </cell>
          <cell r="C465" t="str">
            <v>María cecilia</v>
          </cell>
          <cell r="D465" t="str">
            <v>Medellin</v>
          </cell>
          <cell r="E465" t="str">
            <v>Arriba del cuadradero de villatina</v>
          </cell>
          <cell r="F465" t="str">
            <v/>
          </cell>
          <cell r="G465" t="str">
            <v>3234250609</v>
          </cell>
          <cell r="H465" t="str">
            <v>No tiene</v>
          </cell>
          <cell r="I465" t="str">
            <v>Tratamiento</v>
          </cell>
          <cell r="K465" t="str">
            <v>SI</v>
          </cell>
          <cell r="L465" t="str">
            <v>SI</v>
          </cell>
          <cell r="M465" t="e">
            <v>#REF!</v>
          </cell>
        </row>
        <row r="466">
          <cell r="A466">
            <v>22108850</v>
          </cell>
          <cell r="B466">
            <v>465</v>
          </cell>
          <cell r="C466" t="str">
            <v>María Aura</v>
          </cell>
          <cell r="D466" t="str">
            <v>Medellin</v>
          </cell>
          <cell r="E466" t="str">
            <v xml:space="preserve">Por el billar de golondrinas </v>
          </cell>
          <cell r="F466" t="str">
            <v/>
          </cell>
          <cell r="G466" t="str">
            <v>3001591111</v>
          </cell>
          <cell r="H466" t="str">
            <v>3147528074</v>
          </cell>
          <cell r="I466" t="str">
            <v>Tratamiento</v>
          </cell>
          <cell r="K466" t="str">
            <v>SI</v>
          </cell>
          <cell r="L466" t="str">
            <v>SI</v>
          </cell>
          <cell r="M466" t="e">
            <v>#REF!</v>
          </cell>
        </row>
        <row r="467">
          <cell r="A467">
            <v>22139441</v>
          </cell>
          <cell r="B467">
            <v>466</v>
          </cell>
          <cell r="C467" t="str">
            <v>María Oliva</v>
          </cell>
          <cell r="D467" t="str">
            <v>Medellin</v>
          </cell>
          <cell r="E467" t="str">
            <v>Carrera 5 Este #54B-40</v>
          </cell>
          <cell r="F467" t="str">
            <v>Subiendo por la iglesia</v>
          </cell>
          <cell r="G467" t="str">
            <v>3127307825</v>
          </cell>
          <cell r="H467" t="str">
            <v>3127307825</v>
          </cell>
          <cell r="I467" t="str">
            <v>Tratamiento</v>
          </cell>
          <cell r="J467" t="str">
            <v>Medellín</v>
          </cell>
          <cell r="K467" t="str">
            <v>SI</v>
          </cell>
          <cell r="L467" t="str">
            <v>SI</v>
          </cell>
          <cell r="M467" t="e">
            <v>#REF!</v>
          </cell>
        </row>
        <row r="468">
          <cell r="A468">
            <v>22210262</v>
          </cell>
          <cell r="B468">
            <v>467</v>
          </cell>
          <cell r="C468" t="str">
            <v>Maria Odila</v>
          </cell>
          <cell r="D468" t="str">
            <v>Medellin</v>
          </cell>
          <cell r="E468" t="str">
            <v>Cerca a la iglesia maría auxiliadora</v>
          </cell>
          <cell r="F468" t="str">
            <v/>
          </cell>
          <cell r="G468" t="str">
            <v>3242872949</v>
          </cell>
          <cell r="H468" t="str">
            <v>3014092797</v>
          </cell>
          <cell r="I468" t="str">
            <v>Tratamiento</v>
          </cell>
          <cell r="K468" t="str">
            <v>SI</v>
          </cell>
          <cell r="L468" t="str">
            <v>SI</v>
          </cell>
          <cell r="M468" t="e">
            <v>#REF!</v>
          </cell>
        </row>
        <row r="469">
          <cell r="A469">
            <v>22222115</v>
          </cell>
          <cell r="B469">
            <v>468</v>
          </cell>
          <cell r="C469" t="str">
            <v>Maria Eulalia</v>
          </cell>
          <cell r="D469" t="str">
            <v>Medellin</v>
          </cell>
          <cell r="E469" t="str">
            <v>Cerca a la panadería el faro</v>
          </cell>
          <cell r="F469" t="str">
            <v/>
          </cell>
          <cell r="G469" t="str">
            <v>3104274660</v>
          </cell>
          <cell r="H469" t="str">
            <v>3017779415</v>
          </cell>
          <cell r="I469" t="str">
            <v>Tratamiento</v>
          </cell>
          <cell r="K469" t="str">
            <v>SI</v>
          </cell>
          <cell r="L469" t="str">
            <v>SI</v>
          </cell>
          <cell r="M469" t="e">
            <v>#REF!</v>
          </cell>
        </row>
        <row r="470">
          <cell r="A470">
            <v>22230457</v>
          </cell>
          <cell r="B470">
            <v>469</v>
          </cell>
          <cell r="C470" t="str">
            <v xml:space="preserve">Libia del Socorro </v>
          </cell>
          <cell r="D470" t="str">
            <v>Medellin</v>
          </cell>
          <cell r="E470" t="str">
            <v>Calle 55GA #06-20</v>
          </cell>
          <cell r="F470" t="str">
            <v>Supermercado xiomy y suben por la rampa, luego las escaleras hasta el descanso y a la izquierda a mitad de cuadra</v>
          </cell>
          <cell r="G470" t="str">
            <v>3108315640</v>
          </cell>
          <cell r="H470" t="str">
            <v>3217714598</v>
          </cell>
          <cell r="I470" t="str">
            <v>Tratamiento</v>
          </cell>
          <cell r="K470" t="str">
            <v>SI</v>
          </cell>
          <cell r="L470" t="str">
            <v>SI</v>
          </cell>
          <cell r="M470" t="e">
            <v>#REF!</v>
          </cell>
        </row>
        <row r="471">
          <cell r="A471">
            <v>24552101</v>
          </cell>
          <cell r="B471">
            <v>470</v>
          </cell>
          <cell r="C471" t="str">
            <v>Liliana del Socorro</v>
          </cell>
          <cell r="D471" t="str">
            <v>Medellin</v>
          </cell>
          <cell r="E471" t="str">
            <v>Diagonal al metrosalud sol de oriente</v>
          </cell>
          <cell r="F471" t="str">
            <v/>
          </cell>
          <cell r="G471" t="str">
            <v>3105456023</v>
          </cell>
          <cell r="H471" t="str">
            <v>3137419403</v>
          </cell>
          <cell r="I471" t="str">
            <v>Tratamiento</v>
          </cell>
          <cell r="K471" t="str">
            <v>SI</v>
          </cell>
          <cell r="L471" t="str">
            <v>SI</v>
          </cell>
          <cell r="M471" t="e">
            <v>#REF!</v>
          </cell>
        </row>
        <row r="472">
          <cell r="A472">
            <v>24999258</v>
          </cell>
          <cell r="B472">
            <v>471</v>
          </cell>
          <cell r="C472" t="str">
            <v>Argemiro Muñoz roldan</v>
          </cell>
          <cell r="D472" t="str">
            <v>Medellin</v>
          </cell>
          <cell r="E472" t="str">
            <v xml:space="preserve">Cerca a llanaditas </v>
          </cell>
          <cell r="F472" t="str">
            <v/>
          </cell>
          <cell r="G472" t="str">
            <v>3277362630</v>
          </cell>
          <cell r="H472" t="str">
            <v>3178125194</v>
          </cell>
          <cell r="I472" t="str">
            <v>Tratamiento</v>
          </cell>
          <cell r="K472" t="str">
            <v>SI</v>
          </cell>
          <cell r="L472" t="str">
            <v>SI</v>
          </cell>
          <cell r="M472" t="e">
            <v>#REF!</v>
          </cell>
        </row>
        <row r="473">
          <cell r="A473">
            <v>26393898</v>
          </cell>
          <cell r="B473">
            <v>472</v>
          </cell>
          <cell r="C473" t="str">
            <v xml:space="preserve">Martina Sara </v>
          </cell>
          <cell r="D473" t="str">
            <v>Medellin</v>
          </cell>
          <cell r="E473" t="str">
            <v xml:space="preserve">Colegio Gabriel García Márquez </v>
          </cell>
          <cell r="F473" t="str">
            <v/>
          </cell>
          <cell r="G473" t="str">
            <v>3206210058</v>
          </cell>
          <cell r="H473" t="str">
            <v>3235047805</v>
          </cell>
          <cell r="I473" t="str">
            <v>Tratamiento</v>
          </cell>
          <cell r="K473" t="str">
            <v>SI</v>
          </cell>
          <cell r="L473" t="str">
            <v>SI</v>
          </cell>
          <cell r="M473" t="e">
            <v>#REF!</v>
          </cell>
        </row>
        <row r="474">
          <cell r="A474">
            <v>30402150</v>
          </cell>
          <cell r="B474">
            <v>473</v>
          </cell>
          <cell r="C474" t="str">
            <v>Luz Dary</v>
          </cell>
          <cell r="D474" t="str">
            <v>Medellin</v>
          </cell>
          <cell r="E474" t="str">
            <v>Carrera 3 Este #55H-40</v>
          </cell>
          <cell r="F474" t="str">
            <v>Por el camino de la iglesia hay unos tubos amarillos las escalas más largas y más paradas</v>
          </cell>
          <cell r="G474" t="str">
            <v>3006724600</v>
          </cell>
          <cell r="H474" t="str">
            <v>3217876100</v>
          </cell>
          <cell r="I474" t="str">
            <v>Tratamiento</v>
          </cell>
          <cell r="K474" t="str">
            <v>SI</v>
          </cell>
          <cell r="L474" t="str">
            <v>SI</v>
          </cell>
          <cell r="M474" t="e">
            <v>#REF!</v>
          </cell>
        </row>
        <row r="475">
          <cell r="A475">
            <v>32102790</v>
          </cell>
          <cell r="B475">
            <v>474</v>
          </cell>
          <cell r="C475" t="str">
            <v xml:space="preserve">María Eugenia </v>
          </cell>
          <cell r="D475" t="str">
            <v>Medellin</v>
          </cell>
          <cell r="E475" t="str">
            <v xml:space="preserve">Calle 65#16DD 19 interior 1847 cerca terminal de Golondrinas </v>
          </cell>
          <cell r="F475" t="str">
            <v/>
          </cell>
          <cell r="G475" t="str">
            <v>3016317688</v>
          </cell>
          <cell r="H475" t="str">
            <v>3137864736</v>
          </cell>
          <cell r="I475" t="str">
            <v>Tratamiento</v>
          </cell>
          <cell r="J475"/>
          <cell r="K475" t="str">
            <v>SI</v>
          </cell>
          <cell r="L475" t="str">
            <v>SI</v>
          </cell>
          <cell r="M475" t="e">
            <v>#REF!</v>
          </cell>
          <cell r="N475"/>
        </row>
        <row r="476">
          <cell r="A476">
            <v>32118138</v>
          </cell>
          <cell r="B476">
            <v>475</v>
          </cell>
          <cell r="C476" t="str">
            <v>John Jairo</v>
          </cell>
          <cell r="D476" t="str">
            <v>Medellin</v>
          </cell>
          <cell r="E476" t="str">
            <v>Carrera 17 a #56-8 int 1282</v>
          </cell>
          <cell r="F476" t="str">
            <v>De la junta de acción comunal bajan por las escaleras a media cuadra</v>
          </cell>
          <cell r="G476" t="str">
            <v>3244102864</v>
          </cell>
          <cell r="H476" t="str">
            <v xml:space="preserve">No dan información </v>
          </cell>
          <cell r="I476" t="str">
            <v>Tratamiento</v>
          </cell>
          <cell r="K476" t="str">
            <v>SI</v>
          </cell>
          <cell r="L476" t="str">
            <v>SI</v>
          </cell>
          <cell r="M476" t="e">
            <v>#REF!</v>
          </cell>
        </row>
        <row r="477">
          <cell r="A477">
            <v>32144313</v>
          </cell>
          <cell r="B477">
            <v>476</v>
          </cell>
          <cell r="C477" t="str">
            <v>Yadys Patricia</v>
          </cell>
          <cell r="D477" t="str">
            <v>Medellin</v>
          </cell>
          <cell r="E477" t="str">
            <v>Arriba del vivero de pinares de oriente</v>
          </cell>
          <cell r="F477" t="str">
            <v/>
          </cell>
          <cell r="G477" t="str">
            <v>3226037691</v>
          </cell>
          <cell r="H477" t="str">
            <v>3017856834</v>
          </cell>
          <cell r="I477" t="str">
            <v>Tratamiento</v>
          </cell>
          <cell r="K477" t="str">
            <v>SI</v>
          </cell>
          <cell r="L477" t="str">
            <v>SI</v>
          </cell>
          <cell r="M477" t="e">
            <v>#REF!</v>
          </cell>
        </row>
        <row r="478">
          <cell r="A478">
            <v>32208850</v>
          </cell>
          <cell r="B478">
            <v>477</v>
          </cell>
          <cell r="C478" t="str">
            <v xml:space="preserve">Sulinda Patricia </v>
          </cell>
          <cell r="D478" t="str">
            <v>Medellin</v>
          </cell>
          <cell r="E478" t="str">
            <v>Cerca la droguería al faro</v>
          </cell>
          <cell r="F478" t="str">
            <v/>
          </cell>
          <cell r="G478" t="str">
            <v>3504996590</v>
          </cell>
          <cell r="H478" t="str">
            <v>3043650877</v>
          </cell>
          <cell r="I478" t="str">
            <v>Tratamiento</v>
          </cell>
          <cell r="K478" t="str">
            <v>SI</v>
          </cell>
          <cell r="L478" t="str">
            <v>SI</v>
          </cell>
          <cell r="M478" t="e">
            <v>#REF!</v>
          </cell>
        </row>
        <row r="479">
          <cell r="A479">
            <v>32255448</v>
          </cell>
          <cell r="B479">
            <v>478</v>
          </cell>
          <cell r="C479" t="str">
            <v xml:space="preserve">Gloria Amparo </v>
          </cell>
          <cell r="D479" t="str">
            <v>Medellin</v>
          </cell>
          <cell r="E479" t="str">
            <v xml:space="preserve">Cerca a la casa del vivero de pinares de oriente </v>
          </cell>
          <cell r="F479" t="str">
            <v/>
          </cell>
          <cell r="G479" t="str">
            <v>3003285816</v>
          </cell>
          <cell r="H479" t="str">
            <v>3017660230</v>
          </cell>
          <cell r="I479" t="str">
            <v>Tratamiento</v>
          </cell>
          <cell r="K479" t="str">
            <v>SI</v>
          </cell>
          <cell r="L479" t="str">
            <v>SI</v>
          </cell>
          <cell r="M479" t="e">
            <v>#REF!</v>
          </cell>
        </row>
        <row r="480">
          <cell r="A480">
            <v>32258550</v>
          </cell>
          <cell r="B480">
            <v>479</v>
          </cell>
          <cell r="C480" t="str">
            <v xml:space="preserve">Omaira </v>
          </cell>
          <cell r="D480" t="str">
            <v>Medellin</v>
          </cell>
          <cell r="E480" t="str">
            <v>Carrera 4 este #55H 28</v>
          </cell>
          <cell r="F480" t="str">
            <v>De la iglesia sube por el filo, hasta casi el final de las escaleras</v>
          </cell>
          <cell r="G480" t="str">
            <v>3242386652</v>
          </cell>
          <cell r="H480" t="str">
            <v>3001213874</v>
          </cell>
          <cell r="I480" t="str">
            <v>Tratamiento</v>
          </cell>
          <cell r="J480"/>
          <cell r="K480" t="str">
            <v>SI</v>
          </cell>
          <cell r="L480" t="str">
            <v>SI</v>
          </cell>
          <cell r="M480" t="e">
            <v>#REF!</v>
          </cell>
          <cell r="N480"/>
        </row>
        <row r="481">
          <cell r="A481">
            <v>32358114</v>
          </cell>
          <cell r="B481">
            <v>480</v>
          </cell>
          <cell r="C481" t="str">
            <v>Yarledys tatiana correa</v>
          </cell>
          <cell r="D481" t="str">
            <v>Medellin</v>
          </cell>
          <cell r="E481" t="str">
            <v>Cerca de la escuela sol de oriente</v>
          </cell>
          <cell r="F481" t="str">
            <v/>
          </cell>
          <cell r="G481" t="str">
            <v>3145385591</v>
          </cell>
          <cell r="H481" t="str">
            <v>3245013133</v>
          </cell>
          <cell r="I481" t="str">
            <v>Tratamiento</v>
          </cell>
          <cell r="K481" t="str">
            <v>SI</v>
          </cell>
          <cell r="L481" t="str">
            <v>SI</v>
          </cell>
          <cell r="M481" t="e">
            <v>#REF!</v>
          </cell>
        </row>
        <row r="482">
          <cell r="A482">
            <v>32358159</v>
          </cell>
          <cell r="B482">
            <v>481</v>
          </cell>
          <cell r="C482" t="str">
            <v>Elena Rocio Torres Lozano</v>
          </cell>
          <cell r="D482" t="str">
            <v>Medellin</v>
          </cell>
          <cell r="E482" t="str">
            <v>Cerca al centro de salud sol de oriente</v>
          </cell>
          <cell r="F482" t="str">
            <v/>
          </cell>
          <cell r="G482" t="str">
            <v>3104456997</v>
          </cell>
          <cell r="H482" t="str">
            <v>3128196411</v>
          </cell>
          <cell r="I482" t="str">
            <v>Tratamiento</v>
          </cell>
          <cell r="K482" t="str">
            <v>SI</v>
          </cell>
          <cell r="L482" t="str">
            <v>SI</v>
          </cell>
          <cell r="M482" t="e">
            <v>#REF!</v>
          </cell>
        </row>
        <row r="483">
          <cell r="A483">
            <v>32409494</v>
          </cell>
          <cell r="B483">
            <v>482</v>
          </cell>
          <cell r="C483" t="str">
            <v>Celina</v>
          </cell>
          <cell r="D483" t="str">
            <v>Medellin</v>
          </cell>
          <cell r="E483" t="str">
            <v>Carrera 10 Este # 44 AA -60</v>
          </cell>
          <cell r="F483" t="str">
            <v>Las escalas después del cai viejo</v>
          </cell>
          <cell r="G483" t="str">
            <v>3147172622</v>
          </cell>
          <cell r="H483" t="str">
            <v>3225261660</v>
          </cell>
          <cell r="I483" t="str">
            <v>Tratamiento</v>
          </cell>
          <cell r="K483" t="str">
            <v>SI</v>
          </cell>
          <cell r="L483" t="str">
            <v>SI</v>
          </cell>
          <cell r="M483" t="e">
            <v>#REF!</v>
          </cell>
        </row>
        <row r="484">
          <cell r="A484">
            <v>32422939</v>
          </cell>
          <cell r="B484">
            <v>483</v>
          </cell>
          <cell r="C484" t="str">
            <v xml:space="preserve">Ana delfa </v>
          </cell>
          <cell r="D484" t="str">
            <v>Medellin</v>
          </cell>
          <cell r="E484" t="str">
            <v>Calle 4 este#53d 79 int 107</v>
          </cell>
          <cell r="F484" t="str">
            <v xml:space="preserve">Por el buen comienzo, bajan las escaleras y en el descanso a mano izquierda </v>
          </cell>
          <cell r="G484" t="str">
            <v>3245904146</v>
          </cell>
          <cell r="H484" t="str">
            <v>3137142964</v>
          </cell>
          <cell r="I484" t="str">
            <v>Tratamiento</v>
          </cell>
          <cell r="K484" t="str">
            <v>SI</v>
          </cell>
          <cell r="L484" t="str">
            <v>SI</v>
          </cell>
          <cell r="M484" t="e">
            <v>#REF!</v>
          </cell>
        </row>
        <row r="485">
          <cell r="A485">
            <v>32487899</v>
          </cell>
          <cell r="B485">
            <v>484</v>
          </cell>
          <cell r="C485" t="str">
            <v xml:space="preserve">Maria Amparo </v>
          </cell>
          <cell r="D485" t="str">
            <v>Medellin</v>
          </cell>
          <cell r="E485" t="str">
            <v>Calle 7A este # 54AA - 35</v>
          </cell>
          <cell r="F485" t="str">
            <v xml:space="preserve"> una cuadra y media arriba de la iglesia la sierra por la principal </v>
          </cell>
          <cell r="G485" t="str">
            <v>3044491916</v>
          </cell>
          <cell r="H485" t="str">
            <v>3004146161</v>
          </cell>
          <cell r="I485" t="str">
            <v>Tratamiento</v>
          </cell>
          <cell r="K485" t="str">
            <v>SI</v>
          </cell>
          <cell r="L485" t="str">
            <v>SI</v>
          </cell>
          <cell r="M485" t="e">
            <v>#REF!</v>
          </cell>
        </row>
        <row r="486">
          <cell r="A486">
            <v>32500696</v>
          </cell>
          <cell r="B486">
            <v>485</v>
          </cell>
          <cell r="C486" t="str">
            <v xml:space="preserve">Maria Teresa </v>
          </cell>
          <cell r="D486" t="str">
            <v>Medellin</v>
          </cell>
          <cell r="E486" t="str">
            <v>Carrera 9B este # 54B- 09</v>
          </cell>
          <cell r="F486" t="str">
            <v xml:space="preserve"> Erica al cai viejo</v>
          </cell>
          <cell r="G486" t="str">
            <v>3117738535</v>
          </cell>
          <cell r="H486" t="str">
            <v>3215478843</v>
          </cell>
          <cell r="I486" t="str">
            <v>Tratamiento</v>
          </cell>
          <cell r="K486" t="str">
            <v>SI</v>
          </cell>
          <cell r="L486" t="str">
            <v>SI</v>
          </cell>
          <cell r="M486" t="e">
            <v>#REF!</v>
          </cell>
        </row>
        <row r="487">
          <cell r="A487">
            <v>32519087</v>
          </cell>
          <cell r="B487">
            <v>486</v>
          </cell>
          <cell r="C487" t="str">
            <v>Aura Cely</v>
          </cell>
          <cell r="D487" t="str">
            <v>Medellin</v>
          </cell>
          <cell r="E487" t="str">
            <v>Carrera 3 este # 55H - 31</v>
          </cell>
          <cell r="F487" t="str">
            <v>Subiendo por las escalas villa sierra</v>
          </cell>
          <cell r="G487" t="str">
            <v>3005167459</v>
          </cell>
          <cell r="H487" t="str">
            <v>3007035951</v>
          </cell>
          <cell r="I487" t="str">
            <v>Tratamiento</v>
          </cell>
          <cell r="K487" t="str">
            <v>SI</v>
          </cell>
          <cell r="L487" t="str">
            <v>SI</v>
          </cell>
          <cell r="M487" t="e">
            <v>#REF!</v>
          </cell>
        </row>
        <row r="488">
          <cell r="A488">
            <v>32529962</v>
          </cell>
          <cell r="B488">
            <v>487</v>
          </cell>
          <cell r="C488" t="str">
            <v>Ana Felinda</v>
          </cell>
          <cell r="D488" t="str">
            <v>Medellin</v>
          </cell>
          <cell r="E488" t="str">
            <v>Cerca del depósito de benito</v>
          </cell>
          <cell r="F488" t="str">
            <v/>
          </cell>
          <cell r="G488" t="str">
            <v>3016113438</v>
          </cell>
          <cell r="H488" t="str">
            <v>3245139776</v>
          </cell>
          <cell r="I488" t="str">
            <v>Tratamiento</v>
          </cell>
          <cell r="K488" t="str">
            <v>SI</v>
          </cell>
          <cell r="L488" t="str">
            <v>SI</v>
          </cell>
          <cell r="M488" t="e">
            <v>#REF!</v>
          </cell>
        </row>
        <row r="489">
          <cell r="A489">
            <v>32531832</v>
          </cell>
          <cell r="B489">
            <v>488</v>
          </cell>
          <cell r="C489" t="str">
            <v>Bertha Alicia</v>
          </cell>
          <cell r="D489" t="str">
            <v>Medellin</v>
          </cell>
          <cell r="E489" t="str">
            <v>Cerca del vivero</v>
          </cell>
          <cell r="F489" t="str">
            <v/>
          </cell>
          <cell r="G489" t="str">
            <v>3103890088</v>
          </cell>
          <cell r="H489" t="str">
            <v>3053263832</v>
          </cell>
          <cell r="I489" t="str">
            <v>Tratamiento</v>
          </cell>
          <cell r="K489" t="str">
            <v>SI</v>
          </cell>
          <cell r="L489" t="str">
            <v>SI</v>
          </cell>
          <cell r="M489" t="e">
            <v>#REF!</v>
          </cell>
        </row>
        <row r="490">
          <cell r="A490">
            <v>32533675</v>
          </cell>
          <cell r="B490">
            <v>489</v>
          </cell>
          <cell r="C490" t="str">
            <v>Marleni del socorro</v>
          </cell>
          <cell r="D490" t="str">
            <v>Medellin</v>
          </cell>
          <cell r="E490" t="str">
            <v xml:space="preserve">Carrera 18#56EC-07
</v>
          </cell>
          <cell r="F490" t="str">
            <v>Cerca a la uva de sol de oriente esquina de abajo</v>
          </cell>
          <cell r="G490" t="str">
            <v>3122688017</v>
          </cell>
          <cell r="H490" t="str">
            <v>3122688017</v>
          </cell>
          <cell r="I490" t="str">
            <v>Tratamiento</v>
          </cell>
          <cell r="K490" t="str">
            <v>SI</v>
          </cell>
          <cell r="L490" t="str">
            <v>SI</v>
          </cell>
          <cell r="M490" t="e">
            <v>#REF!</v>
          </cell>
        </row>
        <row r="491">
          <cell r="A491">
            <v>32535369</v>
          </cell>
          <cell r="B491">
            <v>490</v>
          </cell>
          <cell r="C491" t="str">
            <v xml:space="preserve">Ana Lilia </v>
          </cell>
          <cell r="D491" t="str">
            <v>Medellin</v>
          </cell>
          <cell r="E491" t="str">
            <v>Calle 56ef 18A26</v>
          </cell>
          <cell r="F491" t="str">
            <v>Desd ela uva llegamos a los pasamanos azules</v>
          </cell>
          <cell r="G491" t="str">
            <v>604-5459426</v>
          </cell>
          <cell r="H491" t="str">
            <v>3195945965</v>
          </cell>
          <cell r="I491" t="str">
            <v>Tratamiento</v>
          </cell>
          <cell r="K491" t="str">
            <v>SI</v>
          </cell>
          <cell r="L491" t="str">
            <v>SI</v>
          </cell>
          <cell r="M491" t="e">
            <v>#REF!</v>
          </cell>
        </row>
        <row r="492">
          <cell r="A492">
            <v>33255246</v>
          </cell>
          <cell r="B492">
            <v>491</v>
          </cell>
          <cell r="C492" t="str">
            <v>Jerly Cristina</v>
          </cell>
          <cell r="D492" t="str">
            <v>Medellin</v>
          </cell>
          <cell r="E492" t="str">
            <v>Cerca a la casa vivero en pinares de oriente</v>
          </cell>
          <cell r="F492" t="str">
            <v/>
          </cell>
          <cell r="G492" t="str">
            <v>3053263832</v>
          </cell>
          <cell r="H492" t="str">
            <v>3053263832</v>
          </cell>
          <cell r="I492" t="str">
            <v>Tratamiento</v>
          </cell>
          <cell r="J492"/>
          <cell r="K492" t="str">
            <v>SI</v>
          </cell>
          <cell r="L492" t="str">
            <v>SI</v>
          </cell>
          <cell r="M492" t="e">
            <v>#REF!</v>
          </cell>
          <cell r="N492"/>
        </row>
        <row r="493">
          <cell r="A493">
            <v>3569578</v>
          </cell>
          <cell r="B493">
            <v>492</v>
          </cell>
          <cell r="C493" t="str">
            <v>Marcelino</v>
          </cell>
          <cell r="D493" t="str">
            <v>Medellin</v>
          </cell>
          <cell r="E493" t="str">
            <v>Calle 56 Ef #18a 44</v>
          </cell>
          <cell r="F493" t="str">
            <v>Por la uva en derecho por el pasamanos en las escaleras azules</v>
          </cell>
          <cell r="G493" t="str">
            <v>3116020778</v>
          </cell>
          <cell r="H493" t="str">
            <v>604 2270971</v>
          </cell>
          <cell r="I493" t="str">
            <v>Tratamiento</v>
          </cell>
          <cell r="J493" t="str">
            <v>Medellín</v>
          </cell>
          <cell r="K493" t="str">
            <v>SI</v>
          </cell>
          <cell r="L493" t="str">
            <v>SI</v>
          </cell>
          <cell r="M493" t="e">
            <v>#REF!</v>
          </cell>
        </row>
        <row r="494">
          <cell r="A494">
            <v>3575338</v>
          </cell>
          <cell r="B494">
            <v>493</v>
          </cell>
          <cell r="C494" t="str">
            <v xml:space="preserve">Luis Arturo </v>
          </cell>
          <cell r="D494" t="str">
            <v>Medellin</v>
          </cell>
          <cell r="E494" t="str">
            <v>Calle 55 G # 3 este - 73</v>
          </cell>
          <cell r="F494" t="str">
            <v>Cerca a la empresarial</v>
          </cell>
          <cell r="G494" t="str">
            <v>3147102838</v>
          </cell>
          <cell r="H494" t="str">
            <v>3014170597</v>
          </cell>
          <cell r="I494" t="str">
            <v>Tratamiento</v>
          </cell>
          <cell r="K494" t="str">
            <v>SI</v>
          </cell>
          <cell r="L494" t="str">
            <v>SI</v>
          </cell>
          <cell r="M494" t="e">
            <v>#REF!</v>
          </cell>
        </row>
        <row r="495">
          <cell r="A495">
            <v>39268214</v>
          </cell>
          <cell r="B495">
            <v>494</v>
          </cell>
          <cell r="C495" t="str">
            <v>Dora helena Cardona hernandez</v>
          </cell>
          <cell r="D495" t="str">
            <v>Medellin</v>
          </cell>
          <cell r="E495" t="str">
            <v>Cerca al centro de salud</v>
          </cell>
          <cell r="F495" t="str">
            <v/>
          </cell>
          <cell r="G495" t="str">
            <v>3005679167</v>
          </cell>
          <cell r="H495" t="str">
            <v>3013058447</v>
          </cell>
          <cell r="I495" t="str">
            <v>Tratamiento</v>
          </cell>
          <cell r="K495" t="str">
            <v>SI</v>
          </cell>
          <cell r="L495" t="str">
            <v>SI</v>
          </cell>
          <cell r="M495" t="e">
            <v>#REF!</v>
          </cell>
        </row>
        <row r="496">
          <cell r="A496">
            <v>39384513</v>
          </cell>
          <cell r="B496">
            <v>495</v>
          </cell>
          <cell r="C496" t="str">
            <v>Morelia de Jesus</v>
          </cell>
          <cell r="D496" t="str">
            <v>Medellin</v>
          </cell>
          <cell r="E496" t="str">
            <v>De la terminal de los buses suben por el parquecito y terminan de subir las escalas</v>
          </cell>
          <cell r="F496" t="str">
            <v/>
          </cell>
          <cell r="G496" t="str">
            <v>3016299448</v>
          </cell>
          <cell r="H496" t="str">
            <v>No tiene</v>
          </cell>
          <cell r="I496" t="str">
            <v>Tratamiento</v>
          </cell>
          <cell r="K496" t="str">
            <v>SI</v>
          </cell>
          <cell r="L496" t="str">
            <v>SI</v>
          </cell>
          <cell r="M496" t="e">
            <v>#REF!</v>
          </cell>
        </row>
        <row r="497">
          <cell r="A497">
            <v>41632550</v>
          </cell>
          <cell r="B497">
            <v>496</v>
          </cell>
          <cell r="C497" t="str">
            <v>Luz Marina</v>
          </cell>
          <cell r="D497" t="str">
            <v>Medellin</v>
          </cell>
          <cell r="E497" t="str">
            <v>Calle 65#18B 129</v>
          </cell>
          <cell r="F497" t="str">
            <v xml:space="preserve">En la y casa verde en la esquina </v>
          </cell>
          <cell r="G497" t="str">
            <v>6042543040</v>
          </cell>
          <cell r="H497" t="str">
            <v>3008366304</v>
          </cell>
          <cell r="I497" t="str">
            <v>Tratamiento</v>
          </cell>
          <cell r="K497" t="str">
            <v>SI</v>
          </cell>
          <cell r="L497" t="str">
            <v>SI</v>
          </cell>
          <cell r="M497" t="e">
            <v>#REF!</v>
          </cell>
        </row>
        <row r="498">
          <cell r="A498">
            <v>42128788</v>
          </cell>
          <cell r="B498">
            <v>497</v>
          </cell>
          <cell r="C498" t="str">
            <v>Luz Jhaneth</v>
          </cell>
          <cell r="D498" t="str">
            <v>Medellin</v>
          </cell>
          <cell r="E498" t="str">
            <v>Bajando toda la principal del empresarial, por la carretera nueva</v>
          </cell>
          <cell r="F498" t="str">
            <v/>
          </cell>
          <cell r="G498" t="str">
            <v>3183851737</v>
          </cell>
          <cell r="H498" t="str">
            <v>3103849196</v>
          </cell>
          <cell r="I498" t="str">
            <v>Tratamiento</v>
          </cell>
          <cell r="K498" t="str">
            <v>SI</v>
          </cell>
          <cell r="L498" t="str">
            <v>SI</v>
          </cell>
          <cell r="M498" t="e">
            <v>#REF!</v>
          </cell>
        </row>
        <row r="499">
          <cell r="A499">
            <v>42701708</v>
          </cell>
          <cell r="B499">
            <v>498</v>
          </cell>
          <cell r="C499" t="str">
            <v>Cruz berarda Morales Morales</v>
          </cell>
          <cell r="D499" t="str">
            <v>Medellin</v>
          </cell>
          <cell r="E499" t="str">
            <v>Frente al restaurante doña esther</v>
          </cell>
          <cell r="F499" t="str">
            <v/>
          </cell>
          <cell r="G499" t="str">
            <v>3117546919</v>
          </cell>
          <cell r="H499" t="str">
            <v>3025922154</v>
          </cell>
          <cell r="I499" t="str">
            <v>Tratamiento</v>
          </cell>
          <cell r="K499" t="str">
            <v>SI</v>
          </cell>
          <cell r="L499" t="str">
            <v>SI</v>
          </cell>
          <cell r="M499" t="e">
            <v>#REF!</v>
          </cell>
        </row>
        <row r="500">
          <cell r="A500">
            <v>42767896</v>
          </cell>
          <cell r="B500">
            <v>499</v>
          </cell>
          <cell r="C500" t="str">
            <v>María Consuelo parra ospina</v>
          </cell>
          <cell r="D500" t="str">
            <v>Medellin</v>
          </cell>
          <cell r="E500" t="str">
            <v xml:space="preserve"> L56 ex 18a02</v>
          </cell>
          <cell r="F500" t="str">
            <v>Cerca a ka uva sol de oriente</v>
          </cell>
          <cell r="G500" t="str">
            <v>3013825174</v>
          </cell>
          <cell r="H500" t="str">
            <v>3008925867</v>
          </cell>
          <cell r="I500" t="str">
            <v>Tratamiento</v>
          </cell>
          <cell r="K500" t="str">
            <v>SI</v>
          </cell>
          <cell r="L500" t="str">
            <v>SI</v>
          </cell>
          <cell r="M500" t="e">
            <v>#REF!</v>
          </cell>
        </row>
        <row r="501">
          <cell r="A501">
            <v>42772039</v>
          </cell>
          <cell r="B501">
            <v>500</v>
          </cell>
          <cell r="C501" t="str">
            <v>Argelis</v>
          </cell>
          <cell r="D501" t="str">
            <v>Medellin</v>
          </cell>
          <cell r="E501" t="str">
            <v>Carrera 9 Este #54B -76</v>
          </cell>
          <cell r="F501" t="str">
            <v>Bajando por el Caí nuevo la segunda tienda bajando por las escalas</v>
          </cell>
          <cell r="G501" t="str">
            <v>3023635132</v>
          </cell>
          <cell r="H501" t="str">
            <v>3014650764</v>
          </cell>
          <cell r="I501" t="str">
            <v>Tratamiento</v>
          </cell>
          <cell r="K501" t="str">
            <v>SI</v>
          </cell>
          <cell r="L501" t="str">
            <v>SI</v>
          </cell>
          <cell r="M501" t="e">
            <v>#REF!</v>
          </cell>
        </row>
        <row r="502">
          <cell r="A502">
            <v>42884497</v>
          </cell>
          <cell r="B502">
            <v>501</v>
          </cell>
          <cell r="C502" t="str">
            <v>Amparo de Jesús higuita echavarria</v>
          </cell>
          <cell r="D502" t="str">
            <v>Medellin</v>
          </cell>
          <cell r="E502" t="str">
            <v>Cerca acción comunal golondrinas</v>
          </cell>
          <cell r="F502" t="str">
            <v/>
          </cell>
          <cell r="G502" t="str">
            <v>3094457422</v>
          </cell>
          <cell r="H502" t="str">
            <v>4146528809</v>
          </cell>
          <cell r="I502" t="str">
            <v>Tratamiento</v>
          </cell>
          <cell r="K502" t="str">
            <v>SI</v>
          </cell>
          <cell r="L502" t="str">
            <v>SI</v>
          </cell>
          <cell r="M502" t="e">
            <v>#REF!</v>
          </cell>
        </row>
        <row r="503">
          <cell r="A503">
            <v>42973581</v>
          </cell>
          <cell r="B503">
            <v>502</v>
          </cell>
          <cell r="C503" t="str">
            <v xml:space="preserve">Luz Miriam </v>
          </cell>
          <cell r="D503" t="str">
            <v>Medellin</v>
          </cell>
          <cell r="E503" t="str">
            <v>Calle 54A # 4 este - 24</v>
          </cell>
          <cell r="F503" t="str">
            <v>Entrando por el empresarial</v>
          </cell>
          <cell r="G503" t="str">
            <v>3136522169</v>
          </cell>
          <cell r="H503" t="str">
            <v>3116793347</v>
          </cell>
          <cell r="I503" t="str">
            <v>Tratamiento</v>
          </cell>
          <cell r="K503" t="str">
            <v>SI</v>
          </cell>
          <cell r="L503" t="str">
            <v>SI</v>
          </cell>
          <cell r="M503" t="e">
            <v>#REF!</v>
          </cell>
        </row>
        <row r="504">
          <cell r="A504">
            <v>42977679</v>
          </cell>
          <cell r="B504">
            <v>503</v>
          </cell>
          <cell r="C504" t="str">
            <v xml:space="preserve">Jhoana Marcela </v>
          </cell>
          <cell r="D504" t="str">
            <v>Medellin</v>
          </cell>
          <cell r="E504" t="str">
            <v>Calle 55ha #7-28</v>
          </cell>
          <cell r="F504" t="str">
            <v xml:space="preserve">Desde el colegio Villa turbay y subir hasta alto bonito </v>
          </cell>
          <cell r="G504" t="str">
            <v>3003561290</v>
          </cell>
          <cell r="H504" t="str">
            <v xml:space="preserve">No dan información </v>
          </cell>
          <cell r="I504" t="str">
            <v>Tratamiento</v>
          </cell>
          <cell r="K504" t="str">
            <v>SI</v>
          </cell>
          <cell r="L504" t="str">
            <v>SI</v>
          </cell>
          <cell r="M504" t="e">
            <v>#REF!</v>
          </cell>
        </row>
        <row r="505">
          <cell r="A505">
            <v>42991676</v>
          </cell>
          <cell r="B505">
            <v>504</v>
          </cell>
          <cell r="C505" t="str">
            <v>Ángela Gloria</v>
          </cell>
          <cell r="D505" t="str">
            <v>Medellin</v>
          </cell>
          <cell r="E505" t="str">
            <v>Bajando las escaleras de la estación</v>
          </cell>
          <cell r="F505" t="str">
            <v/>
          </cell>
          <cell r="G505" t="str">
            <v>3128382959</v>
          </cell>
          <cell r="H505" t="str">
            <v>3148505104</v>
          </cell>
          <cell r="I505" t="str">
            <v>Tratamiento</v>
          </cell>
          <cell r="J505" t="str">
            <v>Medellín</v>
          </cell>
          <cell r="K505" t="str">
            <v>SI</v>
          </cell>
          <cell r="L505" t="str">
            <v>SI</v>
          </cell>
          <cell r="M505" t="e">
            <v>#REF!</v>
          </cell>
        </row>
        <row r="506">
          <cell r="A506">
            <v>42995862</v>
          </cell>
          <cell r="B506">
            <v>505</v>
          </cell>
          <cell r="C506" t="str">
            <v xml:space="preserve">Edilma de Jesús </v>
          </cell>
          <cell r="D506" t="str">
            <v>Medellin</v>
          </cell>
          <cell r="E506" t="str">
            <v>Carrera 8este #54e 62</v>
          </cell>
          <cell r="F506" t="str">
            <v xml:space="preserve">Por las escaleras nuevas </v>
          </cell>
          <cell r="G506" t="str">
            <v>3045646378</v>
          </cell>
          <cell r="H506" t="str">
            <v>3217797888</v>
          </cell>
          <cell r="I506" t="str">
            <v>Tratamiento</v>
          </cell>
          <cell r="J506"/>
          <cell r="K506" t="str">
            <v>SI</v>
          </cell>
          <cell r="L506" t="str">
            <v>SI</v>
          </cell>
          <cell r="M506" t="e">
            <v>#REF!</v>
          </cell>
          <cell r="N506"/>
        </row>
        <row r="507">
          <cell r="A507">
            <v>43034542</v>
          </cell>
          <cell r="B507">
            <v>506</v>
          </cell>
          <cell r="C507" t="str">
            <v>Manuel José montaya muñoz</v>
          </cell>
          <cell r="D507" t="str">
            <v>Medellin</v>
          </cell>
          <cell r="E507" t="str">
            <v>Cerca al barrio sucre</v>
          </cell>
          <cell r="F507" t="str">
            <v/>
          </cell>
          <cell r="G507" t="str">
            <v>3104395734</v>
          </cell>
          <cell r="H507" t="str">
            <v>3006735539</v>
          </cell>
          <cell r="I507" t="str">
            <v>Tratamiento</v>
          </cell>
          <cell r="K507" t="str">
            <v>SI</v>
          </cell>
          <cell r="L507" t="str">
            <v>SI</v>
          </cell>
          <cell r="M507" t="e">
            <v>#REF!</v>
          </cell>
        </row>
        <row r="508">
          <cell r="A508">
            <v>43057779</v>
          </cell>
          <cell r="B508">
            <v>507</v>
          </cell>
          <cell r="C508" t="str">
            <v xml:space="preserve">Luz Marina del socorro </v>
          </cell>
          <cell r="D508" t="str">
            <v>Medellin</v>
          </cell>
          <cell r="E508" t="str">
            <v>Carrera 17 A #56H 08 cede comunal</v>
          </cell>
          <cell r="F508" t="str">
            <v/>
          </cell>
          <cell r="G508" t="str">
            <v xml:space="preserve">  3013355682</v>
          </cell>
          <cell r="H508" t="str">
            <v>3023413732</v>
          </cell>
          <cell r="I508" t="str">
            <v>Tratamiento</v>
          </cell>
          <cell r="K508" t="str">
            <v>SI</v>
          </cell>
          <cell r="L508" t="str">
            <v>SI</v>
          </cell>
          <cell r="M508" t="e">
            <v>#REF!</v>
          </cell>
        </row>
        <row r="509">
          <cell r="A509">
            <v>43062092</v>
          </cell>
          <cell r="B509">
            <v>508</v>
          </cell>
          <cell r="C509" t="str">
            <v>María sobeiba Martínez marin</v>
          </cell>
          <cell r="D509" t="str">
            <v>Medellin</v>
          </cell>
          <cell r="E509" t="str">
            <v>Cerca del supermercado la rramada</v>
          </cell>
          <cell r="F509" t="str">
            <v/>
          </cell>
          <cell r="G509" t="str">
            <v>3054202076</v>
          </cell>
          <cell r="H509" t="str">
            <v>3014435725</v>
          </cell>
          <cell r="I509" t="str">
            <v>Tratamiento</v>
          </cell>
          <cell r="K509" t="str">
            <v>SI</v>
          </cell>
          <cell r="L509" t="str">
            <v>SI</v>
          </cell>
          <cell r="M509" t="e">
            <v>#REF!</v>
          </cell>
        </row>
        <row r="510">
          <cell r="A510">
            <v>43066859</v>
          </cell>
          <cell r="B510">
            <v>509</v>
          </cell>
          <cell r="C510" t="str">
            <v>María Araceli</v>
          </cell>
          <cell r="D510" t="str">
            <v>Medellin</v>
          </cell>
          <cell r="E510" t="str">
            <v>Carrera  8 este #54aa 05</v>
          </cell>
          <cell r="F510" t="str">
            <v xml:space="preserve">Por donde era el teléfono público, en lo último de las escalas </v>
          </cell>
          <cell r="G510" t="str">
            <v>3217509031</v>
          </cell>
          <cell r="H510" t="str">
            <v>3053818415</v>
          </cell>
          <cell r="I510" t="str">
            <v>Tratamiento</v>
          </cell>
          <cell r="K510" t="str">
            <v>SI</v>
          </cell>
          <cell r="L510" t="str">
            <v>SI</v>
          </cell>
          <cell r="M510" t="e">
            <v>#REF!</v>
          </cell>
        </row>
        <row r="511">
          <cell r="A511">
            <v>43069093</v>
          </cell>
          <cell r="B511">
            <v>510</v>
          </cell>
          <cell r="C511" t="str">
            <v xml:space="preserve">Maria Alba Luz </v>
          </cell>
          <cell r="D511" t="str">
            <v>Medellin</v>
          </cell>
          <cell r="E511" t="str">
            <v>Carrera 4 este # 55 HH - 12</v>
          </cell>
          <cell r="F511" t="str">
            <v>Subiendo por las escalas de la iglesia la sierra</v>
          </cell>
          <cell r="G511" t="str">
            <v>3148190476</v>
          </cell>
          <cell r="H511" t="str">
            <v>3113417622</v>
          </cell>
          <cell r="I511" t="str">
            <v>Tratamiento</v>
          </cell>
          <cell r="K511" t="str">
            <v>SI</v>
          </cell>
          <cell r="L511" t="str">
            <v>SI</v>
          </cell>
          <cell r="M511" t="e">
            <v>#REF!</v>
          </cell>
        </row>
        <row r="512">
          <cell r="A512">
            <v>43070884</v>
          </cell>
          <cell r="B512">
            <v>511</v>
          </cell>
          <cell r="C512" t="str">
            <v>María Dolores</v>
          </cell>
          <cell r="D512" t="str">
            <v>Medellin</v>
          </cell>
          <cell r="E512" t="str">
            <v>Calle 56EF #18A-19</v>
          </cell>
          <cell r="F512" t="str">
            <v>Llegamos a la uva seguimos derecho luego llegamos a los pasamanos y bajamos hasta media cuadra</v>
          </cell>
          <cell r="G512" t="str">
            <v>3013981557</v>
          </cell>
          <cell r="H512" t="str">
            <v xml:space="preserve">No dan información </v>
          </cell>
          <cell r="I512" t="str">
            <v>Tratamiento</v>
          </cell>
          <cell r="K512" t="str">
            <v>SI</v>
          </cell>
          <cell r="L512" t="str">
            <v>SI</v>
          </cell>
          <cell r="M512" t="e">
            <v>#REF!</v>
          </cell>
        </row>
        <row r="513">
          <cell r="A513">
            <v>43075851</v>
          </cell>
          <cell r="B513">
            <v>512</v>
          </cell>
          <cell r="C513" t="str">
            <v>Ofelia</v>
          </cell>
          <cell r="D513" t="str">
            <v>Medellin</v>
          </cell>
          <cell r="E513" t="str">
            <v>La panadería el faro</v>
          </cell>
          <cell r="F513" t="str">
            <v/>
          </cell>
          <cell r="G513" t="str">
            <v>3143907111</v>
          </cell>
          <cell r="H513" t="str">
            <v>3143907111</v>
          </cell>
          <cell r="I513" t="str">
            <v>Tratamiento</v>
          </cell>
          <cell r="K513" t="str">
            <v>SI</v>
          </cell>
          <cell r="L513" t="str">
            <v>SI</v>
          </cell>
          <cell r="M513" t="e">
            <v>#REF!</v>
          </cell>
        </row>
        <row r="514">
          <cell r="A514">
            <v>43085637</v>
          </cell>
          <cell r="B514">
            <v>513</v>
          </cell>
          <cell r="C514" t="str">
            <v>María Ninfa Higuita</v>
          </cell>
          <cell r="D514" t="str">
            <v>Medellin</v>
          </cell>
          <cell r="E514" t="str">
            <v>Cerca al centro de salud</v>
          </cell>
          <cell r="F514" t="str">
            <v/>
          </cell>
          <cell r="G514" t="str">
            <v>3105101236</v>
          </cell>
          <cell r="H514" t="str">
            <v>3217961603</v>
          </cell>
          <cell r="I514" t="str">
            <v>Tratamiento</v>
          </cell>
          <cell r="K514" t="str">
            <v>SI</v>
          </cell>
          <cell r="L514" t="str">
            <v>SI</v>
          </cell>
          <cell r="M514" t="e">
            <v>#REF!</v>
          </cell>
        </row>
        <row r="515">
          <cell r="A515">
            <v>43100739</v>
          </cell>
          <cell r="B515">
            <v>514</v>
          </cell>
          <cell r="C515" t="str">
            <v>Dasney Maria</v>
          </cell>
          <cell r="D515" t="str">
            <v>Medellin</v>
          </cell>
          <cell r="E515" t="str">
            <v>Cl 56 EG # 18a - 31 piso 2</v>
          </cell>
          <cell r="F515" t="str">
            <v>Cerca de la uva sol de oriente</v>
          </cell>
          <cell r="G515" t="str">
            <v>3197532950</v>
          </cell>
          <cell r="H515" t="str">
            <v>3242528283</v>
          </cell>
          <cell r="I515" t="str">
            <v>Tratamiento</v>
          </cell>
          <cell r="K515" t="str">
            <v>SI</v>
          </cell>
          <cell r="L515" t="str">
            <v>SI</v>
          </cell>
          <cell r="M515" t="e">
            <v>#REF!</v>
          </cell>
        </row>
        <row r="516">
          <cell r="A516">
            <v>43101586</v>
          </cell>
          <cell r="B516">
            <v>515</v>
          </cell>
          <cell r="C516" t="str">
            <v>Elizabeth del Socorro</v>
          </cell>
          <cell r="D516" t="str">
            <v>Medellin</v>
          </cell>
          <cell r="E516" t="str">
            <v>Por la carretera nueva, a mano derecha de las escaleras con puentes amarillos</v>
          </cell>
          <cell r="F516" t="str">
            <v/>
          </cell>
          <cell r="G516" t="str">
            <v>3244998602</v>
          </cell>
          <cell r="H516" t="str">
            <v>3245456887</v>
          </cell>
          <cell r="I516" t="str">
            <v>Tratamiento</v>
          </cell>
          <cell r="K516" t="str">
            <v>SI</v>
          </cell>
          <cell r="L516" t="str">
            <v>SI</v>
          </cell>
          <cell r="M516" t="e">
            <v>#REF!</v>
          </cell>
        </row>
        <row r="517">
          <cell r="A517">
            <v>43141643</v>
          </cell>
          <cell r="B517">
            <v>516</v>
          </cell>
          <cell r="C517" t="str">
            <v xml:space="preserve">Argel María </v>
          </cell>
          <cell r="D517" t="str">
            <v>Medellin</v>
          </cell>
          <cell r="E517" t="str">
            <v>Calle 64#17-38 int 102</v>
          </cell>
          <cell r="F517" t="str">
            <v>Abajo del parquesito</v>
          </cell>
          <cell r="G517" t="str">
            <v>3136539769</v>
          </cell>
          <cell r="H517" t="str">
            <v>3147484290</v>
          </cell>
          <cell r="I517" t="str">
            <v>Tratamiento</v>
          </cell>
          <cell r="K517" t="str">
            <v>SI</v>
          </cell>
          <cell r="L517" t="str">
            <v>SI</v>
          </cell>
          <cell r="M517" t="e">
            <v>#REF!</v>
          </cell>
        </row>
        <row r="518">
          <cell r="A518">
            <v>43150064</v>
          </cell>
          <cell r="B518">
            <v>517</v>
          </cell>
          <cell r="C518" t="str">
            <v>Luz margod Montoya mesa</v>
          </cell>
          <cell r="D518" t="str">
            <v>Medellin</v>
          </cell>
          <cell r="E518" t="str">
            <v>CL 56ed 18a20</v>
          </cell>
          <cell r="F518" t="str">
            <v>Cerca a la uva sol de oriente</v>
          </cell>
          <cell r="G518" t="str">
            <v>4146654292</v>
          </cell>
          <cell r="H518" t="str">
            <v>3017931942</v>
          </cell>
          <cell r="I518" t="str">
            <v>Tratamiento</v>
          </cell>
          <cell r="K518" t="str">
            <v>SI</v>
          </cell>
          <cell r="L518" t="str">
            <v>SI</v>
          </cell>
          <cell r="M518" t="e">
            <v>#REF!</v>
          </cell>
        </row>
        <row r="519">
          <cell r="A519">
            <v>43152836</v>
          </cell>
          <cell r="B519">
            <v>518</v>
          </cell>
          <cell r="C519" t="str">
            <v>Maria Dilbia</v>
          </cell>
          <cell r="D519" t="str">
            <v>Medellin</v>
          </cell>
          <cell r="E519" t="str">
            <v>Carrera 7 este # 54 AA - 51</v>
          </cell>
          <cell r="F519" t="str">
            <v>Cerca a la panadería de la sierra</v>
          </cell>
          <cell r="G519" t="str">
            <v>313649657</v>
          </cell>
          <cell r="H519" t="str">
            <v>3118771759</v>
          </cell>
          <cell r="I519" t="str">
            <v>Tratamiento</v>
          </cell>
          <cell r="K519" t="str">
            <v>SI</v>
          </cell>
          <cell r="L519" t="str">
            <v>SI</v>
          </cell>
          <cell r="M519" t="e">
            <v>#REF!</v>
          </cell>
        </row>
        <row r="520">
          <cell r="A520">
            <v>43203228</v>
          </cell>
          <cell r="B520">
            <v>519</v>
          </cell>
          <cell r="C520" t="str">
            <v>Victoria Eugenia</v>
          </cell>
          <cell r="D520" t="str">
            <v>Medellin</v>
          </cell>
          <cell r="E520" t="str">
            <v>Carrera 8 Este #54B-55</v>
          </cell>
          <cell r="F520" t="str">
            <v>Bajando derecho por el Caí escalas nuevas</v>
          </cell>
          <cell r="G520" t="str">
            <v>3188798802</v>
          </cell>
          <cell r="H520" t="str">
            <v>3043839443</v>
          </cell>
          <cell r="I520" t="str">
            <v>Tratamiento</v>
          </cell>
          <cell r="K520" t="str">
            <v>SI</v>
          </cell>
          <cell r="L520" t="str">
            <v>SI</v>
          </cell>
          <cell r="M520" t="e">
            <v>#REF!</v>
          </cell>
        </row>
        <row r="521">
          <cell r="A521">
            <v>43251278</v>
          </cell>
          <cell r="B521">
            <v>520</v>
          </cell>
          <cell r="C521" t="str">
            <v>Rosa Delfa</v>
          </cell>
          <cell r="D521" t="str">
            <v>Medellin</v>
          </cell>
          <cell r="E521" t="str">
            <v>Carrera 18 A # 56 EC - 21</v>
          </cell>
          <cell r="F521" t="str">
            <v>Cerca a la uva sol de oriente</v>
          </cell>
          <cell r="G521" t="str">
            <v>3105952558</v>
          </cell>
          <cell r="H521" t="str">
            <v>3105952558</v>
          </cell>
          <cell r="I521" t="str">
            <v>Tratamiento</v>
          </cell>
          <cell r="K521" t="str">
            <v>SI</v>
          </cell>
          <cell r="L521" t="str">
            <v>SI</v>
          </cell>
          <cell r="M521" t="e">
            <v>#REF!</v>
          </cell>
        </row>
        <row r="522">
          <cell r="A522">
            <v>43259030</v>
          </cell>
          <cell r="B522">
            <v>521</v>
          </cell>
          <cell r="C522" t="str">
            <v>María Noelia</v>
          </cell>
          <cell r="D522" t="str">
            <v>Medellin</v>
          </cell>
          <cell r="E522" t="str">
            <v>Calle 56EF #18A 20</v>
          </cell>
          <cell r="F522" t="str">
            <v>Uva sol de oriente</v>
          </cell>
          <cell r="G522" t="str">
            <v>3014024378</v>
          </cell>
          <cell r="H522" t="str">
            <v>3014024378</v>
          </cell>
          <cell r="I522" t="str">
            <v>Tratamiento</v>
          </cell>
          <cell r="J522" t="str">
            <v>Medellín</v>
          </cell>
          <cell r="K522" t="str">
            <v>SI</v>
          </cell>
          <cell r="L522" t="str">
            <v>SI</v>
          </cell>
          <cell r="M522" t="e">
            <v>#REF!</v>
          </cell>
        </row>
        <row r="523">
          <cell r="A523">
            <v>43268570</v>
          </cell>
          <cell r="B523">
            <v>522</v>
          </cell>
          <cell r="C523" t="str">
            <v>Viviana Edith</v>
          </cell>
          <cell r="D523" t="str">
            <v>Medellin</v>
          </cell>
          <cell r="E523" t="str">
            <v>Carrera 5A # 55H - 86</v>
          </cell>
          <cell r="F523" t="str">
            <v>Entrando a mano izquierda por la iglesia la sierra</v>
          </cell>
          <cell r="G523" t="str">
            <v>3124753105</v>
          </cell>
          <cell r="H523" t="str">
            <v>3113049917</v>
          </cell>
          <cell r="I523" t="str">
            <v>Tratamiento</v>
          </cell>
          <cell r="J523"/>
          <cell r="K523" t="str">
            <v>SI</v>
          </cell>
          <cell r="L523" t="str">
            <v>SI</v>
          </cell>
          <cell r="M523" t="e">
            <v>#REF!</v>
          </cell>
          <cell r="N523"/>
        </row>
        <row r="524">
          <cell r="A524">
            <v>43269156</v>
          </cell>
          <cell r="B524">
            <v>523</v>
          </cell>
          <cell r="C524" t="str">
            <v>Isabel</v>
          </cell>
          <cell r="D524" t="str">
            <v>Medellin</v>
          </cell>
          <cell r="E524" t="str">
            <v>Cr 18a 56e C 42</v>
          </cell>
          <cell r="F524" t="str">
            <v>Al lado de la uva sol de oriente</v>
          </cell>
          <cell r="G524" t="str">
            <v>3006337305</v>
          </cell>
          <cell r="H524" t="str">
            <v>3238048817</v>
          </cell>
          <cell r="I524" t="str">
            <v>Tratamiento</v>
          </cell>
          <cell r="K524" t="str">
            <v>SI</v>
          </cell>
          <cell r="L524" t="str">
            <v>SI</v>
          </cell>
          <cell r="M524" t="e">
            <v>#REF!</v>
          </cell>
        </row>
        <row r="525">
          <cell r="A525">
            <v>43275340</v>
          </cell>
          <cell r="B525">
            <v>524</v>
          </cell>
          <cell r="C525" t="str">
            <v>María Nelly</v>
          </cell>
          <cell r="D525" t="str">
            <v>Medellin</v>
          </cell>
          <cell r="E525" t="str">
            <v>Al lado de la uva sol de oriente</v>
          </cell>
          <cell r="F525" t="str">
            <v/>
          </cell>
          <cell r="G525" t="str">
            <v>3135067134</v>
          </cell>
          <cell r="H525" t="str">
            <v>3043532651</v>
          </cell>
          <cell r="I525" t="str">
            <v>Tratamiento</v>
          </cell>
          <cell r="K525" t="str">
            <v>SI</v>
          </cell>
          <cell r="M525" t="e">
            <v>#REF!</v>
          </cell>
        </row>
        <row r="526">
          <cell r="A526">
            <v>43279706</v>
          </cell>
          <cell r="B526">
            <v>525</v>
          </cell>
          <cell r="C526" t="str">
            <v>Astrid elena vallejo</v>
          </cell>
          <cell r="D526" t="str">
            <v>Medellin</v>
          </cell>
          <cell r="E526" t="str">
            <v>Abajo de la estacion</v>
          </cell>
          <cell r="F526" t="str">
            <v/>
          </cell>
          <cell r="G526" t="str">
            <v>3148505101</v>
          </cell>
          <cell r="H526" t="str">
            <v>3015153708</v>
          </cell>
          <cell r="I526" t="str">
            <v>Tratamiento</v>
          </cell>
          <cell r="K526" t="str">
            <v>SI</v>
          </cell>
          <cell r="L526" t="str">
            <v>SI</v>
          </cell>
          <cell r="M526" t="e">
            <v>#REF!</v>
          </cell>
        </row>
        <row r="527">
          <cell r="A527">
            <v>43286202</v>
          </cell>
          <cell r="B527">
            <v>526</v>
          </cell>
          <cell r="C527" t="str">
            <v xml:space="preserve">Luzeida del Socorro </v>
          </cell>
          <cell r="D527" t="str">
            <v>Medellin</v>
          </cell>
          <cell r="E527" t="str">
            <v>Llega a la finquita, por una loma tiene que bajar toda la falda completa</v>
          </cell>
          <cell r="F527" t="str">
            <v/>
          </cell>
          <cell r="G527" t="str">
            <v>3203679092</v>
          </cell>
          <cell r="H527" t="str">
            <v xml:space="preserve">No dan información </v>
          </cell>
          <cell r="I527" t="str">
            <v>Tratamiento</v>
          </cell>
          <cell r="K527" t="str">
            <v>SI</v>
          </cell>
          <cell r="L527" t="str">
            <v>SI</v>
          </cell>
          <cell r="M527" t="e">
            <v>#REF!</v>
          </cell>
        </row>
        <row r="528">
          <cell r="A528">
            <v>43380042</v>
          </cell>
          <cell r="B528">
            <v>527</v>
          </cell>
          <cell r="C528" t="str">
            <v xml:space="preserve">Graciela </v>
          </cell>
          <cell r="D528" t="str">
            <v>Medellin</v>
          </cell>
          <cell r="E528" t="str">
            <v>Carrera 17 B #56EE int 141 cerca de Isabel</v>
          </cell>
          <cell r="F528" t="str">
            <v/>
          </cell>
          <cell r="G528" t="str">
            <v>3146007349</v>
          </cell>
          <cell r="H528" t="str">
            <v>3146492065</v>
          </cell>
          <cell r="I528" t="str">
            <v>Tratamiento</v>
          </cell>
          <cell r="K528" t="str">
            <v>SI</v>
          </cell>
          <cell r="L528" t="str">
            <v>SI</v>
          </cell>
          <cell r="M528" t="e">
            <v>#REF!</v>
          </cell>
        </row>
        <row r="529">
          <cell r="A529">
            <v>43380718</v>
          </cell>
          <cell r="B529">
            <v>528</v>
          </cell>
          <cell r="C529" t="str">
            <v>Maria Rosalba</v>
          </cell>
          <cell r="D529" t="str">
            <v>Medellin</v>
          </cell>
          <cell r="E529" t="str">
            <v>Cerca al parque el pacifico</v>
          </cell>
          <cell r="F529" t="str">
            <v/>
          </cell>
          <cell r="G529" t="str">
            <v>3008093366</v>
          </cell>
          <cell r="H529" t="str">
            <v>3154149210</v>
          </cell>
          <cell r="I529" t="str">
            <v>Tratamiento</v>
          </cell>
          <cell r="K529" t="str">
            <v>SI</v>
          </cell>
          <cell r="L529" t="str">
            <v>SI</v>
          </cell>
          <cell r="M529" t="e">
            <v>#REF!</v>
          </cell>
        </row>
        <row r="530">
          <cell r="A530">
            <v>43381458</v>
          </cell>
          <cell r="B530">
            <v>529</v>
          </cell>
          <cell r="C530" t="str">
            <v>Miriam</v>
          </cell>
          <cell r="D530" t="str">
            <v>Medellin</v>
          </cell>
          <cell r="E530" t="str">
            <v>Al frente del parque pinares de oriente</v>
          </cell>
          <cell r="F530" t="str">
            <v/>
          </cell>
          <cell r="G530" t="str">
            <v>3147722415</v>
          </cell>
          <cell r="H530" t="str">
            <v>3226419307</v>
          </cell>
          <cell r="I530" t="str">
            <v>Tratamiento</v>
          </cell>
          <cell r="K530" t="str">
            <v>SI</v>
          </cell>
          <cell r="L530" t="str">
            <v>SI</v>
          </cell>
          <cell r="M530" t="e">
            <v>#REF!</v>
          </cell>
        </row>
        <row r="531">
          <cell r="A531">
            <v>43381830</v>
          </cell>
          <cell r="B531">
            <v>530</v>
          </cell>
          <cell r="C531" t="str">
            <v>Luz dari</v>
          </cell>
          <cell r="D531" t="str">
            <v>Medellin</v>
          </cell>
          <cell r="E531" t="str">
            <v xml:space="preserve">Llegan por los buses, y suben toda la loma en una casa de un 2 piso </v>
          </cell>
          <cell r="F531" t="str">
            <v/>
          </cell>
          <cell r="G531" t="str">
            <v>3113805999</v>
          </cell>
          <cell r="H531" t="str">
            <v>3218495695</v>
          </cell>
          <cell r="I531" t="str">
            <v>Tratamiento</v>
          </cell>
          <cell r="K531" t="str">
            <v>SI</v>
          </cell>
          <cell r="L531" t="str">
            <v>SI</v>
          </cell>
          <cell r="M531" t="e">
            <v>#REF!</v>
          </cell>
        </row>
        <row r="532">
          <cell r="A532">
            <v>43382433</v>
          </cell>
          <cell r="B532">
            <v>531</v>
          </cell>
          <cell r="C532" t="str">
            <v>Rocio Orozco Munoz</v>
          </cell>
          <cell r="D532" t="str">
            <v>Medellin</v>
          </cell>
          <cell r="E532" t="str">
            <v>Cerca al centro de salud</v>
          </cell>
          <cell r="F532" t="str">
            <v/>
          </cell>
          <cell r="G532" t="str">
            <v>3234583840</v>
          </cell>
          <cell r="H532" t="str">
            <v>3011100344</v>
          </cell>
          <cell r="I532" t="str">
            <v>Tratamiento</v>
          </cell>
          <cell r="K532" t="str">
            <v>SI</v>
          </cell>
          <cell r="L532" t="str">
            <v>SI</v>
          </cell>
          <cell r="M532" t="e">
            <v>#REF!</v>
          </cell>
        </row>
        <row r="533">
          <cell r="A533">
            <v>43441449</v>
          </cell>
          <cell r="B533">
            <v>532</v>
          </cell>
          <cell r="C533" t="str">
            <v>Luz Mirian Del Socorro Mesa Tamayo</v>
          </cell>
          <cell r="D533" t="str">
            <v>Medellin</v>
          </cell>
          <cell r="E533" t="str">
            <v>Cerca al colegio sol de oriente</v>
          </cell>
          <cell r="F533" t="str">
            <v/>
          </cell>
          <cell r="G533" t="str">
            <v>3122824575</v>
          </cell>
          <cell r="H533" t="str">
            <v>3117292722</v>
          </cell>
          <cell r="I533" t="str">
            <v>Tratamiento</v>
          </cell>
          <cell r="K533" t="str">
            <v>SI</v>
          </cell>
          <cell r="L533" t="str">
            <v>SI</v>
          </cell>
          <cell r="M533" t="e">
            <v>#REF!</v>
          </cell>
        </row>
        <row r="534">
          <cell r="A534">
            <v>43485410</v>
          </cell>
          <cell r="B534">
            <v>533</v>
          </cell>
          <cell r="C534" t="str">
            <v>Ester Marina</v>
          </cell>
          <cell r="D534" t="str">
            <v>Medellin</v>
          </cell>
          <cell r="E534" t="str">
            <v>Carrera 17.ª #56h08 int 1125</v>
          </cell>
          <cell r="F534" t="str">
            <v>Haciendo una u desde la junta de acción comunal</v>
          </cell>
          <cell r="G534" t="str">
            <v>3008709624</v>
          </cell>
          <cell r="H534" t="str">
            <v>3023389428 numero del nieto</v>
          </cell>
          <cell r="I534" t="str">
            <v>Tratamiento</v>
          </cell>
          <cell r="K534" t="str">
            <v>SI</v>
          </cell>
          <cell r="L534" t="str">
            <v>SI</v>
          </cell>
          <cell r="M534" t="e">
            <v>#REF!</v>
          </cell>
        </row>
        <row r="535">
          <cell r="A535">
            <v>43489779</v>
          </cell>
          <cell r="B535">
            <v>534</v>
          </cell>
          <cell r="C535" t="str">
            <v>Isabel</v>
          </cell>
          <cell r="D535" t="str">
            <v>Medellin</v>
          </cell>
          <cell r="E535" t="str">
            <v>Cerca de metrosalud sol de oriente</v>
          </cell>
          <cell r="F535" t="str">
            <v/>
          </cell>
          <cell r="G535" t="str">
            <v>3136731346</v>
          </cell>
          <cell r="H535" t="str">
            <v>3234046304</v>
          </cell>
          <cell r="I535" t="str">
            <v>Tratamiento</v>
          </cell>
          <cell r="K535" t="str">
            <v>SI</v>
          </cell>
          <cell r="L535" t="str">
            <v>SI</v>
          </cell>
          <cell r="M535" t="e">
            <v>#REF!</v>
          </cell>
        </row>
        <row r="536">
          <cell r="A536">
            <v>43533488</v>
          </cell>
          <cell r="B536">
            <v>535</v>
          </cell>
          <cell r="C536" t="str">
            <v>María nubia</v>
          </cell>
          <cell r="D536" t="str">
            <v>Medellin</v>
          </cell>
          <cell r="E536" t="str">
            <v>Terminando de bajar todas las escaleras de la estación Villa sierra, en una casa tipo finca</v>
          </cell>
          <cell r="F536" t="str">
            <v/>
          </cell>
          <cell r="G536" t="str">
            <v>3234052820</v>
          </cell>
          <cell r="H536" t="str">
            <v>3125900777</v>
          </cell>
          <cell r="I536" t="str">
            <v>Tratamiento</v>
          </cell>
          <cell r="K536" t="str">
            <v>SI</v>
          </cell>
          <cell r="L536" t="str">
            <v>SI</v>
          </cell>
          <cell r="M536" t="e">
            <v>#REF!</v>
          </cell>
        </row>
        <row r="537">
          <cell r="A537">
            <v>43535348</v>
          </cell>
          <cell r="B537">
            <v>536</v>
          </cell>
          <cell r="C537" t="str">
            <v>Monica María</v>
          </cell>
          <cell r="D537" t="str">
            <v>Medellin</v>
          </cell>
          <cell r="E537" t="str">
            <v>Está abajo de la sierra en el sector las mirlas</v>
          </cell>
          <cell r="F537" t="str">
            <v/>
          </cell>
          <cell r="G537" t="str">
            <v>3024221927</v>
          </cell>
          <cell r="H537" t="str">
            <v>3004106448</v>
          </cell>
          <cell r="I537" t="str">
            <v>Tratamiento</v>
          </cell>
          <cell r="K537" t="str">
            <v>SI</v>
          </cell>
          <cell r="L537" t="str">
            <v>SI</v>
          </cell>
          <cell r="M537" t="e">
            <v>#REF!</v>
          </cell>
        </row>
        <row r="538">
          <cell r="A538">
            <v>43542284</v>
          </cell>
          <cell r="B538">
            <v>537</v>
          </cell>
          <cell r="C538" t="str">
            <v>Alba Inés</v>
          </cell>
          <cell r="D538" t="str">
            <v>Medellin</v>
          </cell>
          <cell r="E538" t="str">
            <v>Cr 18a 56ec 28</v>
          </cell>
          <cell r="F538" t="str">
            <v>Abajo de la uva por las barandas azules</v>
          </cell>
          <cell r="G538" t="str">
            <v>3242123054</v>
          </cell>
          <cell r="H538" t="str">
            <v>3022646683</v>
          </cell>
          <cell r="I538" t="str">
            <v>Tratamiento</v>
          </cell>
          <cell r="K538" t="str">
            <v>SI</v>
          </cell>
          <cell r="L538" t="str">
            <v>SI</v>
          </cell>
          <cell r="M538" t="e">
            <v>#REF!</v>
          </cell>
        </row>
        <row r="539">
          <cell r="A539">
            <v>43566435</v>
          </cell>
          <cell r="B539">
            <v>538</v>
          </cell>
          <cell r="C539" t="str">
            <v xml:space="preserve">Gildardo Antonio </v>
          </cell>
          <cell r="D539" t="str">
            <v>Medellin</v>
          </cell>
          <cell r="E539" t="str">
            <v>Carrera 5 este # 54B -73</v>
          </cell>
          <cell r="F539" t="str">
            <v>Cerca a la iglesia la sierra</v>
          </cell>
          <cell r="G539" t="str">
            <v>3127815257</v>
          </cell>
          <cell r="H539" t="str">
            <v>3104030497</v>
          </cell>
          <cell r="I539" t="str">
            <v>Tratamiento</v>
          </cell>
          <cell r="K539" t="str">
            <v>SI</v>
          </cell>
          <cell r="L539" t="str">
            <v>SI</v>
          </cell>
          <cell r="M539" t="e">
            <v>#REF!</v>
          </cell>
        </row>
        <row r="540">
          <cell r="A540">
            <v>43567075</v>
          </cell>
          <cell r="B540">
            <v>539</v>
          </cell>
          <cell r="C540" t="str">
            <v>Etergiria del Socorro</v>
          </cell>
          <cell r="D540" t="str">
            <v>Medellin</v>
          </cell>
          <cell r="E540" t="str">
            <v>El despachador de los carros blancos de cootransvi</v>
          </cell>
          <cell r="F540" t="str">
            <v/>
          </cell>
          <cell r="G540" t="str">
            <v>3053642789</v>
          </cell>
          <cell r="H540" t="str">
            <v>3127686916</v>
          </cell>
          <cell r="I540" t="str">
            <v>Tratamiento</v>
          </cell>
          <cell r="K540" t="str">
            <v>SI</v>
          </cell>
          <cell r="L540" t="str">
            <v>SI</v>
          </cell>
          <cell r="M540" t="e">
            <v>#REF!</v>
          </cell>
        </row>
        <row r="541">
          <cell r="A541">
            <v>43570005</v>
          </cell>
          <cell r="B541">
            <v>540</v>
          </cell>
          <cell r="C541" t="str">
            <v>María del rosario</v>
          </cell>
          <cell r="D541" t="str">
            <v>Medellin</v>
          </cell>
          <cell r="E541" t="str">
            <v>La calle nueva, bajando del colegio</v>
          </cell>
          <cell r="F541" t="str">
            <v/>
          </cell>
          <cell r="G541" t="str">
            <v>3135793369</v>
          </cell>
          <cell r="H541" t="str">
            <v xml:space="preserve">No dan información </v>
          </cell>
          <cell r="I541" t="str">
            <v>Tratamiento</v>
          </cell>
          <cell r="K541" t="str">
            <v>SI</v>
          </cell>
          <cell r="L541" t="str">
            <v>SI</v>
          </cell>
          <cell r="M541" t="e">
            <v>#REF!</v>
          </cell>
        </row>
        <row r="542">
          <cell r="A542">
            <v>43582831</v>
          </cell>
          <cell r="B542">
            <v>541</v>
          </cell>
          <cell r="C542" t="str">
            <v>Luz ella</v>
          </cell>
          <cell r="D542" t="str">
            <v>Medellin</v>
          </cell>
          <cell r="E542" t="str">
            <v>Cl 62 18b61</v>
          </cell>
          <cell r="F542" t="str">
            <v>Mosdiria la 63 el plan de moncada</v>
          </cell>
          <cell r="G542" t="str">
            <v>3215401934</v>
          </cell>
          <cell r="H542" t="str">
            <v>3015004266</v>
          </cell>
          <cell r="I542" t="str">
            <v>Tratamiento</v>
          </cell>
          <cell r="J542" t="str">
            <v>Medellín</v>
          </cell>
          <cell r="K542" t="str">
            <v>SI</v>
          </cell>
          <cell r="L542" t="str">
            <v>SI</v>
          </cell>
          <cell r="M542" t="e">
            <v>#REF!</v>
          </cell>
        </row>
        <row r="543">
          <cell r="A543">
            <v>43594778</v>
          </cell>
          <cell r="B543">
            <v>542</v>
          </cell>
          <cell r="C543" t="str">
            <v>Luz Marina buitrago</v>
          </cell>
          <cell r="D543" t="str">
            <v>Medellin</v>
          </cell>
          <cell r="E543" t="str">
            <v>Cerca a la estación la sierra</v>
          </cell>
          <cell r="F543" t="str">
            <v/>
          </cell>
          <cell r="G543" t="str">
            <v>3006193298</v>
          </cell>
          <cell r="H543" t="str">
            <v>3107015042</v>
          </cell>
          <cell r="I543" t="str">
            <v>Tratamiento</v>
          </cell>
          <cell r="K543" t="str">
            <v>SI</v>
          </cell>
          <cell r="L543" t="str">
            <v>SI</v>
          </cell>
          <cell r="M543" t="e">
            <v>#REF!</v>
          </cell>
        </row>
        <row r="544">
          <cell r="A544">
            <v>43597042</v>
          </cell>
          <cell r="B544">
            <v>543</v>
          </cell>
          <cell r="C544" t="str">
            <v>Claudia  Solena</v>
          </cell>
          <cell r="D544" t="str">
            <v>Medellin</v>
          </cell>
          <cell r="E544" t="str">
            <v>Cerca de la terminal cootransvi</v>
          </cell>
          <cell r="F544" t="str">
            <v/>
          </cell>
          <cell r="G544" t="str">
            <v>3015619184</v>
          </cell>
          <cell r="H544" t="str">
            <v>3136004373</v>
          </cell>
          <cell r="I544" t="str">
            <v>Tratamiento</v>
          </cell>
          <cell r="K544" t="str">
            <v>SI</v>
          </cell>
          <cell r="L544" t="str">
            <v>SI</v>
          </cell>
          <cell r="M544" t="e">
            <v>#REF!</v>
          </cell>
        </row>
        <row r="545">
          <cell r="A545">
            <v>43600211</v>
          </cell>
          <cell r="B545">
            <v>544</v>
          </cell>
          <cell r="C545" t="str">
            <v>Margo Borja Echavarria</v>
          </cell>
          <cell r="D545" t="str">
            <v>Medellin</v>
          </cell>
          <cell r="E545" t="str">
            <v>Cerca al parque tinajas</v>
          </cell>
          <cell r="F545" t="str">
            <v/>
          </cell>
          <cell r="G545" t="str">
            <v>3013836356</v>
          </cell>
          <cell r="H545" t="str">
            <v>3232727629</v>
          </cell>
          <cell r="I545" t="str">
            <v>Tratamiento</v>
          </cell>
          <cell r="K545" t="str">
            <v>SI</v>
          </cell>
          <cell r="L545" t="str">
            <v>SI</v>
          </cell>
          <cell r="M545" t="e">
            <v>#REF!</v>
          </cell>
        </row>
        <row r="546">
          <cell r="A546">
            <v>43600567</v>
          </cell>
          <cell r="B546">
            <v>545</v>
          </cell>
          <cell r="C546" t="str">
            <v xml:space="preserve">María Emilce </v>
          </cell>
          <cell r="D546" t="str">
            <v>Medellin</v>
          </cell>
          <cell r="E546" t="str">
            <v>La terminal de buses de las perlas en una casa de dos pisos</v>
          </cell>
          <cell r="F546" t="str">
            <v/>
          </cell>
          <cell r="G546" t="str">
            <v>3205723372</v>
          </cell>
          <cell r="H546" t="str">
            <v>30237778393</v>
          </cell>
          <cell r="I546" t="str">
            <v>Tratamiento</v>
          </cell>
          <cell r="K546" t="str">
            <v>SI</v>
          </cell>
          <cell r="L546" t="str">
            <v>SI</v>
          </cell>
          <cell r="M546" t="e">
            <v>#REF!</v>
          </cell>
        </row>
        <row r="547">
          <cell r="A547">
            <v>43604079</v>
          </cell>
          <cell r="B547">
            <v>546</v>
          </cell>
          <cell r="C547" t="str">
            <v>Gustavo de jesus</v>
          </cell>
          <cell r="D547" t="str">
            <v>Medellin</v>
          </cell>
          <cell r="E547" t="str">
            <v>Carrera 8A # 54aa -40</v>
          </cell>
          <cell r="F547" t="str">
            <v>Cerca al cai viejo</v>
          </cell>
          <cell r="G547" t="str">
            <v>3113288230</v>
          </cell>
          <cell r="H547" t="str">
            <v>3045515651</v>
          </cell>
          <cell r="I547" t="str">
            <v>Tratamiento</v>
          </cell>
          <cell r="K547" t="str">
            <v>SI</v>
          </cell>
          <cell r="M547" t="e">
            <v>#REF!</v>
          </cell>
        </row>
        <row r="548">
          <cell r="A548">
            <v>43605902</v>
          </cell>
          <cell r="B548">
            <v>547</v>
          </cell>
          <cell r="C548" t="str">
            <v xml:space="preserve">Ana del Carmen </v>
          </cell>
          <cell r="D548" t="str">
            <v>Medellin</v>
          </cell>
          <cell r="E548" t="str">
            <v>Llega a la sede social por la terminal de buses y sube todas las escaleras</v>
          </cell>
          <cell r="F548" t="str">
            <v/>
          </cell>
          <cell r="G548" t="str">
            <v>3006421187</v>
          </cell>
          <cell r="H548" t="str">
            <v>3002817408</v>
          </cell>
          <cell r="I548" t="str">
            <v>Tratamiento</v>
          </cell>
          <cell r="J548" t="str">
            <v>Medellín</v>
          </cell>
          <cell r="K548" t="str">
            <v>SI</v>
          </cell>
          <cell r="L548" t="str">
            <v>SI</v>
          </cell>
          <cell r="M548" t="e">
            <v>#REF!</v>
          </cell>
        </row>
        <row r="549">
          <cell r="A549">
            <v>43607068</v>
          </cell>
          <cell r="B549">
            <v>548</v>
          </cell>
          <cell r="C549" t="str">
            <v xml:space="preserve">Susana </v>
          </cell>
          <cell r="D549" t="str">
            <v>Medellin</v>
          </cell>
          <cell r="E549" t="str">
            <v>Carrera 9B Este #54B 52</v>
          </cell>
          <cell r="F549" t="str">
            <v xml:space="preserve">Llega a la tienda de los pachitos en la sierra, de ahí sube por las escalas hasta el final una casa amarilla </v>
          </cell>
          <cell r="G549" t="str">
            <v>3122148395</v>
          </cell>
          <cell r="H549" t="str">
            <v>3188070971</v>
          </cell>
          <cell r="I549" t="str">
            <v>Tratamiento</v>
          </cell>
          <cell r="K549" t="str">
            <v>SI</v>
          </cell>
          <cell r="L549" t="str">
            <v>SI</v>
          </cell>
          <cell r="M549" t="e">
            <v>#REF!</v>
          </cell>
        </row>
        <row r="550">
          <cell r="A550">
            <v>43611767</v>
          </cell>
          <cell r="B550">
            <v>549</v>
          </cell>
          <cell r="C550" t="str">
            <v>Blanca nubia Muñoz Garcia</v>
          </cell>
          <cell r="D550" t="str">
            <v>Medellin</v>
          </cell>
          <cell r="E550" t="str">
            <v>CL 56ed 18a36</v>
          </cell>
          <cell r="F550" t="str">
            <v>Cerca a la uva sol de oriente</v>
          </cell>
          <cell r="G550" t="str">
            <v>3114644465</v>
          </cell>
          <cell r="H550" t="str">
            <v>3215445517</v>
          </cell>
          <cell r="I550" t="str">
            <v>Tratamiento</v>
          </cell>
          <cell r="K550" t="str">
            <v>SI</v>
          </cell>
          <cell r="L550" t="str">
            <v>SI</v>
          </cell>
          <cell r="M550" t="e">
            <v>#REF!</v>
          </cell>
        </row>
        <row r="551">
          <cell r="A551">
            <v>43613777</v>
          </cell>
          <cell r="B551">
            <v>550</v>
          </cell>
          <cell r="C551" t="str">
            <v xml:space="preserve">Diana María </v>
          </cell>
          <cell r="D551" t="str">
            <v>Medellin</v>
          </cell>
          <cell r="E551" t="str">
            <v>Calle 54AA #7este28</v>
          </cell>
          <cell r="F551" t="str">
            <v xml:space="preserve">Por el divino niño en la casa de la esquina </v>
          </cell>
          <cell r="G551" t="str">
            <v>3226219093</v>
          </cell>
          <cell r="H551" t="str">
            <v xml:space="preserve">No dan información </v>
          </cell>
          <cell r="I551" t="str">
            <v>Tratamiento</v>
          </cell>
          <cell r="K551" t="str">
            <v>SI</v>
          </cell>
          <cell r="L551" t="str">
            <v>SI</v>
          </cell>
          <cell r="M551" t="e">
            <v>#REF!</v>
          </cell>
        </row>
        <row r="552">
          <cell r="A552">
            <v>43615569</v>
          </cell>
          <cell r="B552">
            <v>551</v>
          </cell>
          <cell r="C552" t="str">
            <v>Jorge enrrique corre zerna</v>
          </cell>
          <cell r="D552" t="str">
            <v>Medellin</v>
          </cell>
          <cell r="E552" t="str">
            <v>Cerca de la terminal de buses cotrasvi</v>
          </cell>
          <cell r="F552" t="str">
            <v/>
          </cell>
          <cell r="G552" t="str">
            <v>3148499831</v>
          </cell>
          <cell r="H552" t="str">
            <v>3246336792</v>
          </cell>
          <cell r="I552" t="str">
            <v>Tratamiento</v>
          </cell>
          <cell r="K552" t="str">
            <v>SI</v>
          </cell>
          <cell r="L552" t="str">
            <v>SI</v>
          </cell>
          <cell r="M552" t="e">
            <v>#REF!</v>
          </cell>
        </row>
        <row r="553">
          <cell r="A553">
            <v>43634284</v>
          </cell>
          <cell r="B553">
            <v>552</v>
          </cell>
          <cell r="C553" t="str">
            <v xml:space="preserve">Astrid Yuveine </v>
          </cell>
          <cell r="D553" t="str">
            <v>Medellin</v>
          </cell>
          <cell r="E553" t="str">
            <v>Carrera 4 este #53D63</v>
          </cell>
          <cell r="F553" t="str">
            <v xml:space="preserve">Por la guardería por la parte de atrás las escaleras al final e el plan a mano derecha </v>
          </cell>
          <cell r="G553" t="str">
            <v>3005350432</v>
          </cell>
          <cell r="H553" t="str">
            <v xml:space="preserve">No dan información </v>
          </cell>
          <cell r="I553" t="str">
            <v>Tratamiento</v>
          </cell>
          <cell r="K553" t="str">
            <v>SI</v>
          </cell>
          <cell r="L553" t="str">
            <v>SI</v>
          </cell>
          <cell r="M553" t="e">
            <v>#REF!</v>
          </cell>
        </row>
        <row r="554">
          <cell r="A554">
            <v>43639779</v>
          </cell>
          <cell r="B554">
            <v>553</v>
          </cell>
          <cell r="C554" t="str">
            <v>Jhon Mario</v>
          </cell>
          <cell r="D554" t="str">
            <v>Medellin</v>
          </cell>
          <cell r="E554" t="str">
            <v>Colegio San Francisco de Asís panadería Peter pan</v>
          </cell>
          <cell r="F554" t="str">
            <v/>
          </cell>
          <cell r="G554" t="str">
            <v>3016925203</v>
          </cell>
          <cell r="H554" t="str">
            <v>3004208996</v>
          </cell>
          <cell r="I554" t="str">
            <v>Tratamiento</v>
          </cell>
          <cell r="J554" t="str">
            <v>Medellín</v>
          </cell>
          <cell r="K554" t="str">
            <v>SI</v>
          </cell>
          <cell r="L554" t="str">
            <v>SI</v>
          </cell>
          <cell r="M554" t="e">
            <v>#REF!</v>
          </cell>
        </row>
        <row r="555">
          <cell r="A555">
            <v>43640603</v>
          </cell>
          <cell r="B555">
            <v>554</v>
          </cell>
          <cell r="C555" t="str">
            <v>Lidis del carmen</v>
          </cell>
          <cell r="D555" t="str">
            <v>Medellin</v>
          </cell>
          <cell r="E555" t="str">
            <v>Calle54 aa#7 este 28</v>
          </cell>
          <cell r="F555" t="str">
            <v xml:space="preserve">De la panadería hacia abajo </v>
          </cell>
          <cell r="G555" t="str">
            <v>3217196323</v>
          </cell>
          <cell r="H555" t="str">
            <v xml:space="preserve">No dan información </v>
          </cell>
          <cell r="I555" t="str">
            <v>Tratamiento</v>
          </cell>
          <cell r="J555" t="str">
            <v>Medellín</v>
          </cell>
          <cell r="K555" t="str">
            <v>SI</v>
          </cell>
          <cell r="L555" t="str">
            <v>SI</v>
          </cell>
          <cell r="M555" t="e">
            <v>#REF!</v>
          </cell>
        </row>
        <row r="556">
          <cell r="A556">
            <v>43681503</v>
          </cell>
          <cell r="B556">
            <v>555</v>
          </cell>
          <cell r="C556" t="str">
            <v>Maria Estrella del Socorro</v>
          </cell>
          <cell r="D556" t="str">
            <v>Medellin</v>
          </cell>
          <cell r="E556" t="str">
            <v>Cerca a la droguería servifarm</v>
          </cell>
          <cell r="F556" t="str">
            <v/>
          </cell>
          <cell r="G556" t="str">
            <v>3138759750</v>
          </cell>
          <cell r="H556" t="str">
            <v>3147123570</v>
          </cell>
          <cell r="I556" t="str">
            <v>Tratamiento</v>
          </cell>
          <cell r="J556" t="str">
            <v>Medellín</v>
          </cell>
          <cell r="K556" t="str">
            <v>SI</v>
          </cell>
          <cell r="L556" t="str">
            <v>SI</v>
          </cell>
          <cell r="M556" t="e">
            <v>#REF!</v>
          </cell>
        </row>
        <row r="557">
          <cell r="A557">
            <v>43750015</v>
          </cell>
          <cell r="B557">
            <v>556</v>
          </cell>
          <cell r="C557" t="str">
            <v>Marleny de Jesús</v>
          </cell>
          <cell r="D557" t="str">
            <v>Medellin</v>
          </cell>
          <cell r="E557" t="str">
            <v>Calle 54 AA # 7A este -33 interior 103</v>
          </cell>
          <cell r="F557" t="str">
            <v>Cerca al divino niño</v>
          </cell>
          <cell r="G557" t="str">
            <v>3105981851</v>
          </cell>
          <cell r="H557" t="str">
            <v>3127586212</v>
          </cell>
          <cell r="I557" t="str">
            <v>Tratamiento</v>
          </cell>
          <cell r="K557" t="str">
            <v>SI</v>
          </cell>
          <cell r="L557" t="str">
            <v>SI</v>
          </cell>
          <cell r="M557" t="e">
            <v>#REF!</v>
          </cell>
        </row>
        <row r="558">
          <cell r="A558">
            <v>43752818</v>
          </cell>
          <cell r="B558">
            <v>557</v>
          </cell>
          <cell r="C558" t="str">
            <v>María Yolanda</v>
          </cell>
          <cell r="D558" t="str">
            <v>Medellin</v>
          </cell>
          <cell r="E558" t="str">
            <v>Calle 54AA #7A Este 52 Int 104</v>
          </cell>
          <cell r="F558" t="str">
            <v>Sector Divino niño</v>
          </cell>
          <cell r="G558" t="str">
            <v>3207588252</v>
          </cell>
          <cell r="H558" t="str">
            <v>3207588252</v>
          </cell>
          <cell r="I558" t="str">
            <v>Tratamiento</v>
          </cell>
          <cell r="J558" t="str">
            <v>Medellín</v>
          </cell>
          <cell r="K558" t="str">
            <v>SI</v>
          </cell>
          <cell r="L558" t="str">
            <v>SI</v>
          </cell>
          <cell r="M558" t="e">
            <v>#REF!</v>
          </cell>
        </row>
        <row r="559">
          <cell r="A559">
            <v>43755833</v>
          </cell>
          <cell r="B559">
            <v>558</v>
          </cell>
          <cell r="C559" t="str">
            <v>Lidia María</v>
          </cell>
          <cell r="D559" t="str">
            <v>Medellin</v>
          </cell>
          <cell r="E559" t="str">
            <v>Cerca de la uva sol de oriente</v>
          </cell>
          <cell r="F559" t="str">
            <v/>
          </cell>
          <cell r="G559" t="str">
            <v>3225791147</v>
          </cell>
          <cell r="H559" t="str">
            <v>3012038358</v>
          </cell>
          <cell r="I559" t="str">
            <v>Tratamiento</v>
          </cell>
          <cell r="K559" t="str">
            <v>SI</v>
          </cell>
          <cell r="L559" t="str">
            <v>SI</v>
          </cell>
          <cell r="M559" t="e">
            <v>#REF!</v>
          </cell>
        </row>
        <row r="560">
          <cell r="A560">
            <v>43905793</v>
          </cell>
          <cell r="B560">
            <v>559</v>
          </cell>
          <cell r="C560" t="str">
            <v xml:space="preserve">Diana María </v>
          </cell>
          <cell r="D560" t="str">
            <v>Medellin</v>
          </cell>
          <cell r="E560" t="str">
            <v>Llegan a la panadería y luego bajan por las barandas amarillas hasta u poste por ese a la izquierda entran hasta el fondo</v>
          </cell>
          <cell r="F560" t="str">
            <v/>
          </cell>
          <cell r="G560" t="str">
            <v>3014922437</v>
          </cell>
          <cell r="H560" t="str">
            <v>3127995758</v>
          </cell>
          <cell r="I560" t="str">
            <v>Tratamiento</v>
          </cell>
          <cell r="K560" t="str">
            <v>SI</v>
          </cell>
          <cell r="L560" t="str">
            <v>SI</v>
          </cell>
          <cell r="M560" t="e">
            <v>#REF!</v>
          </cell>
        </row>
        <row r="561">
          <cell r="A561">
            <v>43973029</v>
          </cell>
          <cell r="B561">
            <v>560</v>
          </cell>
          <cell r="C561" t="str">
            <v>Viviana maria</v>
          </cell>
          <cell r="D561" t="str">
            <v>Medellin</v>
          </cell>
          <cell r="E561" t="str">
            <v>CR17 C  56eg 5</v>
          </cell>
          <cell r="F561" t="str">
            <v>Cerca a la uva sol de oriente</v>
          </cell>
          <cell r="G561" t="str">
            <v>3215806448</v>
          </cell>
          <cell r="H561" t="str">
            <v>3243654183</v>
          </cell>
          <cell r="I561" t="str">
            <v>Tratamiento</v>
          </cell>
          <cell r="K561" t="str">
            <v>SI</v>
          </cell>
          <cell r="L561" t="str">
            <v>SI</v>
          </cell>
          <cell r="M561" t="e">
            <v>#REF!</v>
          </cell>
        </row>
        <row r="562">
          <cell r="A562">
            <v>44003061</v>
          </cell>
          <cell r="B562">
            <v>561</v>
          </cell>
          <cell r="C562" t="str">
            <v>Viviana del Carmen</v>
          </cell>
          <cell r="D562" t="str">
            <v>Medellin</v>
          </cell>
          <cell r="E562" t="str">
            <v>Cl 56 EG # 18A -33</v>
          </cell>
          <cell r="F562" t="str">
            <v>Cerca la uva sol de oriente</v>
          </cell>
          <cell r="G562" t="str">
            <v>3022932777</v>
          </cell>
          <cell r="H562" t="str">
            <v>3244023456</v>
          </cell>
          <cell r="I562" t="str">
            <v>Tratamiento</v>
          </cell>
          <cell r="K562" t="str">
            <v>SI</v>
          </cell>
          <cell r="L562" t="str">
            <v>SI</v>
          </cell>
          <cell r="M562" t="e">
            <v>#REF!</v>
          </cell>
        </row>
        <row r="563">
          <cell r="A563">
            <v>49670234</v>
          </cell>
          <cell r="B563">
            <v>562</v>
          </cell>
          <cell r="C563" t="str">
            <v xml:space="preserve">Ruth Bibiana </v>
          </cell>
          <cell r="D563" t="str">
            <v>Medellin</v>
          </cell>
          <cell r="E563" t="str">
            <v xml:space="preserve">Por a panadería baja y donde terminan los pasamanos amarillos a la izquierda por un sendero </v>
          </cell>
          <cell r="F563" t="str">
            <v/>
          </cell>
          <cell r="G563" t="str">
            <v>3007561062</v>
          </cell>
          <cell r="H563" t="str">
            <v xml:space="preserve">No dan información </v>
          </cell>
          <cell r="I563" t="str">
            <v>Tratamiento</v>
          </cell>
          <cell r="J563"/>
          <cell r="K563" t="str">
            <v>SI</v>
          </cell>
          <cell r="L563" t="str">
            <v>SI</v>
          </cell>
          <cell r="M563" t="e">
            <v>#REF!</v>
          </cell>
          <cell r="N563"/>
        </row>
        <row r="564">
          <cell r="A564">
            <v>49691954</v>
          </cell>
          <cell r="B564">
            <v>563</v>
          </cell>
          <cell r="C564" t="str">
            <v xml:space="preserve">Judy Mercedes </v>
          </cell>
          <cell r="D564" t="str">
            <v>Medellin</v>
          </cell>
          <cell r="E564" t="str">
            <v>Sol de oriente subiendo por el parquesito</v>
          </cell>
          <cell r="F564" t="str">
            <v/>
          </cell>
          <cell r="G564" t="str">
            <v>3012820604</v>
          </cell>
          <cell r="H564" t="str">
            <v>3046624453</v>
          </cell>
          <cell r="I564" t="str">
            <v>Tratamiento</v>
          </cell>
          <cell r="K564" t="str">
            <v>SI</v>
          </cell>
          <cell r="L564" t="str">
            <v>SI</v>
          </cell>
          <cell r="M564" t="e">
            <v>#REF!</v>
          </cell>
        </row>
        <row r="565">
          <cell r="A565">
            <v>50947411</v>
          </cell>
          <cell r="B565">
            <v>564</v>
          </cell>
          <cell r="C565" t="str">
            <v>Armando Antonio</v>
          </cell>
          <cell r="D565" t="str">
            <v>Medellin</v>
          </cell>
          <cell r="E565" t="str">
            <v>Por la carretera principal, en la segunda entrada, por la loma</v>
          </cell>
          <cell r="F565" t="str">
            <v/>
          </cell>
          <cell r="G565" t="str">
            <v>3122202276</v>
          </cell>
          <cell r="H565" t="str">
            <v xml:space="preserve">No dan información </v>
          </cell>
          <cell r="I565" t="str">
            <v>Tratamiento</v>
          </cell>
          <cell r="K565" t="str">
            <v>SI</v>
          </cell>
          <cell r="L565" t="str">
            <v>SI</v>
          </cell>
          <cell r="M565" t="e">
            <v>#REF!</v>
          </cell>
        </row>
        <row r="566">
          <cell r="A566">
            <v>670254</v>
          </cell>
          <cell r="B566">
            <v>565</v>
          </cell>
          <cell r="C566" t="str">
            <v xml:space="preserve">Francisco Eliseo </v>
          </cell>
          <cell r="D566" t="str">
            <v>Medellin</v>
          </cell>
          <cell r="E566" t="str">
            <v>Carrera 7 # 55 AG - 151</v>
          </cell>
          <cell r="F566" t="str">
            <v xml:space="preserve">Cerca a la cancha alto bonito </v>
          </cell>
          <cell r="G566" t="str">
            <v>3218152431</v>
          </cell>
          <cell r="H566" t="str">
            <v>3215574904</v>
          </cell>
          <cell r="I566" t="str">
            <v>Tratamiento</v>
          </cell>
          <cell r="K566" t="str">
            <v>SI</v>
          </cell>
          <cell r="L566" t="str">
            <v>SI</v>
          </cell>
          <cell r="M566" t="e">
            <v>#REF!</v>
          </cell>
        </row>
        <row r="567">
          <cell r="A567">
            <v>70432281</v>
          </cell>
          <cell r="B567">
            <v>566</v>
          </cell>
          <cell r="C567" t="str">
            <v xml:space="preserve">Walter Antonio </v>
          </cell>
          <cell r="D567" t="str">
            <v>Medellin</v>
          </cell>
          <cell r="E567" t="str">
            <v>Carrera 5A # 56AA -95</v>
          </cell>
          <cell r="F567" t="str">
            <v>Cerca al ecoparque</v>
          </cell>
          <cell r="G567" t="str">
            <v>3134731878</v>
          </cell>
          <cell r="H567" t="str">
            <v>3025678623</v>
          </cell>
          <cell r="I567" t="str">
            <v>Tratamiento</v>
          </cell>
          <cell r="K567" t="str">
            <v>SI</v>
          </cell>
          <cell r="L567" t="str">
            <v>SI</v>
          </cell>
          <cell r="M567" t="e">
            <v>#REF!</v>
          </cell>
        </row>
        <row r="568">
          <cell r="A568">
            <v>70540124</v>
          </cell>
          <cell r="B568">
            <v>567</v>
          </cell>
          <cell r="C568" t="str">
            <v xml:space="preserve">Lucas </v>
          </cell>
          <cell r="D568" t="str">
            <v>Medellin</v>
          </cell>
          <cell r="E568" t="str">
            <v>Cerca a la acción comunal sede el pacifico</v>
          </cell>
          <cell r="F568" t="str">
            <v/>
          </cell>
          <cell r="G568" t="str">
            <v>3015017213</v>
          </cell>
          <cell r="H568" t="str">
            <v>3104954477</v>
          </cell>
          <cell r="I568" t="str">
            <v>Tratamiento</v>
          </cell>
          <cell r="J568"/>
          <cell r="K568" t="str">
            <v>SI</v>
          </cell>
          <cell r="L568" t="str">
            <v>SI</v>
          </cell>
          <cell r="M568" t="e">
            <v>#REF!</v>
          </cell>
          <cell r="N568"/>
        </row>
        <row r="569">
          <cell r="A569">
            <v>70663173</v>
          </cell>
          <cell r="B569">
            <v>568</v>
          </cell>
          <cell r="C569" t="str">
            <v xml:space="preserve">Rodrigo Andrés </v>
          </cell>
          <cell r="D569" t="str">
            <v>Medellin</v>
          </cell>
          <cell r="E569" t="str">
            <v>Suben por el parquecito derecho, todas las escaleras</v>
          </cell>
          <cell r="F569" t="str">
            <v/>
          </cell>
          <cell r="G569" t="str">
            <v>3042456421</v>
          </cell>
          <cell r="H569" t="str">
            <v xml:space="preserve">No dan información </v>
          </cell>
          <cell r="I569" t="str">
            <v>Tratamiento</v>
          </cell>
          <cell r="J569"/>
          <cell r="K569" t="str">
            <v>SI</v>
          </cell>
          <cell r="L569" t="str">
            <v>SI</v>
          </cell>
          <cell r="M569" t="e">
            <v>#REF!</v>
          </cell>
          <cell r="N569"/>
        </row>
        <row r="570">
          <cell r="A570">
            <v>70721342</v>
          </cell>
          <cell r="B570">
            <v>569</v>
          </cell>
          <cell r="C570" t="str">
            <v>Juan de Jesus</v>
          </cell>
          <cell r="D570" t="str">
            <v>Medellin</v>
          </cell>
          <cell r="E570" t="str">
            <v xml:space="preserve">Cerca al parque de pinares de oriente </v>
          </cell>
          <cell r="F570" t="str">
            <v/>
          </cell>
          <cell r="G570" t="str">
            <v>3013326380</v>
          </cell>
          <cell r="H570" t="str">
            <v>3013326380</v>
          </cell>
          <cell r="I570" t="str">
            <v>Tratamiento</v>
          </cell>
          <cell r="J570" t="str">
            <v>Medellín</v>
          </cell>
          <cell r="K570" t="str">
            <v>SI</v>
          </cell>
          <cell r="L570" t="str">
            <v>SI</v>
          </cell>
          <cell r="M570" t="e">
            <v>#REF!</v>
          </cell>
          <cell r="N570"/>
        </row>
        <row r="571">
          <cell r="A571">
            <v>71276975</v>
          </cell>
          <cell r="B571">
            <v>570</v>
          </cell>
          <cell r="C571" t="str">
            <v>Andrés Mauricio Vasquez</v>
          </cell>
          <cell r="D571" t="str">
            <v>Medellin</v>
          </cell>
          <cell r="E571" t="str">
            <v>Cerca de la acción comunal villa tina</v>
          </cell>
          <cell r="F571" t="str">
            <v/>
          </cell>
          <cell r="G571" t="str">
            <v>3023471694</v>
          </cell>
          <cell r="H571" t="str">
            <v>3107728424</v>
          </cell>
          <cell r="I571" t="str">
            <v>Tratamiento</v>
          </cell>
          <cell r="K571" t="str">
            <v>SI</v>
          </cell>
          <cell r="L571" t="str">
            <v>SI</v>
          </cell>
          <cell r="M571" t="e">
            <v>#REF!</v>
          </cell>
        </row>
        <row r="572">
          <cell r="A572">
            <v>71314870</v>
          </cell>
          <cell r="B572">
            <v>571</v>
          </cell>
          <cell r="C572" t="str">
            <v xml:space="preserve">Carlos Fernando </v>
          </cell>
          <cell r="D572" t="str">
            <v>Medellin</v>
          </cell>
          <cell r="E572" t="str">
            <v xml:space="preserve">Por el parquecito derecho por todas la escalas </v>
          </cell>
          <cell r="F572" t="str">
            <v/>
          </cell>
          <cell r="G572" t="str">
            <v>3217998750</v>
          </cell>
          <cell r="H572" t="str">
            <v xml:space="preserve">No dan información </v>
          </cell>
          <cell r="I572" t="str">
            <v>Tratamiento</v>
          </cell>
          <cell r="K572" t="str">
            <v>SI</v>
          </cell>
          <cell r="L572" t="str">
            <v>SI</v>
          </cell>
          <cell r="M572" t="e">
            <v>#REF!</v>
          </cell>
        </row>
        <row r="573">
          <cell r="A573">
            <v>71376919</v>
          </cell>
          <cell r="B573">
            <v>572</v>
          </cell>
          <cell r="C573" t="str">
            <v xml:space="preserve">Eduard </v>
          </cell>
          <cell r="D573" t="str">
            <v>Medellin</v>
          </cell>
          <cell r="E573" t="str">
            <v xml:space="preserve">Desde la panadería el faro, que derecho hasta donde terminan las barrancas </v>
          </cell>
          <cell r="F573" t="str">
            <v/>
          </cell>
          <cell r="G573" t="str">
            <v>3113268719</v>
          </cell>
          <cell r="H573" t="str">
            <v xml:space="preserve">No dan información </v>
          </cell>
          <cell r="I573" t="str">
            <v>Tratamiento</v>
          </cell>
          <cell r="K573" t="str">
            <v>SI</v>
          </cell>
          <cell r="L573" t="str">
            <v>SI</v>
          </cell>
          <cell r="M573" t="e">
            <v>#REF!</v>
          </cell>
        </row>
        <row r="574">
          <cell r="A574">
            <v>71645240</v>
          </cell>
          <cell r="B574">
            <v>573</v>
          </cell>
          <cell r="C574" t="str">
            <v>Jorge Nelson</v>
          </cell>
          <cell r="D574" t="str">
            <v>Medellin</v>
          </cell>
          <cell r="E574" t="str">
            <v>Caí de policía villatina.iglesia Torcoroma</v>
          </cell>
          <cell r="F574" t="str">
            <v/>
          </cell>
          <cell r="G574" t="str">
            <v>3162962268</v>
          </cell>
          <cell r="H574" t="str">
            <v>3242892498</v>
          </cell>
          <cell r="I574" t="str">
            <v>Tratamiento</v>
          </cell>
          <cell r="J574"/>
          <cell r="K574" t="str">
            <v>SI</v>
          </cell>
          <cell r="L574" t="str">
            <v>SI</v>
          </cell>
          <cell r="M574" t="e">
            <v>#REF!</v>
          </cell>
          <cell r="N574"/>
        </row>
        <row r="575">
          <cell r="A575">
            <v>71681839</v>
          </cell>
          <cell r="B575">
            <v>574</v>
          </cell>
          <cell r="C575" t="str">
            <v>León Dario</v>
          </cell>
          <cell r="D575" t="str">
            <v>Medellin</v>
          </cell>
          <cell r="E575" t="str">
            <v>Calle 55H #2 Este 07</v>
          </cell>
          <cell r="F575" t="str">
            <v>Por la iglesia de la sierra al lado de villa willy</v>
          </cell>
          <cell r="G575" t="str">
            <v>3135705762</v>
          </cell>
          <cell r="H575" t="str">
            <v>3015402349</v>
          </cell>
          <cell r="I575" t="str">
            <v>Tratamiento</v>
          </cell>
          <cell r="K575" t="str">
            <v>SI</v>
          </cell>
          <cell r="L575" t="str">
            <v>SI</v>
          </cell>
          <cell r="M575" t="e">
            <v>#REF!</v>
          </cell>
        </row>
        <row r="576">
          <cell r="A576">
            <v>71728862</v>
          </cell>
          <cell r="B576">
            <v>575</v>
          </cell>
          <cell r="C576" t="str">
            <v>Javier Alonso Perez</v>
          </cell>
          <cell r="D576" t="str">
            <v>Medellin</v>
          </cell>
          <cell r="E576" t="str">
            <v>Cerca a la estación y la escuela Empresarial de educacion</v>
          </cell>
          <cell r="F576" t="str">
            <v/>
          </cell>
          <cell r="G576" t="str">
            <v>3215200163</v>
          </cell>
          <cell r="H576" t="str">
            <v>3122929914</v>
          </cell>
          <cell r="I576" t="str">
            <v>Tratamiento</v>
          </cell>
          <cell r="K576" t="str">
            <v>SI</v>
          </cell>
          <cell r="L576" t="str">
            <v>SI</v>
          </cell>
          <cell r="M576" t="e">
            <v>#REF!</v>
          </cell>
        </row>
        <row r="577">
          <cell r="A577">
            <v>71763215</v>
          </cell>
          <cell r="B577">
            <v>576</v>
          </cell>
          <cell r="C577" t="str">
            <v>Rubén Dario</v>
          </cell>
          <cell r="D577" t="str">
            <v>Medellin</v>
          </cell>
          <cell r="E577" t="str">
            <v>Carrera 18 A 56 EC 12 int 201</v>
          </cell>
          <cell r="F577" t="str">
            <v>Bajando por la uva sol de oriente</v>
          </cell>
          <cell r="G577" t="str">
            <v>3146910990</v>
          </cell>
          <cell r="H577" t="str">
            <v>3108315376</v>
          </cell>
          <cell r="I577" t="str">
            <v>Tratamiento</v>
          </cell>
          <cell r="K577" t="str">
            <v>SI</v>
          </cell>
          <cell r="L577" t="str">
            <v>SI</v>
          </cell>
          <cell r="M577" t="e">
            <v>#REF!</v>
          </cell>
        </row>
        <row r="578">
          <cell r="A578">
            <v>761321</v>
          </cell>
          <cell r="B578">
            <v>577</v>
          </cell>
          <cell r="C578" t="str">
            <v>Jesús Antonio</v>
          </cell>
          <cell r="D578" t="str">
            <v>Medellin</v>
          </cell>
          <cell r="E578" t="str">
            <v>Llegan al cuadrado y se suben</v>
          </cell>
          <cell r="F578" t="str">
            <v/>
          </cell>
          <cell r="G578" t="str">
            <v>3113805999</v>
          </cell>
          <cell r="H578" t="str">
            <v xml:space="preserve">No dan información </v>
          </cell>
          <cell r="I578" t="str">
            <v>Tratamiento</v>
          </cell>
          <cell r="K578" t="str">
            <v>SI</v>
          </cell>
          <cell r="L578" t="str">
            <v>SI</v>
          </cell>
          <cell r="M578" t="e">
            <v>#REF!</v>
          </cell>
        </row>
        <row r="579">
          <cell r="A579">
            <v>98638636</v>
          </cell>
          <cell r="B579">
            <v>578</v>
          </cell>
          <cell r="C579" t="str">
            <v>Pedro José Bustamante Ortiz</v>
          </cell>
          <cell r="D579" t="str">
            <v>Medellin</v>
          </cell>
          <cell r="E579" t="str">
            <v>Cerca centro salud</v>
          </cell>
          <cell r="F579" t="str">
            <v/>
          </cell>
          <cell r="G579" t="str">
            <v>3006120828</v>
          </cell>
          <cell r="H579" t="str">
            <v>3127977231</v>
          </cell>
          <cell r="I579" t="str">
            <v>Tratamiento</v>
          </cell>
          <cell r="K579" t="str">
            <v>SI</v>
          </cell>
          <cell r="L579" t="str">
            <v>SI</v>
          </cell>
          <cell r="M579" t="e">
            <v>#REF!</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A581A643-83BD-4FCC-AF71-151445F65239}">
    <nsvFilter filterId="{8CB9D368-9AA3-493E-A610-953FDCE22536}" ref="A1:AC600" tableId="0">
      <columnFilter colId="0">
        <filter colId="0">
          <x:filters>
            <x:filter val="1045675162"/>
          </x:filters>
        </filter>
      </columnFilter>
    </nsvFilter>
  </namedSheetView>
</namedSheetView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53BAC-E1C2-4A4A-995F-42FEDEA72DE1}">
  <dimension ref="A1:AH5"/>
  <sheetViews>
    <sheetView zoomScale="80" zoomScaleNormal="80" workbookViewId="0">
      <pane xSplit="1" topLeftCell="U1" activePane="topRight" state="frozen"/>
      <selection pane="topRight" activeCell="U9" sqref="U9"/>
    </sheetView>
  </sheetViews>
  <sheetFormatPr baseColWidth="10" defaultColWidth="11.5" defaultRowHeight="15" x14ac:dyDescent="0.2"/>
  <sheetData>
    <row r="1" spans="1:34" s="6" customFormat="1" ht="98" x14ac:dyDescent="0.2">
      <c r="A1" s="6" t="s">
        <v>0</v>
      </c>
      <c r="B1" s="1" t="s">
        <v>1</v>
      </c>
      <c r="C1" s="1" t="s">
        <v>2</v>
      </c>
      <c r="D1" s="1" t="s">
        <v>3</v>
      </c>
      <c r="E1" s="1" t="s">
        <v>4</v>
      </c>
      <c r="F1" s="1" t="s">
        <v>5</v>
      </c>
      <c r="G1" s="1" t="s">
        <v>6</v>
      </c>
      <c r="H1" s="1" t="s">
        <v>7</v>
      </c>
      <c r="I1" s="1" t="s">
        <v>8</v>
      </c>
      <c r="J1" s="1" t="s">
        <v>9</v>
      </c>
      <c r="K1" s="1" t="s">
        <v>10</v>
      </c>
      <c r="L1" s="7" t="s">
        <v>11</v>
      </c>
      <c r="M1" s="8" t="s">
        <v>12</v>
      </c>
      <c r="N1" s="9" t="s">
        <v>13</v>
      </c>
      <c r="O1" s="10" t="s">
        <v>14</v>
      </c>
      <c r="P1" s="11" t="s">
        <v>15</v>
      </c>
      <c r="Q1" s="12" t="s">
        <v>16</v>
      </c>
      <c r="R1" s="13"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row>
    <row r="2" spans="1:34" s="6" customFormat="1" ht="84" x14ac:dyDescent="0.2">
      <c r="A2" s="6" t="s">
        <v>34</v>
      </c>
      <c r="B2" s="1" t="s">
        <v>1</v>
      </c>
      <c r="C2" s="1" t="s">
        <v>2</v>
      </c>
      <c r="D2" s="1" t="s">
        <v>3</v>
      </c>
      <c r="E2" s="1" t="s">
        <v>4</v>
      </c>
      <c r="F2" s="1" t="s">
        <v>5</v>
      </c>
      <c r="G2" s="1" t="s">
        <v>6</v>
      </c>
      <c r="H2" s="1" t="s">
        <v>7</v>
      </c>
      <c r="I2" s="1" t="s">
        <v>8</v>
      </c>
      <c r="J2" s="1" t="s">
        <v>9</v>
      </c>
      <c r="K2" s="1" t="s">
        <v>10</v>
      </c>
      <c r="L2" s="6" t="s">
        <v>35</v>
      </c>
      <c r="M2" s="7" t="s">
        <v>11</v>
      </c>
      <c r="N2" s="6" t="s">
        <v>36</v>
      </c>
      <c r="O2" s="6" t="s">
        <v>37</v>
      </c>
      <c r="P2" s="8" t="s">
        <v>12</v>
      </c>
      <c r="Q2" s="6" t="s">
        <v>38</v>
      </c>
      <c r="R2" s="6" t="s">
        <v>39</v>
      </c>
      <c r="S2" s="9" t="s">
        <v>40</v>
      </c>
      <c r="T2" s="6" t="s">
        <v>41</v>
      </c>
      <c r="U2" s="6" t="s">
        <v>42</v>
      </c>
      <c r="V2" s="6" t="s">
        <v>43</v>
      </c>
      <c r="W2" s="6" t="s">
        <v>44</v>
      </c>
      <c r="X2" s="10" t="s">
        <v>45</v>
      </c>
      <c r="Y2" s="11" t="s">
        <v>46</v>
      </c>
      <c r="Z2" s="6" t="s">
        <v>47</v>
      </c>
      <c r="AA2" s="6" t="s">
        <v>48</v>
      </c>
      <c r="AB2" s="13" t="s">
        <v>49</v>
      </c>
      <c r="AC2" s="12" t="s">
        <v>50</v>
      </c>
      <c r="AD2" s="13" t="s">
        <v>51</v>
      </c>
      <c r="AE2" s="6" t="s">
        <v>52</v>
      </c>
    </row>
    <row r="3" spans="1:34" s="6" customFormat="1" ht="84" x14ac:dyDescent="0.2">
      <c r="A3" s="6" t="s">
        <v>53</v>
      </c>
      <c r="B3" s="1" t="s">
        <v>1</v>
      </c>
      <c r="C3" s="1" t="s">
        <v>2</v>
      </c>
      <c r="D3" s="1" t="s">
        <v>3</v>
      </c>
      <c r="E3" s="1" t="s">
        <v>4</v>
      </c>
      <c r="F3" s="1" t="s">
        <v>5</v>
      </c>
      <c r="G3" s="1" t="s">
        <v>6</v>
      </c>
      <c r="H3" s="1" t="s">
        <v>7</v>
      </c>
      <c r="I3" s="1" t="s">
        <v>8</v>
      </c>
      <c r="J3" s="1" t="s">
        <v>9</v>
      </c>
      <c r="K3" s="1" t="s">
        <v>10</v>
      </c>
      <c r="L3" s="6" t="s">
        <v>35</v>
      </c>
      <c r="M3" s="7" t="s">
        <v>11</v>
      </c>
      <c r="N3" s="6" t="s">
        <v>36</v>
      </c>
      <c r="O3" s="6" t="s">
        <v>37</v>
      </c>
      <c r="P3" s="8" t="s">
        <v>12</v>
      </c>
      <c r="Q3" s="6" t="s">
        <v>38</v>
      </c>
      <c r="R3" s="6" t="s">
        <v>39</v>
      </c>
      <c r="S3" s="9" t="s">
        <v>40</v>
      </c>
      <c r="T3" s="6" t="s">
        <v>41</v>
      </c>
      <c r="U3" s="6" t="s">
        <v>44</v>
      </c>
      <c r="V3" s="10" t="s">
        <v>45</v>
      </c>
      <c r="W3" s="11" t="s">
        <v>46</v>
      </c>
      <c r="X3" s="6" t="s">
        <v>47</v>
      </c>
      <c r="Y3" s="6" t="s">
        <v>48</v>
      </c>
      <c r="Z3" s="13" t="s">
        <v>49</v>
      </c>
      <c r="AA3" s="12" t="s">
        <v>50</v>
      </c>
      <c r="AB3" s="13" t="s">
        <v>51</v>
      </c>
      <c r="AC3" s="6" t="s">
        <v>52</v>
      </c>
      <c r="AD3" s="6" t="s">
        <v>54</v>
      </c>
      <c r="AE3" s="6" t="s">
        <v>55</v>
      </c>
    </row>
    <row r="4" spans="1:34" s="14" customFormat="1" ht="65.25" customHeight="1" x14ac:dyDescent="0.2">
      <c r="A4" s="6" t="s">
        <v>56</v>
      </c>
      <c r="B4" s="1" t="s">
        <v>1</v>
      </c>
      <c r="C4" s="1" t="s">
        <v>2</v>
      </c>
      <c r="D4" s="1" t="s">
        <v>57</v>
      </c>
      <c r="E4" s="1" t="s">
        <v>3</v>
      </c>
      <c r="F4" s="1" t="s">
        <v>4</v>
      </c>
      <c r="G4" s="1" t="s">
        <v>5</v>
      </c>
      <c r="H4" s="1" t="s">
        <v>7</v>
      </c>
      <c r="I4" s="1" t="s">
        <v>8</v>
      </c>
      <c r="J4" s="1" t="s">
        <v>9</v>
      </c>
      <c r="K4" s="1" t="s">
        <v>10</v>
      </c>
      <c r="L4" s="6" t="s">
        <v>35</v>
      </c>
      <c r="M4" s="7" t="s">
        <v>36</v>
      </c>
      <c r="N4" s="6" t="s">
        <v>37</v>
      </c>
      <c r="O4" s="8" t="s">
        <v>12</v>
      </c>
      <c r="P4" s="6" t="s">
        <v>58</v>
      </c>
      <c r="Q4" s="6" t="s">
        <v>59</v>
      </c>
      <c r="R4" s="6" t="s">
        <v>60</v>
      </c>
      <c r="S4" s="9" t="s">
        <v>61</v>
      </c>
      <c r="T4" s="6" t="s">
        <v>41</v>
      </c>
      <c r="U4" s="10" t="s">
        <v>45</v>
      </c>
      <c r="V4" s="11" t="s">
        <v>46</v>
      </c>
      <c r="W4" s="6" t="s">
        <v>47</v>
      </c>
      <c r="X4" s="6" t="s">
        <v>48</v>
      </c>
      <c r="Y4" s="13" t="s">
        <v>49</v>
      </c>
      <c r="Z4" s="12" t="s">
        <v>62</v>
      </c>
      <c r="AA4" s="13" t="s">
        <v>51</v>
      </c>
      <c r="AB4" s="6" t="s">
        <v>63</v>
      </c>
      <c r="AC4" s="6"/>
      <c r="AD4" s="6"/>
    </row>
    <row r="5" spans="1:34" x14ac:dyDescent="0.2">
      <c r="W5" s="6"/>
      <c r="X5" s="6"/>
      <c r="Y5"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951B7-2CFF-41C2-99B6-96E00E9A60CF}">
  <dimension ref="A1:AJ397"/>
  <sheetViews>
    <sheetView tabSelected="1" zoomScale="70" zoomScaleNormal="70" workbookViewId="0">
      <pane xSplit="3" ySplit="1" topLeftCell="D194" activePane="bottomRight" state="frozen"/>
      <selection pane="topRight"/>
      <selection pane="bottomLeft" activeCell="D1" sqref="D1"/>
      <selection pane="bottomRight" activeCell="A209" sqref="A209:XFD209"/>
    </sheetView>
  </sheetViews>
  <sheetFormatPr baseColWidth="10" defaultColWidth="15.1640625" defaultRowHeight="15" x14ac:dyDescent="0.2"/>
  <cols>
    <col min="1" max="2" width="15.1640625" style="2"/>
    <col min="3" max="3" width="23.6640625" style="2" bestFit="1" customWidth="1"/>
    <col min="4" max="33" width="15.1640625" style="2"/>
    <col min="34" max="34" width="28.1640625" style="2" customWidth="1"/>
    <col min="35" max="35" width="15.1640625" style="2"/>
    <col min="36" max="36" width="27.6640625" style="2" customWidth="1"/>
    <col min="37" max="16384" width="15.1640625" style="2"/>
  </cols>
  <sheetData>
    <row r="1" spans="1:35" s="1" customFormat="1" ht="70" x14ac:dyDescent="0.2">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64</v>
      </c>
      <c r="AI1" s="1" t="s">
        <v>65</v>
      </c>
    </row>
    <row r="2" spans="1:35" ht="32" x14ac:dyDescent="0.2">
      <c r="A2" s="2">
        <v>1001851457</v>
      </c>
      <c r="B2" s="2">
        <f>VLOOKUP(A2,[1]TRATAMIENTI!$A:$B,2,FALSE)</f>
        <v>1</v>
      </c>
      <c r="C2" t="s">
        <v>66</v>
      </c>
      <c r="D2" s="2">
        <v>0</v>
      </c>
      <c r="E2" t="s">
        <v>67</v>
      </c>
      <c r="F2" s="2" t="s">
        <v>68</v>
      </c>
      <c r="G2" s="2" t="str">
        <f t="shared" ref="G2:G65" si="0">IF(H2="CALI","VALLE DEL CAUCA",IF(H2="MEDELLIN","ANTIOQUIA",IF(H2="BARRANQUILLA","ATLANTICO","NO")))</f>
        <v>ATLANTICO</v>
      </c>
      <c r="H2" s="2" t="s">
        <v>69</v>
      </c>
      <c r="I2" s="2" t="s">
        <v>70</v>
      </c>
      <c r="J2" s="2" t="s">
        <v>71</v>
      </c>
      <c r="K2" s="2" t="s">
        <v>72</v>
      </c>
      <c r="L2" s="2" t="s">
        <v>71</v>
      </c>
      <c r="M2" s="2" t="s">
        <v>71</v>
      </c>
      <c r="N2" s="2" t="s">
        <v>71</v>
      </c>
      <c r="O2" s="2" t="s">
        <v>71</v>
      </c>
      <c r="P2" s="2" t="s">
        <v>71</v>
      </c>
      <c r="Q2" s="2" t="s">
        <v>71</v>
      </c>
      <c r="R2" s="2" t="s">
        <v>71</v>
      </c>
      <c r="S2" s="2" t="s">
        <v>71</v>
      </c>
      <c r="T2" s="2" t="s">
        <v>71</v>
      </c>
      <c r="U2" s="2" t="s">
        <v>71</v>
      </c>
      <c r="V2" s="2" t="s">
        <v>71</v>
      </c>
      <c r="W2" s="2" t="s">
        <v>71</v>
      </c>
      <c r="X2" s="2" t="s">
        <v>71</v>
      </c>
      <c r="Y2" s="2" t="s">
        <v>71</v>
      </c>
      <c r="Z2" s="2" t="s">
        <v>71</v>
      </c>
      <c r="AA2" s="2" t="s">
        <v>71</v>
      </c>
      <c r="AB2" s="2" t="s">
        <v>71</v>
      </c>
      <c r="AC2" s="2" t="s">
        <v>71</v>
      </c>
      <c r="AD2" s="2" t="s">
        <v>71</v>
      </c>
      <c r="AE2" s="2" t="s">
        <v>71</v>
      </c>
      <c r="AF2" s="2" t="s">
        <v>71</v>
      </c>
      <c r="AG2" s="2" t="s">
        <v>71</v>
      </c>
      <c r="AH2" s="2" t="s">
        <v>73</v>
      </c>
      <c r="AI2" s="2">
        <v>2</v>
      </c>
    </row>
    <row r="3" spans="1:35" ht="32" x14ac:dyDescent="0.2">
      <c r="A3" s="2">
        <v>1002130477</v>
      </c>
      <c r="B3" s="2">
        <f>VLOOKUP(A3,[1]TRATAMIENTI!$A:$B,2,FALSE)</f>
        <v>2</v>
      </c>
      <c r="C3" t="s">
        <v>74</v>
      </c>
      <c r="D3" s="2">
        <v>0</v>
      </c>
      <c r="E3" t="s">
        <v>75</v>
      </c>
      <c r="F3" s="2" t="s">
        <v>68</v>
      </c>
      <c r="G3" s="2" t="str">
        <f t="shared" si="0"/>
        <v>ATLANTICO</v>
      </c>
      <c r="H3" s="2" t="s">
        <v>69</v>
      </c>
      <c r="I3" s="2" t="s">
        <v>70</v>
      </c>
      <c r="J3" s="2" t="s">
        <v>71</v>
      </c>
      <c r="K3" s="2" t="s">
        <v>76</v>
      </c>
      <c r="L3" s="2" t="s">
        <v>71</v>
      </c>
      <c r="M3" s="2" t="s">
        <v>71</v>
      </c>
      <c r="N3" s="2" t="s">
        <v>71</v>
      </c>
      <c r="O3" s="2" t="s">
        <v>76</v>
      </c>
      <c r="P3" s="2" t="s">
        <v>76</v>
      </c>
      <c r="Q3" s="2" t="s">
        <v>76</v>
      </c>
      <c r="R3" s="2" t="s">
        <v>71</v>
      </c>
      <c r="S3" s="2" t="s">
        <v>71</v>
      </c>
      <c r="T3" s="2" t="s">
        <v>76</v>
      </c>
      <c r="U3" s="2" t="s">
        <v>76</v>
      </c>
      <c r="V3" s="2" t="s">
        <v>71</v>
      </c>
      <c r="W3" s="2" t="s">
        <v>71</v>
      </c>
      <c r="X3" s="2" t="s">
        <v>71</v>
      </c>
      <c r="Y3" s="2" t="s">
        <v>71</v>
      </c>
      <c r="Z3" s="2" t="s">
        <v>71</v>
      </c>
      <c r="AA3" s="2" t="s">
        <v>71</v>
      </c>
      <c r="AB3" s="2" t="s">
        <v>71</v>
      </c>
      <c r="AC3" s="2" t="s">
        <v>71</v>
      </c>
      <c r="AD3" s="2" t="s">
        <v>71</v>
      </c>
      <c r="AE3" s="2" t="s">
        <v>71</v>
      </c>
      <c r="AF3" s="2" t="s">
        <v>76</v>
      </c>
      <c r="AG3" s="2" t="s">
        <v>76</v>
      </c>
      <c r="AH3" s="2" t="s">
        <v>77</v>
      </c>
      <c r="AI3" s="2">
        <v>2</v>
      </c>
    </row>
    <row r="4" spans="1:35" ht="32" x14ac:dyDescent="0.2">
      <c r="A4" s="2">
        <v>1002155243</v>
      </c>
      <c r="B4" s="2">
        <f>VLOOKUP(A4,[1]TRATAMIENTI!$A:$B,2,FALSE)</f>
        <v>3</v>
      </c>
      <c r="C4" t="s">
        <v>78</v>
      </c>
      <c r="D4">
        <v>3043301751</v>
      </c>
      <c r="E4" s="2" t="s">
        <v>79</v>
      </c>
      <c r="F4" s="2" t="s">
        <v>68</v>
      </c>
      <c r="G4" s="2" t="str">
        <f t="shared" si="0"/>
        <v>ATLANTICO</v>
      </c>
      <c r="H4" s="2" t="s">
        <v>69</v>
      </c>
      <c r="I4" s="2" t="s">
        <v>70</v>
      </c>
      <c r="J4" s="2" t="s">
        <v>71</v>
      </c>
      <c r="K4" s="2" t="s">
        <v>71</v>
      </c>
      <c r="L4" s="2" t="s">
        <v>76</v>
      </c>
      <c r="M4" s="2" t="s">
        <v>76</v>
      </c>
      <c r="N4" s="2" t="s">
        <v>76</v>
      </c>
      <c r="O4" s="2" t="s">
        <v>76</v>
      </c>
      <c r="P4" s="2" t="s">
        <v>76</v>
      </c>
      <c r="Q4" s="2" t="s">
        <v>76</v>
      </c>
      <c r="R4" s="2" t="s">
        <v>71</v>
      </c>
      <c r="S4" s="2" t="s">
        <v>71</v>
      </c>
      <c r="T4" s="2" t="s">
        <v>76</v>
      </c>
      <c r="U4" s="2" t="s">
        <v>76</v>
      </c>
      <c r="V4" s="2" t="s">
        <v>71</v>
      </c>
      <c r="W4" s="2" t="s">
        <v>71</v>
      </c>
      <c r="X4" s="2" t="s">
        <v>71</v>
      </c>
      <c r="Y4" s="2" t="s">
        <v>71</v>
      </c>
      <c r="Z4" s="2" t="s">
        <v>71</v>
      </c>
      <c r="AA4" s="2" t="s">
        <v>71</v>
      </c>
      <c r="AB4" s="2" t="s">
        <v>71</v>
      </c>
      <c r="AC4" s="2" t="s">
        <v>71</v>
      </c>
      <c r="AD4" s="2" t="s">
        <v>71</v>
      </c>
      <c r="AE4" s="2" t="s">
        <v>71</v>
      </c>
      <c r="AF4" s="2" t="s">
        <v>76</v>
      </c>
      <c r="AG4" s="2" t="s">
        <v>76</v>
      </c>
      <c r="AH4" s="2" t="s">
        <v>80</v>
      </c>
      <c r="AI4" s="2">
        <v>1</v>
      </c>
    </row>
    <row r="5" spans="1:35" ht="32" x14ac:dyDescent="0.2">
      <c r="A5" s="2">
        <v>1007132436</v>
      </c>
      <c r="B5" s="2">
        <f>VLOOKUP(A5,[1]TRATAMIENTI!$A:$B,2,FALSE)</f>
        <v>4</v>
      </c>
      <c r="C5" t="s">
        <v>81</v>
      </c>
      <c r="D5" s="2">
        <v>0</v>
      </c>
      <c r="E5" s="2" t="s">
        <v>82</v>
      </c>
      <c r="F5" s="2" t="s">
        <v>68</v>
      </c>
      <c r="G5" s="2" t="str">
        <f t="shared" si="0"/>
        <v>ATLANTICO</v>
      </c>
      <c r="H5" s="2" t="s">
        <v>69</v>
      </c>
      <c r="I5" s="2" t="s">
        <v>70</v>
      </c>
      <c r="J5" s="2" t="s">
        <v>71</v>
      </c>
      <c r="K5" s="2" t="s">
        <v>76</v>
      </c>
      <c r="L5" s="2" t="s">
        <v>71</v>
      </c>
      <c r="M5" s="2" t="s">
        <v>71</v>
      </c>
      <c r="N5" s="2" t="s">
        <v>71</v>
      </c>
      <c r="O5" s="2" t="s">
        <v>71</v>
      </c>
      <c r="P5" s="2" t="s">
        <v>76</v>
      </c>
      <c r="Q5" s="2" t="s">
        <v>71</v>
      </c>
      <c r="R5" s="2" t="s">
        <v>71</v>
      </c>
      <c r="S5" s="2" t="s">
        <v>71</v>
      </c>
      <c r="T5" s="2" t="s">
        <v>71</v>
      </c>
      <c r="U5" s="2" t="s">
        <v>76</v>
      </c>
      <c r="V5" s="2" t="s">
        <v>71</v>
      </c>
      <c r="W5" s="2" t="s">
        <v>71</v>
      </c>
      <c r="X5" s="2" t="s">
        <v>71</v>
      </c>
      <c r="Y5" s="2" t="s">
        <v>71</v>
      </c>
      <c r="Z5" s="2" t="s">
        <v>71</v>
      </c>
      <c r="AA5" s="2" t="s">
        <v>71</v>
      </c>
      <c r="AB5" s="2" t="s">
        <v>71</v>
      </c>
      <c r="AC5" s="2" t="s">
        <v>71</v>
      </c>
      <c r="AD5" s="2" t="s">
        <v>76</v>
      </c>
      <c r="AE5" s="2" t="s">
        <v>76</v>
      </c>
      <c r="AF5" s="2" t="s">
        <v>76</v>
      </c>
      <c r="AG5" s="2" t="s">
        <v>76</v>
      </c>
      <c r="AH5" s="2" t="s">
        <v>77</v>
      </c>
      <c r="AI5" s="2">
        <v>2</v>
      </c>
    </row>
    <row r="6" spans="1:35" ht="32" x14ac:dyDescent="0.2">
      <c r="A6" s="2">
        <v>1007175950</v>
      </c>
      <c r="B6" s="2">
        <f>VLOOKUP(A6,[1]TRATAMIENTI!$A:$B,2,FALSE)</f>
        <v>5</v>
      </c>
      <c r="C6" t="s">
        <v>83</v>
      </c>
      <c r="D6">
        <v>3046551262</v>
      </c>
      <c r="E6" t="s">
        <v>84</v>
      </c>
      <c r="F6" s="2" t="s">
        <v>68</v>
      </c>
      <c r="G6" s="2" t="str">
        <f t="shared" si="0"/>
        <v>ATLANTICO</v>
      </c>
      <c r="H6" s="2" t="s">
        <v>69</v>
      </c>
      <c r="I6" s="2" t="s">
        <v>70</v>
      </c>
      <c r="J6" s="2" t="s">
        <v>71</v>
      </c>
      <c r="K6" s="2" t="s">
        <v>76</v>
      </c>
      <c r="L6" s="2" t="s">
        <v>76</v>
      </c>
      <c r="M6" s="2" t="s">
        <v>76</v>
      </c>
      <c r="N6" s="2" t="s">
        <v>76</v>
      </c>
      <c r="O6" s="2" t="s">
        <v>71</v>
      </c>
      <c r="P6" s="2" t="s">
        <v>71</v>
      </c>
      <c r="Q6" s="2" t="s">
        <v>71</v>
      </c>
      <c r="R6" s="2" t="s">
        <v>71</v>
      </c>
      <c r="S6" s="2" t="s">
        <v>76</v>
      </c>
      <c r="T6" s="2" t="s">
        <v>76</v>
      </c>
      <c r="U6" s="2" t="s">
        <v>71</v>
      </c>
      <c r="V6" s="2" t="s">
        <v>71</v>
      </c>
      <c r="W6" s="2" t="s">
        <v>71</v>
      </c>
      <c r="X6" s="2" t="s">
        <v>71</v>
      </c>
      <c r="Y6" s="2" t="s">
        <v>71</v>
      </c>
      <c r="Z6" s="2" t="s">
        <v>71</v>
      </c>
      <c r="AA6" s="2" t="s">
        <v>71</v>
      </c>
      <c r="AB6" s="2" t="s">
        <v>71</v>
      </c>
      <c r="AC6" s="2" t="s">
        <v>71</v>
      </c>
      <c r="AD6" s="2" t="s">
        <v>71</v>
      </c>
      <c r="AE6" s="2" t="s">
        <v>71</v>
      </c>
      <c r="AF6" s="2" t="s">
        <v>71</v>
      </c>
      <c r="AG6" s="2" t="s">
        <v>72</v>
      </c>
      <c r="AH6" s="2" t="s">
        <v>85</v>
      </c>
      <c r="AI6" s="2">
        <v>2</v>
      </c>
    </row>
    <row r="7" spans="1:35" ht="32" x14ac:dyDescent="0.2">
      <c r="A7" s="2">
        <v>1010119253</v>
      </c>
      <c r="B7" s="2">
        <f>VLOOKUP(A7,[1]TRATAMIENTI!$A:$B,2,FALSE)</f>
        <v>6</v>
      </c>
      <c r="C7" t="s">
        <v>86</v>
      </c>
      <c r="D7">
        <v>3002361294</v>
      </c>
      <c r="E7" s="2" t="s">
        <v>87</v>
      </c>
      <c r="F7" s="2" t="s">
        <v>68</v>
      </c>
      <c r="G7" s="2" t="str">
        <f t="shared" si="0"/>
        <v>ATLANTICO</v>
      </c>
      <c r="H7" s="2" t="s">
        <v>69</v>
      </c>
      <c r="I7" s="2" t="s">
        <v>70</v>
      </c>
      <c r="J7" s="2" t="s">
        <v>71</v>
      </c>
      <c r="K7" s="2" t="s">
        <v>71</v>
      </c>
      <c r="L7" s="2" t="s">
        <v>71</v>
      </c>
      <c r="M7" s="2" t="s">
        <v>76</v>
      </c>
      <c r="N7" s="2" t="s">
        <v>76</v>
      </c>
      <c r="O7" s="2" t="s">
        <v>76</v>
      </c>
      <c r="P7" s="2" t="s">
        <v>76</v>
      </c>
      <c r="Q7" s="2" t="s">
        <v>76</v>
      </c>
      <c r="R7" s="2" t="s">
        <v>71</v>
      </c>
      <c r="S7" s="2" t="s">
        <v>71</v>
      </c>
      <c r="T7" s="2" t="s">
        <v>76</v>
      </c>
      <c r="U7" s="2" t="s">
        <v>76</v>
      </c>
      <c r="V7" s="2" t="s">
        <v>71</v>
      </c>
      <c r="W7" s="2" t="s">
        <v>71</v>
      </c>
      <c r="X7" s="2" t="s">
        <v>71</v>
      </c>
      <c r="Y7" s="2" t="s">
        <v>71</v>
      </c>
      <c r="Z7" s="2" t="s">
        <v>71</v>
      </c>
      <c r="AA7" s="2" t="s">
        <v>71</v>
      </c>
      <c r="AB7" s="2" t="s">
        <v>71</v>
      </c>
      <c r="AC7" s="2" t="s">
        <v>71</v>
      </c>
      <c r="AD7" s="2" t="s">
        <v>71</v>
      </c>
      <c r="AE7" s="2" t="s">
        <v>71</v>
      </c>
      <c r="AF7" s="2" t="s">
        <v>76</v>
      </c>
      <c r="AG7" s="2" t="s">
        <v>76</v>
      </c>
      <c r="AH7" s="2" t="s">
        <v>80</v>
      </c>
      <c r="AI7" s="2">
        <v>1</v>
      </c>
    </row>
    <row r="8" spans="1:35" ht="32" x14ac:dyDescent="0.2">
      <c r="A8" s="2">
        <v>10122125</v>
      </c>
      <c r="B8" s="2">
        <f>VLOOKUP(A8,[1]TRATAMIENTI!$A:$B,2,FALSE)</f>
        <v>7</v>
      </c>
      <c r="C8" t="s">
        <v>88</v>
      </c>
      <c r="D8" t="s">
        <v>89</v>
      </c>
      <c r="E8" s="2" t="s">
        <v>90</v>
      </c>
      <c r="F8" s="2" t="s">
        <v>68</v>
      </c>
      <c r="G8" s="2" t="str">
        <f t="shared" si="0"/>
        <v>ATLANTICO</v>
      </c>
      <c r="H8" s="2" t="s">
        <v>69</v>
      </c>
      <c r="I8" s="2" t="s">
        <v>70</v>
      </c>
      <c r="J8" s="2" t="s">
        <v>71</v>
      </c>
      <c r="K8" s="2" t="s">
        <v>76</v>
      </c>
      <c r="L8" s="2" t="s">
        <v>76</v>
      </c>
      <c r="M8" s="2" t="s">
        <v>76</v>
      </c>
      <c r="N8" s="2" t="s">
        <v>72</v>
      </c>
      <c r="O8" s="2" t="s">
        <v>76</v>
      </c>
      <c r="P8" s="2" t="s">
        <v>76</v>
      </c>
      <c r="Q8" s="2" t="s">
        <v>76</v>
      </c>
      <c r="R8" s="2" t="s">
        <v>71</v>
      </c>
      <c r="S8" s="2" t="s">
        <v>71</v>
      </c>
      <c r="T8" s="2" t="s">
        <v>76</v>
      </c>
      <c r="U8" s="2" t="s">
        <v>76</v>
      </c>
      <c r="V8" s="2" t="s">
        <v>71</v>
      </c>
      <c r="W8" s="2" t="s">
        <v>71</v>
      </c>
      <c r="X8" s="2" t="s">
        <v>71</v>
      </c>
      <c r="Y8" s="2" t="s">
        <v>71</v>
      </c>
      <c r="Z8" s="2" t="s">
        <v>71</v>
      </c>
      <c r="AA8" s="2" t="s">
        <v>71</v>
      </c>
      <c r="AB8" s="2" t="s">
        <v>71</v>
      </c>
      <c r="AC8" s="2" t="s">
        <v>71</v>
      </c>
      <c r="AD8" s="2" t="s">
        <v>71</v>
      </c>
      <c r="AE8" s="2" t="s">
        <v>71</v>
      </c>
      <c r="AF8" s="2" t="s">
        <v>76</v>
      </c>
      <c r="AG8" s="2" t="s">
        <v>76</v>
      </c>
      <c r="AH8" s="2" t="s">
        <v>91</v>
      </c>
      <c r="AI8" s="2">
        <v>2</v>
      </c>
    </row>
    <row r="9" spans="1:35" ht="32" x14ac:dyDescent="0.2">
      <c r="A9" s="2">
        <v>1043435114</v>
      </c>
      <c r="B9" s="2">
        <f>VLOOKUP(A9,[1]TRATAMIENTI!$A:$B,2,FALSE)</f>
        <v>8</v>
      </c>
      <c r="C9" t="s">
        <v>92</v>
      </c>
      <c r="D9" s="2">
        <v>0</v>
      </c>
      <c r="E9" t="s">
        <v>93</v>
      </c>
      <c r="F9" s="2" t="s">
        <v>68</v>
      </c>
      <c r="G9" s="2" t="str">
        <f t="shared" si="0"/>
        <v>ATLANTICO</v>
      </c>
      <c r="H9" s="2" t="s">
        <v>69</v>
      </c>
      <c r="I9" s="2" t="s">
        <v>70</v>
      </c>
      <c r="J9" s="2" t="s">
        <v>71</v>
      </c>
      <c r="K9" s="2" t="s">
        <v>71</v>
      </c>
      <c r="L9" s="2" t="s">
        <v>71</v>
      </c>
      <c r="M9" s="2" t="s">
        <v>76</v>
      </c>
      <c r="N9" s="2" t="s">
        <v>76</v>
      </c>
      <c r="O9" s="2" t="s">
        <v>76</v>
      </c>
      <c r="P9" s="2" t="s">
        <v>76</v>
      </c>
      <c r="Q9" s="2" t="s">
        <v>71</v>
      </c>
      <c r="R9" s="2" t="s">
        <v>71</v>
      </c>
      <c r="S9" s="2" t="s">
        <v>71</v>
      </c>
      <c r="T9" s="2" t="s">
        <v>71</v>
      </c>
      <c r="U9" s="2" t="s">
        <v>76</v>
      </c>
      <c r="V9" s="2" t="s">
        <v>71</v>
      </c>
      <c r="W9" s="2" t="s">
        <v>71</v>
      </c>
      <c r="X9" s="2" t="s">
        <v>71</v>
      </c>
      <c r="Y9" s="2" t="s">
        <v>71</v>
      </c>
      <c r="Z9" s="2" t="s">
        <v>71</v>
      </c>
      <c r="AA9" s="2" t="s">
        <v>71</v>
      </c>
      <c r="AB9" s="2" t="s">
        <v>71</v>
      </c>
      <c r="AC9" s="2" t="s">
        <v>71</v>
      </c>
      <c r="AD9" s="2" t="s">
        <v>71</v>
      </c>
      <c r="AE9" s="2" t="s">
        <v>71</v>
      </c>
      <c r="AF9" s="2" t="s">
        <v>72</v>
      </c>
      <c r="AG9" s="2" t="s">
        <v>72</v>
      </c>
      <c r="AH9" s="2" t="s">
        <v>80</v>
      </c>
      <c r="AI9" s="2">
        <v>2</v>
      </c>
    </row>
    <row r="10" spans="1:35" ht="32" x14ac:dyDescent="0.2">
      <c r="A10" s="2">
        <v>1043665208</v>
      </c>
      <c r="B10" s="2">
        <f>VLOOKUP(A10,[1]TRATAMIENTI!$A:$B,2,FALSE)</f>
        <v>9</v>
      </c>
      <c r="C10" t="s">
        <v>94</v>
      </c>
      <c r="D10" s="2">
        <v>0</v>
      </c>
      <c r="E10" s="2" t="s">
        <v>95</v>
      </c>
      <c r="F10" s="2" t="s">
        <v>68</v>
      </c>
      <c r="G10" s="2" t="str">
        <f t="shared" si="0"/>
        <v>ATLANTICO</v>
      </c>
      <c r="H10" s="2" t="s">
        <v>69</v>
      </c>
      <c r="I10" s="2" t="s">
        <v>70</v>
      </c>
      <c r="J10" s="2" t="s">
        <v>71</v>
      </c>
      <c r="K10" s="2" t="s">
        <v>72</v>
      </c>
      <c r="L10" s="2" t="s">
        <v>71</v>
      </c>
      <c r="M10" s="2" t="s">
        <v>71</v>
      </c>
      <c r="N10" s="2" t="s">
        <v>71</v>
      </c>
      <c r="O10" s="2" t="s">
        <v>76</v>
      </c>
      <c r="P10" s="2" t="s">
        <v>76</v>
      </c>
      <c r="Q10" s="2" t="s">
        <v>71</v>
      </c>
      <c r="R10" s="2" t="s">
        <v>71</v>
      </c>
      <c r="S10" s="2" t="s">
        <v>71</v>
      </c>
      <c r="T10" s="2" t="s">
        <v>71</v>
      </c>
      <c r="U10" s="2" t="s">
        <v>76</v>
      </c>
      <c r="V10" s="2" t="s">
        <v>71</v>
      </c>
      <c r="W10" s="2" t="s">
        <v>71</v>
      </c>
      <c r="X10" s="2" t="s">
        <v>71</v>
      </c>
      <c r="Y10" s="2" t="s">
        <v>71</v>
      </c>
      <c r="Z10" s="2" t="s">
        <v>71</v>
      </c>
      <c r="AA10" s="2" t="s">
        <v>71</v>
      </c>
      <c r="AB10" s="2" t="s">
        <v>71</v>
      </c>
      <c r="AC10" s="2" t="s">
        <v>71</v>
      </c>
      <c r="AD10" s="2" t="s">
        <v>71</v>
      </c>
      <c r="AE10" s="2" t="s">
        <v>71</v>
      </c>
      <c r="AF10" s="2" t="s">
        <v>76</v>
      </c>
      <c r="AG10" s="2" t="s">
        <v>76</v>
      </c>
      <c r="AH10" s="2" t="s">
        <v>77</v>
      </c>
      <c r="AI10" s="2">
        <v>2</v>
      </c>
    </row>
    <row r="11" spans="1:35" ht="32" x14ac:dyDescent="0.2">
      <c r="A11" s="2">
        <v>1045677797</v>
      </c>
      <c r="B11" s="2">
        <f>VLOOKUP(A11,[1]TRATAMIENTI!$A:$B,2,FALSE)</f>
        <v>10</v>
      </c>
      <c r="C11" t="s">
        <v>96</v>
      </c>
      <c r="D11">
        <v>3245908607</v>
      </c>
      <c r="E11" s="2" t="s">
        <v>97</v>
      </c>
      <c r="F11" s="2" t="s">
        <v>68</v>
      </c>
      <c r="G11" s="2" t="str">
        <f t="shared" si="0"/>
        <v>ATLANTICO</v>
      </c>
      <c r="H11" s="2" t="s">
        <v>69</v>
      </c>
      <c r="I11" s="2" t="s">
        <v>70</v>
      </c>
      <c r="J11" s="2" t="s">
        <v>72</v>
      </c>
      <c r="K11" s="2" t="s">
        <v>72</v>
      </c>
      <c r="L11" s="2" t="s">
        <v>71</v>
      </c>
      <c r="M11" s="2" t="s">
        <v>71</v>
      </c>
      <c r="N11" s="2" t="s">
        <v>71</v>
      </c>
      <c r="O11" s="2" t="s">
        <v>76</v>
      </c>
      <c r="P11" s="2" t="s">
        <v>76</v>
      </c>
      <c r="Q11" s="2" t="s">
        <v>76</v>
      </c>
      <c r="R11" s="2" t="s">
        <v>71</v>
      </c>
      <c r="S11" s="2" t="s">
        <v>71</v>
      </c>
      <c r="T11" s="2" t="s">
        <v>76</v>
      </c>
      <c r="U11" s="2" t="s">
        <v>76</v>
      </c>
      <c r="V11" s="2" t="s">
        <v>71</v>
      </c>
      <c r="W11" s="2" t="s">
        <v>71</v>
      </c>
      <c r="X11" s="2" t="s">
        <v>71</v>
      </c>
      <c r="Y11" s="2" t="s">
        <v>71</v>
      </c>
      <c r="Z11" s="2" t="s">
        <v>71</v>
      </c>
      <c r="AA11" s="2" t="s">
        <v>71</v>
      </c>
      <c r="AB11" s="2" t="s">
        <v>71</v>
      </c>
      <c r="AC11" s="2" t="s">
        <v>71</v>
      </c>
      <c r="AD11" s="2" t="s">
        <v>71</v>
      </c>
      <c r="AE11" s="2" t="s">
        <v>71</v>
      </c>
      <c r="AF11" s="2" t="s">
        <v>76</v>
      </c>
      <c r="AG11" s="2" t="s">
        <v>76</v>
      </c>
      <c r="AH11" s="2" t="s">
        <v>77</v>
      </c>
      <c r="AI11" s="2">
        <v>1</v>
      </c>
    </row>
    <row r="12" spans="1:35" ht="32" x14ac:dyDescent="0.2">
      <c r="A12" s="2">
        <v>1045678951</v>
      </c>
      <c r="B12" s="2">
        <f>VLOOKUP(A12,[1]TRATAMIENTI!$A:$B,2,FALSE)</f>
        <v>11</v>
      </c>
      <c r="C12" t="s">
        <v>98</v>
      </c>
      <c r="D12">
        <v>3008335187</v>
      </c>
      <c r="E12" s="2" t="s">
        <v>99</v>
      </c>
      <c r="F12" s="2" t="s">
        <v>68</v>
      </c>
      <c r="G12" s="2" t="str">
        <f t="shared" si="0"/>
        <v>ATLANTICO</v>
      </c>
      <c r="H12" s="2" t="s">
        <v>69</v>
      </c>
      <c r="I12" s="2" t="s">
        <v>70</v>
      </c>
      <c r="J12" s="2" t="s">
        <v>71</v>
      </c>
      <c r="K12" s="2" t="s">
        <v>76</v>
      </c>
      <c r="L12" s="2" t="s">
        <v>76</v>
      </c>
      <c r="M12" s="2" t="s">
        <v>76</v>
      </c>
      <c r="N12" s="2" t="s">
        <v>72</v>
      </c>
      <c r="O12" s="2" t="s">
        <v>76</v>
      </c>
      <c r="P12" s="2" t="s">
        <v>76</v>
      </c>
      <c r="Q12" s="2" t="s">
        <v>76</v>
      </c>
      <c r="R12" s="2" t="s">
        <v>71</v>
      </c>
      <c r="S12" s="2" t="s">
        <v>71</v>
      </c>
      <c r="T12" s="2" t="s">
        <v>76</v>
      </c>
      <c r="U12" s="2" t="s">
        <v>76</v>
      </c>
      <c r="V12" s="2" t="s">
        <v>71</v>
      </c>
      <c r="W12" s="2" t="s">
        <v>71</v>
      </c>
      <c r="X12" s="2" t="s">
        <v>71</v>
      </c>
      <c r="Y12" s="2" t="s">
        <v>71</v>
      </c>
      <c r="Z12" s="2" t="s">
        <v>71</v>
      </c>
      <c r="AA12" s="2" t="s">
        <v>71</v>
      </c>
      <c r="AB12" s="2" t="s">
        <v>71</v>
      </c>
      <c r="AC12" s="2" t="s">
        <v>71</v>
      </c>
      <c r="AD12" s="2" t="s">
        <v>71</v>
      </c>
      <c r="AE12" s="2" t="s">
        <v>71</v>
      </c>
      <c r="AF12" s="2" t="s">
        <v>76</v>
      </c>
      <c r="AG12" s="2" t="s">
        <v>76</v>
      </c>
      <c r="AH12" s="2" t="s">
        <v>91</v>
      </c>
      <c r="AI12" s="2">
        <v>1</v>
      </c>
    </row>
    <row r="13" spans="1:35" ht="32" x14ac:dyDescent="0.2">
      <c r="A13" s="2">
        <v>1045679578</v>
      </c>
      <c r="B13" s="2">
        <f>VLOOKUP(A13,[1]TRATAMIENTI!$A:$B,2,FALSE)</f>
        <v>12</v>
      </c>
      <c r="C13" t="s">
        <v>100</v>
      </c>
      <c r="D13" t="s">
        <v>101</v>
      </c>
      <c r="E13" t="s">
        <v>102</v>
      </c>
      <c r="F13" s="2" t="s">
        <v>68</v>
      </c>
      <c r="G13" s="2" t="str">
        <f t="shared" si="0"/>
        <v>ATLANTICO</v>
      </c>
      <c r="H13" s="2" t="s">
        <v>69</v>
      </c>
      <c r="I13" s="2" t="s">
        <v>70</v>
      </c>
      <c r="J13" s="2" t="s">
        <v>71</v>
      </c>
      <c r="K13" s="2" t="s">
        <v>76</v>
      </c>
      <c r="L13" s="2" t="s">
        <v>71</v>
      </c>
      <c r="M13" s="2" t="s">
        <v>71</v>
      </c>
      <c r="N13" s="2" t="s">
        <v>71</v>
      </c>
      <c r="O13" s="2" t="s">
        <v>76</v>
      </c>
      <c r="P13" s="2" t="s">
        <v>76</v>
      </c>
      <c r="Q13" s="2" t="s">
        <v>76</v>
      </c>
      <c r="R13" s="2" t="s">
        <v>71</v>
      </c>
      <c r="S13" s="2" t="s">
        <v>71</v>
      </c>
      <c r="T13" s="2" t="s">
        <v>76</v>
      </c>
      <c r="U13" s="2" t="s">
        <v>76</v>
      </c>
      <c r="V13" s="2" t="s">
        <v>71</v>
      </c>
      <c r="W13" s="2" t="s">
        <v>71</v>
      </c>
      <c r="X13" s="2" t="s">
        <v>71</v>
      </c>
      <c r="Y13" s="2" t="s">
        <v>71</v>
      </c>
      <c r="Z13" s="2" t="s">
        <v>71</v>
      </c>
      <c r="AA13" s="2" t="s">
        <v>71</v>
      </c>
      <c r="AB13" s="2" t="s">
        <v>71</v>
      </c>
      <c r="AC13" s="2" t="s">
        <v>71</v>
      </c>
      <c r="AD13" s="2" t="s">
        <v>71</v>
      </c>
      <c r="AE13" s="2" t="s">
        <v>71</v>
      </c>
      <c r="AF13" s="2" t="s">
        <v>76</v>
      </c>
      <c r="AG13" s="2" t="s">
        <v>76</v>
      </c>
      <c r="AH13" s="2" t="s">
        <v>77</v>
      </c>
      <c r="AI13" s="2">
        <v>2</v>
      </c>
    </row>
    <row r="14" spans="1:35" ht="32" x14ac:dyDescent="0.2">
      <c r="A14" s="2">
        <v>1045683391</v>
      </c>
      <c r="B14" s="2">
        <f>VLOOKUP(A14,[1]TRATAMIENTI!$A:$B,2,FALSE)</f>
        <v>13</v>
      </c>
      <c r="C14" t="s">
        <v>103</v>
      </c>
      <c r="D14" s="2">
        <v>0</v>
      </c>
      <c r="E14" t="s">
        <v>104</v>
      </c>
      <c r="F14" s="2" t="s">
        <v>68</v>
      </c>
      <c r="G14" s="2" t="str">
        <f t="shared" si="0"/>
        <v>ATLANTICO</v>
      </c>
      <c r="H14" s="2" t="s">
        <v>69</v>
      </c>
      <c r="I14" s="2" t="s">
        <v>70</v>
      </c>
      <c r="J14" s="2" t="s">
        <v>71</v>
      </c>
      <c r="K14" s="2" t="s">
        <v>72</v>
      </c>
      <c r="L14" s="2" t="s">
        <v>71</v>
      </c>
      <c r="M14" s="2" t="s">
        <v>76</v>
      </c>
      <c r="N14" s="2" t="s">
        <v>76</v>
      </c>
      <c r="O14" s="2" t="s">
        <v>76</v>
      </c>
      <c r="P14" s="2" t="s">
        <v>76</v>
      </c>
      <c r="Q14" s="2" t="s">
        <v>76</v>
      </c>
      <c r="R14" s="2" t="s">
        <v>71</v>
      </c>
      <c r="S14" s="2" t="s">
        <v>71</v>
      </c>
      <c r="T14" s="2" t="s">
        <v>76</v>
      </c>
      <c r="U14" s="2" t="s">
        <v>76</v>
      </c>
      <c r="V14" s="2" t="s">
        <v>71</v>
      </c>
      <c r="W14" s="2" t="s">
        <v>71</v>
      </c>
      <c r="X14" s="2" t="s">
        <v>71</v>
      </c>
      <c r="Y14" s="2" t="s">
        <v>71</v>
      </c>
      <c r="Z14" s="2" t="s">
        <v>71</v>
      </c>
      <c r="AA14" s="2" t="s">
        <v>71</v>
      </c>
      <c r="AB14" s="2" t="s">
        <v>71</v>
      </c>
      <c r="AC14" s="2" t="s">
        <v>71</v>
      </c>
      <c r="AD14" s="2" t="s">
        <v>71</v>
      </c>
      <c r="AE14" s="2" t="s">
        <v>71</v>
      </c>
      <c r="AF14" s="2" t="s">
        <v>72</v>
      </c>
      <c r="AG14" s="2" t="s">
        <v>72</v>
      </c>
      <c r="AH14" s="2" t="s">
        <v>91</v>
      </c>
      <c r="AI14" s="2">
        <v>1</v>
      </c>
    </row>
    <row r="15" spans="1:35" ht="32" x14ac:dyDescent="0.2">
      <c r="A15" s="2">
        <v>1045684410</v>
      </c>
      <c r="B15" s="2">
        <f>VLOOKUP(A15,[1]TRATAMIENTI!$A:$B,2,FALSE)</f>
        <v>14</v>
      </c>
      <c r="C15" t="s">
        <v>105</v>
      </c>
      <c r="D15" s="2">
        <v>0</v>
      </c>
      <c r="E15" s="2" t="s">
        <v>106</v>
      </c>
      <c r="F15" s="2" t="s">
        <v>68</v>
      </c>
      <c r="G15" s="2" t="str">
        <f t="shared" si="0"/>
        <v>ATLANTICO</v>
      </c>
      <c r="H15" s="2" t="s">
        <v>69</v>
      </c>
      <c r="I15" s="2" t="s">
        <v>70</v>
      </c>
      <c r="J15" s="2" t="s">
        <v>71</v>
      </c>
      <c r="K15" s="2" t="s">
        <v>76</v>
      </c>
      <c r="L15" s="2" t="s">
        <v>71</v>
      </c>
      <c r="M15" s="2" t="s">
        <v>71</v>
      </c>
      <c r="N15" s="2" t="s">
        <v>71</v>
      </c>
      <c r="O15" s="2" t="s">
        <v>76</v>
      </c>
      <c r="P15" s="2" t="s">
        <v>76</v>
      </c>
      <c r="Q15" s="2" t="s">
        <v>76</v>
      </c>
      <c r="R15" s="2" t="s">
        <v>71</v>
      </c>
      <c r="S15" s="2" t="s">
        <v>71</v>
      </c>
      <c r="T15" s="2" t="s">
        <v>76</v>
      </c>
      <c r="U15" s="2" t="s">
        <v>76</v>
      </c>
      <c r="V15" s="2" t="s">
        <v>71</v>
      </c>
      <c r="W15" s="2" t="s">
        <v>71</v>
      </c>
      <c r="X15" s="2" t="s">
        <v>71</v>
      </c>
      <c r="Y15" s="2" t="s">
        <v>71</v>
      </c>
      <c r="Z15" s="2" t="s">
        <v>71</v>
      </c>
      <c r="AA15" s="2" t="s">
        <v>71</v>
      </c>
      <c r="AB15" s="2" t="s">
        <v>71</v>
      </c>
      <c r="AC15" s="2" t="s">
        <v>71</v>
      </c>
      <c r="AD15" s="2" t="s">
        <v>71</v>
      </c>
      <c r="AE15" s="2" t="s">
        <v>71</v>
      </c>
      <c r="AF15" s="2" t="s">
        <v>76</v>
      </c>
      <c r="AG15" s="2" t="s">
        <v>76</v>
      </c>
      <c r="AH15" s="2" t="s">
        <v>77</v>
      </c>
      <c r="AI15" s="2">
        <v>2</v>
      </c>
    </row>
    <row r="16" spans="1:35" ht="32" x14ac:dyDescent="0.2">
      <c r="A16" s="2">
        <v>1045685911</v>
      </c>
      <c r="B16" s="2">
        <f>VLOOKUP(A16,[1]TRATAMIENTI!$A:$B,2,FALSE)</f>
        <v>15</v>
      </c>
      <c r="C16" t="s">
        <v>107</v>
      </c>
      <c r="D16" s="2">
        <v>0</v>
      </c>
      <c r="E16" t="s">
        <v>108</v>
      </c>
      <c r="F16" s="2" t="s">
        <v>68</v>
      </c>
      <c r="G16" s="2" t="str">
        <f t="shared" si="0"/>
        <v>ATLANTICO</v>
      </c>
      <c r="H16" s="2" t="s">
        <v>69</v>
      </c>
      <c r="I16" s="2" t="s">
        <v>70</v>
      </c>
      <c r="J16" s="2" t="s">
        <v>71</v>
      </c>
      <c r="K16" s="2" t="s">
        <v>71</v>
      </c>
      <c r="L16" s="2" t="s">
        <v>76</v>
      </c>
      <c r="M16" s="2" t="s">
        <v>76</v>
      </c>
      <c r="N16" s="2" t="s">
        <v>76</v>
      </c>
      <c r="O16" s="2" t="s">
        <v>76</v>
      </c>
      <c r="P16" s="2" t="s">
        <v>76</v>
      </c>
      <c r="Q16" s="2" t="s">
        <v>76</v>
      </c>
      <c r="R16" s="2" t="s">
        <v>71</v>
      </c>
      <c r="S16" s="2" t="s">
        <v>71</v>
      </c>
      <c r="T16" s="2" t="s">
        <v>76</v>
      </c>
      <c r="U16" s="2" t="s">
        <v>76</v>
      </c>
      <c r="V16" s="2" t="s">
        <v>71</v>
      </c>
      <c r="W16" s="2" t="s">
        <v>71</v>
      </c>
      <c r="X16" s="2" t="s">
        <v>71</v>
      </c>
      <c r="Y16" s="2" t="s">
        <v>71</v>
      </c>
      <c r="Z16" s="2" t="s">
        <v>71</v>
      </c>
      <c r="AA16" s="2" t="s">
        <v>71</v>
      </c>
      <c r="AB16" s="2" t="s">
        <v>71</v>
      </c>
      <c r="AC16" s="2" t="s">
        <v>71</v>
      </c>
      <c r="AD16" s="2" t="s">
        <v>71</v>
      </c>
      <c r="AE16" s="2" t="s">
        <v>71</v>
      </c>
      <c r="AF16" s="2" t="s">
        <v>76</v>
      </c>
      <c r="AG16" s="2" t="s">
        <v>76</v>
      </c>
      <c r="AH16" s="2" t="s">
        <v>80</v>
      </c>
      <c r="AI16" s="2">
        <v>1</v>
      </c>
    </row>
    <row r="17" spans="1:36" ht="32" x14ac:dyDescent="0.2">
      <c r="A17" s="2">
        <v>1045691917</v>
      </c>
      <c r="B17" s="2">
        <f>VLOOKUP(A17,[1]TRATAMIENTI!$A:$B,2,FALSE)</f>
        <v>16</v>
      </c>
      <c r="C17" t="s">
        <v>109</v>
      </c>
      <c r="D17" s="2">
        <v>0</v>
      </c>
      <c r="E17" t="s">
        <v>110</v>
      </c>
      <c r="F17" s="2" t="s">
        <v>68</v>
      </c>
      <c r="G17" s="2" t="str">
        <f t="shared" si="0"/>
        <v>ATLANTICO</v>
      </c>
      <c r="H17" s="2" t="s">
        <v>69</v>
      </c>
      <c r="I17" s="2" t="s">
        <v>70</v>
      </c>
      <c r="J17" s="2" t="s">
        <v>71</v>
      </c>
      <c r="K17" s="2" t="s">
        <v>71</v>
      </c>
      <c r="L17" s="2" t="s">
        <v>76</v>
      </c>
      <c r="M17" s="2" t="s">
        <v>76</v>
      </c>
      <c r="N17" s="2" t="s">
        <v>76</v>
      </c>
      <c r="O17" s="2" t="s">
        <v>76</v>
      </c>
      <c r="P17" s="2" t="s">
        <v>76</v>
      </c>
      <c r="Q17" s="2" t="s">
        <v>76</v>
      </c>
      <c r="R17" s="2" t="s">
        <v>71</v>
      </c>
      <c r="S17" s="2" t="s">
        <v>71</v>
      </c>
      <c r="T17" s="2" t="s">
        <v>76</v>
      </c>
      <c r="U17" s="2" t="s">
        <v>76</v>
      </c>
      <c r="V17" s="2" t="s">
        <v>71</v>
      </c>
      <c r="W17" s="2" t="s">
        <v>71</v>
      </c>
      <c r="X17" s="2" t="s">
        <v>71</v>
      </c>
      <c r="Y17" s="2" t="s">
        <v>71</v>
      </c>
      <c r="Z17" s="2" t="s">
        <v>71</v>
      </c>
      <c r="AA17" s="2" t="s">
        <v>71</v>
      </c>
      <c r="AB17" s="2" t="s">
        <v>71</v>
      </c>
      <c r="AC17" s="2" t="s">
        <v>71</v>
      </c>
      <c r="AD17" s="2" t="s">
        <v>71</v>
      </c>
      <c r="AE17" s="2" t="s">
        <v>71</v>
      </c>
      <c r="AF17" s="2" t="s">
        <v>76</v>
      </c>
      <c r="AG17" s="2" t="s">
        <v>76</v>
      </c>
      <c r="AH17" s="2" t="s">
        <v>80</v>
      </c>
      <c r="AI17" s="2">
        <v>2</v>
      </c>
    </row>
    <row r="18" spans="1:36" ht="32" x14ac:dyDescent="0.2">
      <c r="A18" s="2">
        <v>1045724437</v>
      </c>
      <c r="B18" s="2">
        <f>VLOOKUP(A18,[1]TRATAMIENTI!$A:$B,2,FALSE)</f>
        <v>17</v>
      </c>
      <c r="C18" t="s">
        <v>111</v>
      </c>
      <c r="D18" s="2">
        <v>0</v>
      </c>
      <c r="E18" t="s">
        <v>112</v>
      </c>
      <c r="F18" s="2" t="s">
        <v>68</v>
      </c>
      <c r="G18" s="2" t="str">
        <f t="shared" si="0"/>
        <v>ATLANTICO</v>
      </c>
      <c r="H18" s="2" t="s">
        <v>69</v>
      </c>
      <c r="I18" s="2" t="s">
        <v>70</v>
      </c>
      <c r="J18" s="2" t="s">
        <v>71</v>
      </c>
      <c r="K18" s="2" t="s">
        <v>76</v>
      </c>
      <c r="L18" s="2" t="s">
        <v>76</v>
      </c>
      <c r="M18" s="2" t="s">
        <v>76</v>
      </c>
      <c r="N18" s="2" t="s">
        <v>76</v>
      </c>
      <c r="O18" s="2" t="s">
        <v>76</v>
      </c>
      <c r="P18" s="2" t="s">
        <v>76</v>
      </c>
      <c r="Q18" s="2" t="s">
        <v>76</v>
      </c>
      <c r="R18" s="2" t="s">
        <v>71</v>
      </c>
      <c r="S18" s="2" t="s">
        <v>71</v>
      </c>
      <c r="T18" s="2" t="s">
        <v>76</v>
      </c>
      <c r="U18" s="2" t="s">
        <v>76</v>
      </c>
      <c r="V18" s="2" t="s">
        <v>71</v>
      </c>
      <c r="W18" s="2" t="s">
        <v>71</v>
      </c>
      <c r="X18" s="2" t="s">
        <v>71</v>
      </c>
      <c r="Y18" s="2" t="s">
        <v>71</v>
      </c>
      <c r="Z18" s="2" t="s">
        <v>71</v>
      </c>
      <c r="AA18" s="2" t="s">
        <v>71</v>
      </c>
      <c r="AB18" s="2" t="s">
        <v>71</v>
      </c>
      <c r="AC18" s="2" t="s">
        <v>71</v>
      </c>
      <c r="AD18" s="2" t="s">
        <v>71</v>
      </c>
      <c r="AE18" s="2" t="s">
        <v>71</v>
      </c>
      <c r="AF18" s="2" t="s">
        <v>76</v>
      </c>
      <c r="AG18" s="2" t="s">
        <v>76</v>
      </c>
      <c r="AH18" s="2" t="s">
        <v>91</v>
      </c>
      <c r="AI18" s="2">
        <v>2</v>
      </c>
    </row>
    <row r="19" spans="1:36" ht="32" x14ac:dyDescent="0.2">
      <c r="A19" s="2">
        <v>1045731398</v>
      </c>
      <c r="B19" s="2">
        <f>VLOOKUP(A19,[1]TRATAMIENTI!$A:$B,2,FALSE)</f>
        <v>18</v>
      </c>
      <c r="C19" t="s">
        <v>113</v>
      </c>
      <c r="D19" s="2">
        <v>0</v>
      </c>
      <c r="E19" s="2" t="s">
        <v>114</v>
      </c>
      <c r="F19" s="2" t="s">
        <v>68</v>
      </c>
      <c r="G19" s="2" t="str">
        <f t="shared" si="0"/>
        <v>ATLANTICO</v>
      </c>
      <c r="H19" s="2" t="s">
        <v>69</v>
      </c>
      <c r="I19" s="2" t="s">
        <v>70</v>
      </c>
      <c r="J19" s="2" t="s">
        <v>71</v>
      </c>
      <c r="K19" s="2" t="s">
        <v>71</v>
      </c>
      <c r="L19" s="2" t="s">
        <v>76</v>
      </c>
      <c r="M19" s="2" t="s">
        <v>76</v>
      </c>
      <c r="N19" s="2" t="s">
        <v>72</v>
      </c>
      <c r="O19" s="2" t="s">
        <v>76</v>
      </c>
      <c r="P19" s="2" t="s">
        <v>76</v>
      </c>
      <c r="Q19" s="2" t="s">
        <v>76</v>
      </c>
      <c r="R19" s="2" t="s">
        <v>71</v>
      </c>
      <c r="S19" s="2" t="s">
        <v>71</v>
      </c>
      <c r="T19" s="2" t="s">
        <v>76</v>
      </c>
      <c r="U19" s="2" t="s">
        <v>76</v>
      </c>
      <c r="V19" s="2" t="s">
        <v>71</v>
      </c>
      <c r="W19" s="2" t="s">
        <v>71</v>
      </c>
      <c r="X19" s="2" t="s">
        <v>71</v>
      </c>
      <c r="Y19" s="2" t="s">
        <v>71</v>
      </c>
      <c r="Z19" s="2" t="s">
        <v>71</v>
      </c>
      <c r="AA19" s="2" t="s">
        <v>71</v>
      </c>
      <c r="AB19" s="2" t="s">
        <v>71</v>
      </c>
      <c r="AC19" s="2" t="s">
        <v>71</v>
      </c>
      <c r="AD19" s="2" t="s">
        <v>71</v>
      </c>
      <c r="AE19" s="2" t="s">
        <v>71</v>
      </c>
      <c r="AF19" s="2" t="s">
        <v>76</v>
      </c>
      <c r="AG19" s="2" t="s">
        <v>76</v>
      </c>
      <c r="AH19" s="2" t="s">
        <v>80</v>
      </c>
      <c r="AI19" s="2">
        <v>2</v>
      </c>
    </row>
    <row r="20" spans="1:36" ht="32" x14ac:dyDescent="0.2">
      <c r="A20" s="2">
        <v>1045741495</v>
      </c>
      <c r="B20" s="2">
        <f>VLOOKUP(A20,[1]TRATAMIENTI!$A:$B,2,FALSE)</f>
        <v>19</v>
      </c>
      <c r="C20" t="s">
        <v>115</v>
      </c>
      <c r="D20" t="s">
        <v>116</v>
      </c>
      <c r="E20" s="2" t="s">
        <v>117</v>
      </c>
      <c r="F20" s="2" t="s">
        <v>68</v>
      </c>
      <c r="G20" s="2" t="str">
        <f t="shared" si="0"/>
        <v>ATLANTICO</v>
      </c>
      <c r="H20" s="2" t="s">
        <v>69</v>
      </c>
      <c r="I20" s="2" t="s">
        <v>70</v>
      </c>
      <c r="J20" s="2" t="s">
        <v>71</v>
      </c>
      <c r="K20" s="2" t="s">
        <v>72</v>
      </c>
      <c r="L20" s="2" t="s">
        <v>71</v>
      </c>
      <c r="M20" s="2" t="s">
        <v>71</v>
      </c>
      <c r="N20" s="2" t="s">
        <v>71</v>
      </c>
      <c r="O20" s="2" t="s">
        <v>76</v>
      </c>
      <c r="P20" s="2" t="s">
        <v>76</v>
      </c>
      <c r="Q20" s="2" t="s">
        <v>76</v>
      </c>
      <c r="R20" s="2" t="s">
        <v>71</v>
      </c>
      <c r="S20" s="2" t="s">
        <v>71</v>
      </c>
      <c r="T20" s="2" t="s">
        <v>76</v>
      </c>
      <c r="U20" s="2" t="s">
        <v>76</v>
      </c>
      <c r="V20" s="2" t="s">
        <v>71</v>
      </c>
      <c r="W20" s="2" t="s">
        <v>71</v>
      </c>
      <c r="X20" s="2" t="s">
        <v>71</v>
      </c>
      <c r="Y20" s="2" t="s">
        <v>71</v>
      </c>
      <c r="Z20" s="2" t="s">
        <v>71</v>
      </c>
      <c r="AA20" s="2" t="s">
        <v>71</v>
      </c>
      <c r="AB20" s="2" t="s">
        <v>71</v>
      </c>
      <c r="AC20" s="2" t="s">
        <v>71</v>
      </c>
      <c r="AD20" s="2" t="s">
        <v>71</v>
      </c>
      <c r="AE20" s="2" t="s">
        <v>71</v>
      </c>
      <c r="AF20" s="2" t="s">
        <v>76</v>
      </c>
      <c r="AG20" s="2" t="s">
        <v>76</v>
      </c>
      <c r="AH20" s="2" t="s">
        <v>77</v>
      </c>
      <c r="AI20" s="2">
        <v>1</v>
      </c>
    </row>
    <row r="21" spans="1:36" ht="32" x14ac:dyDescent="0.2">
      <c r="A21" s="2">
        <v>1045743889</v>
      </c>
      <c r="B21" s="2">
        <f>VLOOKUP(A21,[1]TRATAMIENTI!$A:$B,2,FALSE)</f>
        <v>20</v>
      </c>
      <c r="C21" t="s">
        <v>118</v>
      </c>
      <c r="D21" s="2">
        <v>0</v>
      </c>
      <c r="E21" t="s">
        <v>119</v>
      </c>
      <c r="F21" s="2" t="s">
        <v>68</v>
      </c>
      <c r="G21" s="2" t="str">
        <f t="shared" si="0"/>
        <v>ATLANTICO</v>
      </c>
      <c r="H21" s="2" t="s">
        <v>69</v>
      </c>
      <c r="I21" s="2" t="s">
        <v>70</v>
      </c>
      <c r="J21" s="2" t="s">
        <v>71</v>
      </c>
      <c r="K21" s="2" t="s">
        <v>71</v>
      </c>
      <c r="L21" s="2" t="s">
        <v>76</v>
      </c>
      <c r="M21" s="2" t="s">
        <v>76</v>
      </c>
      <c r="N21" s="2" t="s">
        <v>76</v>
      </c>
      <c r="O21" s="2" t="s">
        <v>76</v>
      </c>
      <c r="P21" s="2" t="s">
        <v>76</v>
      </c>
      <c r="Q21" s="2" t="s">
        <v>76</v>
      </c>
      <c r="R21" s="2" t="s">
        <v>71</v>
      </c>
      <c r="S21" s="2" t="s">
        <v>71</v>
      </c>
      <c r="T21" s="2" t="s">
        <v>72</v>
      </c>
      <c r="U21" s="2" t="s">
        <v>72</v>
      </c>
      <c r="V21" s="2" t="s">
        <v>71</v>
      </c>
      <c r="W21" s="2" t="s">
        <v>71</v>
      </c>
      <c r="X21" s="2" t="s">
        <v>71</v>
      </c>
      <c r="Y21" s="2" t="s">
        <v>71</v>
      </c>
      <c r="Z21" s="2" t="s">
        <v>71</v>
      </c>
      <c r="AA21" s="2" t="s">
        <v>71</v>
      </c>
      <c r="AB21" s="2" t="s">
        <v>71</v>
      </c>
      <c r="AC21" s="2" t="s">
        <v>71</v>
      </c>
      <c r="AD21" s="2" t="s">
        <v>71</v>
      </c>
      <c r="AE21" s="2" t="s">
        <v>71</v>
      </c>
      <c r="AF21" s="2" t="s">
        <v>72</v>
      </c>
      <c r="AG21" s="2" t="s">
        <v>72</v>
      </c>
      <c r="AH21" s="2" t="s">
        <v>80</v>
      </c>
      <c r="AI21" s="2">
        <v>2</v>
      </c>
    </row>
    <row r="22" spans="1:36" ht="32" x14ac:dyDescent="0.2">
      <c r="A22" s="2">
        <v>1045746691</v>
      </c>
      <c r="B22" s="2">
        <f>VLOOKUP(A22,[1]TRATAMIENTI!$A:$B,2,FALSE)</f>
        <v>21</v>
      </c>
      <c r="C22" t="s">
        <v>120</v>
      </c>
      <c r="D22" s="2">
        <v>0</v>
      </c>
      <c r="E22" t="s">
        <v>121</v>
      </c>
      <c r="F22" s="2" t="s">
        <v>68</v>
      </c>
      <c r="G22" s="2" t="str">
        <f t="shared" si="0"/>
        <v>ATLANTICO</v>
      </c>
      <c r="H22" s="2" t="s">
        <v>69</v>
      </c>
      <c r="I22" s="2" t="s">
        <v>70</v>
      </c>
      <c r="AH22" s="2" t="s">
        <v>91</v>
      </c>
      <c r="AI22" s="2">
        <v>1</v>
      </c>
    </row>
    <row r="23" spans="1:36" ht="32" x14ac:dyDescent="0.2">
      <c r="A23" s="2">
        <v>1045748346</v>
      </c>
      <c r="B23" s="2">
        <f>VLOOKUP(A23,[1]TRATAMIENTI!$A:$B,2,FALSE)</f>
        <v>22</v>
      </c>
      <c r="C23" t="s">
        <v>122</v>
      </c>
      <c r="D23" s="2">
        <v>0</v>
      </c>
      <c r="E23" s="2">
        <v>0</v>
      </c>
      <c r="F23" s="2" t="s">
        <v>68</v>
      </c>
      <c r="G23" s="2" t="str">
        <f t="shared" si="0"/>
        <v>ATLANTICO</v>
      </c>
      <c r="H23" s="2" t="s">
        <v>69</v>
      </c>
      <c r="I23" s="2" t="s">
        <v>70</v>
      </c>
      <c r="J23" s="2" t="s">
        <v>71</v>
      </c>
      <c r="K23" s="2" t="s">
        <v>71</v>
      </c>
      <c r="L23" s="2" t="s">
        <v>76</v>
      </c>
      <c r="M23" s="2" t="s">
        <v>76</v>
      </c>
      <c r="N23" s="2" t="s">
        <v>76</v>
      </c>
      <c r="O23" s="2" t="s">
        <v>76</v>
      </c>
      <c r="P23" s="2" t="s">
        <v>76</v>
      </c>
      <c r="Q23" s="2" t="s">
        <v>76</v>
      </c>
      <c r="R23" s="2" t="s">
        <v>71</v>
      </c>
      <c r="S23" s="2" t="s">
        <v>71</v>
      </c>
      <c r="T23" s="2" t="s">
        <v>76</v>
      </c>
      <c r="U23" s="2" t="s">
        <v>76</v>
      </c>
      <c r="V23" s="2" t="s">
        <v>71</v>
      </c>
      <c r="W23" s="2" t="s">
        <v>71</v>
      </c>
      <c r="X23" s="2" t="s">
        <v>71</v>
      </c>
      <c r="Y23" s="2" t="s">
        <v>71</v>
      </c>
      <c r="Z23" s="2" t="s">
        <v>71</v>
      </c>
      <c r="AA23" s="2" t="s">
        <v>71</v>
      </c>
      <c r="AB23" s="2" t="s">
        <v>71</v>
      </c>
      <c r="AC23" s="2" t="s">
        <v>71</v>
      </c>
      <c r="AD23" s="2" t="s">
        <v>71</v>
      </c>
      <c r="AE23" s="2" t="s">
        <v>71</v>
      </c>
      <c r="AF23" s="2" t="s">
        <v>76</v>
      </c>
      <c r="AG23" s="2" t="s">
        <v>76</v>
      </c>
      <c r="AH23" s="2" t="s">
        <v>80</v>
      </c>
      <c r="AI23" s="2">
        <v>2</v>
      </c>
    </row>
    <row r="24" spans="1:36" ht="32" x14ac:dyDescent="0.2">
      <c r="A24" s="2">
        <v>1045759593</v>
      </c>
      <c r="B24" s="2">
        <f>VLOOKUP(A24,[1]TRATAMIENTI!$A:$B,2,FALSE)</f>
        <v>23</v>
      </c>
      <c r="C24" t="s">
        <v>123</v>
      </c>
      <c r="D24" s="2">
        <v>0</v>
      </c>
      <c r="E24" s="2" t="s">
        <v>124</v>
      </c>
      <c r="F24" s="2" t="s">
        <v>68</v>
      </c>
      <c r="G24" s="2" t="str">
        <f t="shared" si="0"/>
        <v>ATLANTICO</v>
      </c>
      <c r="H24" s="2" t="s">
        <v>69</v>
      </c>
      <c r="I24" s="2" t="s">
        <v>70</v>
      </c>
      <c r="J24" s="2" t="s">
        <v>71</v>
      </c>
      <c r="K24" s="2" t="s">
        <v>71</v>
      </c>
      <c r="L24" s="2" t="s">
        <v>76</v>
      </c>
      <c r="M24" s="2" t="s">
        <v>76</v>
      </c>
      <c r="N24" s="2" t="s">
        <v>72</v>
      </c>
      <c r="O24" s="2" t="s">
        <v>76</v>
      </c>
      <c r="P24" s="2" t="s">
        <v>76</v>
      </c>
      <c r="Q24" s="2" t="s">
        <v>76</v>
      </c>
      <c r="R24" s="2" t="s">
        <v>71</v>
      </c>
      <c r="S24" s="2" t="s">
        <v>71</v>
      </c>
      <c r="T24" s="2" t="s">
        <v>76</v>
      </c>
      <c r="U24" s="2" t="s">
        <v>76</v>
      </c>
      <c r="V24" s="2" t="s">
        <v>71</v>
      </c>
      <c r="W24" s="2" t="s">
        <v>71</v>
      </c>
      <c r="X24" s="2" t="s">
        <v>71</v>
      </c>
      <c r="Y24" s="2" t="s">
        <v>71</v>
      </c>
      <c r="Z24" s="2" t="s">
        <v>71</v>
      </c>
      <c r="AA24" s="2" t="s">
        <v>71</v>
      </c>
      <c r="AB24" s="2" t="s">
        <v>71</v>
      </c>
      <c r="AC24" s="2" t="s">
        <v>71</v>
      </c>
      <c r="AE24" s="2" t="s">
        <v>71</v>
      </c>
      <c r="AF24" s="2" t="s">
        <v>72</v>
      </c>
      <c r="AG24" s="2" t="s">
        <v>72</v>
      </c>
      <c r="AH24" s="2" t="s">
        <v>80</v>
      </c>
      <c r="AI24" s="2">
        <v>1</v>
      </c>
    </row>
    <row r="25" spans="1:36" ht="32" x14ac:dyDescent="0.2">
      <c r="A25" s="2">
        <v>1047048484</v>
      </c>
      <c r="B25" s="2">
        <f>VLOOKUP(A25,[1]TRATAMIENTI!$A:$B,2,FALSE)</f>
        <v>24</v>
      </c>
      <c r="C25" t="s">
        <v>125</v>
      </c>
      <c r="D25">
        <v>3022741473</v>
      </c>
      <c r="E25" t="s">
        <v>126</v>
      </c>
      <c r="F25" s="2" t="s">
        <v>68</v>
      </c>
      <c r="G25" s="2" t="str">
        <f t="shared" si="0"/>
        <v>ATLANTICO</v>
      </c>
      <c r="H25" s="2" t="s">
        <v>69</v>
      </c>
      <c r="I25" s="2" t="s">
        <v>70</v>
      </c>
      <c r="J25" s="2" t="s">
        <v>71</v>
      </c>
      <c r="K25" s="2" t="s">
        <v>72</v>
      </c>
      <c r="L25" s="2" t="s">
        <v>71</v>
      </c>
      <c r="M25" s="2" t="s">
        <v>71</v>
      </c>
      <c r="N25" s="2" t="s">
        <v>71</v>
      </c>
      <c r="O25" s="2" t="s">
        <v>76</v>
      </c>
      <c r="P25" s="2" t="s">
        <v>76</v>
      </c>
      <c r="Q25" s="2" t="s">
        <v>76</v>
      </c>
      <c r="R25" s="2" t="s">
        <v>71</v>
      </c>
      <c r="S25" s="2" t="s">
        <v>71</v>
      </c>
      <c r="T25" s="2" t="s">
        <v>76</v>
      </c>
      <c r="U25" s="2" t="s">
        <v>76</v>
      </c>
      <c r="V25" s="2" t="s">
        <v>71</v>
      </c>
      <c r="W25" s="2" t="s">
        <v>71</v>
      </c>
      <c r="X25" s="2" t="s">
        <v>71</v>
      </c>
      <c r="Y25" s="2" t="s">
        <v>71</v>
      </c>
      <c r="Z25" s="2" t="s">
        <v>71</v>
      </c>
      <c r="AA25" s="2" t="s">
        <v>71</v>
      </c>
      <c r="AB25" s="2" t="s">
        <v>71</v>
      </c>
      <c r="AC25" s="2" t="s">
        <v>71</v>
      </c>
      <c r="AD25" s="2" t="s">
        <v>71</v>
      </c>
      <c r="AE25" s="2" t="s">
        <v>71</v>
      </c>
      <c r="AF25" s="2" t="s">
        <v>72</v>
      </c>
      <c r="AG25" s="2" t="s">
        <v>72</v>
      </c>
      <c r="AH25" s="2" t="s">
        <v>77</v>
      </c>
      <c r="AI25" s="2">
        <v>1</v>
      </c>
    </row>
    <row r="26" spans="1:36" ht="32" x14ac:dyDescent="0.2">
      <c r="A26" s="2">
        <v>1047221609</v>
      </c>
      <c r="B26" s="2">
        <f>VLOOKUP(A26,[1]TRATAMIENTI!$A:$B,2,FALSE)</f>
        <v>25</v>
      </c>
      <c r="C26" t="s">
        <v>127</v>
      </c>
      <c r="D26" s="2">
        <v>0</v>
      </c>
      <c r="E26" s="2" t="s">
        <v>128</v>
      </c>
      <c r="F26" s="2" t="s">
        <v>68</v>
      </c>
      <c r="G26" s="2" t="str">
        <f t="shared" si="0"/>
        <v>ATLANTICO</v>
      </c>
      <c r="H26" s="2" t="s">
        <v>69</v>
      </c>
      <c r="I26" s="2" t="s">
        <v>70</v>
      </c>
      <c r="J26" s="2" t="s">
        <v>71</v>
      </c>
      <c r="K26" s="2" t="s">
        <v>71</v>
      </c>
      <c r="L26" s="2" t="s">
        <v>76</v>
      </c>
      <c r="M26" s="2" t="s">
        <v>76</v>
      </c>
      <c r="N26" s="2" t="s">
        <v>72</v>
      </c>
      <c r="O26" s="2" t="s">
        <v>76</v>
      </c>
      <c r="P26" s="2" t="s">
        <v>76</v>
      </c>
      <c r="Q26" s="2" t="s">
        <v>76</v>
      </c>
      <c r="R26" s="2" t="s">
        <v>71</v>
      </c>
      <c r="S26" s="2" t="s">
        <v>71</v>
      </c>
      <c r="T26" s="2" t="s">
        <v>76</v>
      </c>
      <c r="U26" s="2" t="s">
        <v>76</v>
      </c>
      <c r="V26" s="2" t="s">
        <v>71</v>
      </c>
      <c r="W26" s="2" t="s">
        <v>71</v>
      </c>
      <c r="X26" s="2" t="s">
        <v>71</v>
      </c>
      <c r="Y26" s="2" t="s">
        <v>71</v>
      </c>
      <c r="Z26" s="2" t="s">
        <v>71</v>
      </c>
      <c r="AA26" s="2" t="s">
        <v>71</v>
      </c>
      <c r="AB26" s="2" t="s">
        <v>71</v>
      </c>
      <c r="AC26" s="2" t="s">
        <v>71</v>
      </c>
      <c r="AD26" s="2" t="s">
        <v>71</v>
      </c>
      <c r="AE26" s="2" t="s">
        <v>71</v>
      </c>
      <c r="AF26" s="2" t="s">
        <v>76</v>
      </c>
      <c r="AG26" s="2" t="s">
        <v>76</v>
      </c>
      <c r="AH26" s="2" t="s">
        <v>80</v>
      </c>
      <c r="AI26" s="2">
        <v>2</v>
      </c>
    </row>
    <row r="27" spans="1:36" ht="32" x14ac:dyDescent="0.2">
      <c r="A27" s="2">
        <v>1047223166</v>
      </c>
      <c r="B27" s="2">
        <f>VLOOKUP(A27,[1]TRATAMIENTI!$A:$B,2,FALSE)</f>
        <v>26</v>
      </c>
      <c r="C27" t="s">
        <v>129</v>
      </c>
      <c r="D27" t="s">
        <v>130</v>
      </c>
      <c r="E27" s="2" t="s">
        <v>131</v>
      </c>
      <c r="F27" s="2" t="s">
        <v>68</v>
      </c>
      <c r="G27" s="2" t="str">
        <f t="shared" si="0"/>
        <v>ATLANTICO</v>
      </c>
      <c r="H27" s="2" t="s">
        <v>69</v>
      </c>
      <c r="I27" s="2" t="s">
        <v>70</v>
      </c>
      <c r="J27" s="2" t="s">
        <v>71</v>
      </c>
      <c r="K27" s="2" t="s">
        <v>72</v>
      </c>
      <c r="L27" s="2" t="s">
        <v>71</v>
      </c>
      <c r="M27" s="2" t="s">
        <v>71</v>
      </c>
      <c r="N27" s="2" t="s">
        <v>71</v>
      </c>
      <c r="O27" s="2" t="s">
        <v>76</v>
      </c>
      <c r="P27" s="2" t="s">
        <v>76</v>
      </c>
      <c r="Q27" s="2" t="s">
        <v>76</v>
      </c>
      <c r="R27" s="2" t="s">
        <v>71</v>
      </c>
      <c r="S27" s="2" t="s">
        <v>71</v>
      </c>
      <c r="T27" s="2" t="s">
        <v>76</v>
      </c>
      <c r="U27" s="2" t="s">
        <v>76</v>
      </c>
      <c r="V27" s="2" t="s">
        <v>71</v>
      </c>
      <c r="W27" s="2" t="s">
        <v>71</v>
      </c>
      <c r="X27" s="2" t="s">
        <v>71</v>
      </c>
      <c r="Y27" s="2" t="s">
        <v>71</v>
      </c>
      <c r="Z27" s="2" t="s">
        <v>71</v>
      </c>
      <c r="AA27" s="2" t="s">
        <v>71</v>
      </c>
      <c r="AB27" s="2" t="s">
        <v>71</v>
      </c>
      <c r="AC27" s="2" t="s">
        <v>71</v>
      </c>
      <c r="AD27" s="2" t="s">
        <v>71</v>
      </c>
      <c r="AE27" s="2" t="s">
        <v>71</v>
      </c>
      <c r="AF27" s="2" t="s">
        <v>76</v>
      </c>
      <c r="AG27" s="2" t="s">
        <v>76</v>
      </c>
      <c r="AH27" s="2" t="s">
        <v>77</v>
      </c>
      <c r="AI27" s="2">
        <v>2</v>
      </c>
    </row>
    <row r="28" spans="1:36" ht="32" x14ac:dyDescent="0.2">
      <c r="A28" s="2">
        <v>1047226056</v>
      </c>
      <c r="B28" s="2">
        <f>VLOOKUP(A28,[1]TRATAMIENTI!$A:$B,2,FALSE)</f>
        <v>27</v>
      </c>
      <c r="C28" t="s">
        <v>132</v>
      </c>
      <c r="D28" t="s">
        <v>133</v>
      </c>
      <c r="E28" s="2" t="s">
        <v>134</v>
      </c>
      <c r="F28" s="2" t="s">
        <v>68</v>
      </c>
      <c r="G28" s="2" t="str">
        <f t="shared" si="0"/>
        <v>ATLANTICO</v>
      </c>
      <c r="H28" s="2" t="s">
        <v>69</v>
      </c>
      <c r="I28" s="2" t="s">
        <v>70</v>
      </c>
      <c r="J28" s="2" t="s">
        <v>71</v>
      </c>
      <c r="K28" s="2" t="s">
        <v>76</v>
      </c>
      <c r="L28" s="2" t="s">
        <v>76</v>
      </c>
      <c r="M28" s="2" t="s">
        <v>76</v>
      </c>
      <c r="N28" s="2" t="s">
        <v>76</v>
      </c>
      <c r="O28" s="2" t="s">
        <v>71</v>
      </c>
      <c r="P28" s="2" t="s">
        <v>76</v>
      </c>
      <c r="Q28" s="2" t="s">
        <v>71</v>
      </c>
      <c r="R28" s="2" t="s">
        <v>71</v>
      </c>
      <c r="S28" s="2" t="s">
        <v>71</v>
      </c>
      <c r="T28" s="2" t="s">
        <v>76</v>
      </c>
      <c r="U28" s="2" t="s">
        <v>76</v>
      </c>
      <c r="V28" s="2" t="s">
        <v>71</v>
      </c>
      <c r="W28" s="2" t="s">
        <v>71</v>
      </c>
      <c r="X28" s="2" t="s">
        <v>71</v>
      </c>
      <c r="Y28" s="2" t="s">
        <v>71</v>
      </c>
      <c r="Z28" s="2" t="s">
        <v>71</v>
      </c>
      <c r="AA28" s="2" t="s">
        <v>71</v>
      </c>
      <c r="AB28" s="2" t="s">
        <v>71</v>
      </c>
      <c r="AC28" s="2" t="s">
        <v>71</v>
      </c>
      <c r="AD28" s="2" t="s">
        <v>71</v>
      </c>
      <c r="AE28" s="2" t="s">
        <v>71</v>
      </c>
      <c r="AF28" s="2" t="s">
        <v>76</v>
      </c>
      <c r="AG28" s="2" t="s">
        <v>76</v>
      </c>
      <c r="AH28" s="2" t="s">
        <v>85</v>
      </c>
      <c r="AI28" s="2">
        <v>2</v>
      </c>
    </row>
    <row r="29" spans="1:36" s="39" customFormat="1" ht="32" x14ac:dyDescent="0.2">
      <c r="A29" s="39">
        <v>1047227573</v>
      </c>
      <c r="B29" s="39">
        <f>VLOOKUP(A29,[1]TRATAMIENTI!$A:$B,2,FALSE)</f>
        <v>28</v>
      </c>
      <c r="C29" s="40" t="s">
        <v>135</v>
      </c>
      <c r="D29" s="39">
        <v>0</v>
      </c>
      <c r="E29" s="39" t="s">
        <v>136</v>
      </c>
      <c r="F29" s="39" t="s">
        <v>68</v>
      </c>
      <c r="G29" s="39" t="str">
        <f t="shared" si="0"/>
        <v>ATLANTICO</v>
      </c>
      <c r="H29" s="39" t="s">
        <v>69</v>
      </c>
      <c r="I29" s="39" t="s">
        <v>70</v>
      </c>
      <c r="J29" s="39" t="s">
        <v>71</v>
      </c>
      <c r="K29" s="39" t="s">
        <v>72</v>
      </c>
      <c r="L29" s="39" t="s">
        <v>71</v>
      </c>
      <c r="M29" s="39" t="s">
        <v>71</v>
      </c>
      <c r="N29" s="39" t="s">
        <v>71</v>
      </c>
      <c r="O29" s="39" t="s">
        <v>76</v>
      </c>
      <c r="P29" s="39" t="s">
        <v>76</v>
      </c>
      <c r="Q29" s="39" t="s">
        <v>76</v>
      </c>
      <c r="R29" s="39" t="s">
        <v>71</v>
      </c>
      <c r="S29" s="39" t="s">
        <v>71</v>
      </c>
      <c r="T29" s="39" t="s">
        <v>76</v>
      </c>
      <c r="U29" s="39" t="s">
        <v>76</v>
      </c>
      <c r="V29" s="39" t="s">
        <v>71</v>
      </c>
      <c r="W29" s="39" t="s">
        <v>71</v>
      </c>
      <c r="X29" s="39" t="s">
        <v>71</v>
      </c>
      <c r="Y29" s="39" t="s">
        <v>71</v>
      </c>
      <c r="Z29" s="39" t="s">
        <v>71</v>
      </c>
      <c r="AA29" s="39" t="s">
        <v>71</v>
      </c>
      <c r="AB29" s="39" t="s">
        <v>71</v>
      </c>
      <c r="AC29" s="39" t="s">
        <v>71</v>
      </c>
      <c r="AD29" s="39" t="s">
        <v>71</v>
      </c>
      <c r="AE29" s="39" t="s">
        <v>71</v>
      </c>
      <c r="AF29" s="39" t="s">
        <v>71</v>
      </c>
      <c r="AG29" s="39" t="s">
        <v>71</v>
      </c>
      <c r="AH29" s="39" t="s">
        <v>77</v>
      </c>
      <c r="AI29" s="39">
        <v>2</v>
      </c>
      <c r="AJ29" s="39" t="s">
        <v>137</v>
      </c>
    </row>
    <row r="30" spans="1:36" ht="32" x14ac:dyDescent="0.2">
      <c r="A30" s="2">
        <v>1048220109</v>
      </c>
      <c r="B30" s="2">
        <f>VLOOKUP(A30,[1]TRATAMIENTI!$A:$B,2,FALSE)</f>
        <v>29</v>
      </c>
      <c r="C30" t="s">
        <v>138</v>
      </c>
      <c r="D30" s="2">
        <v>0</v>
      </c>
      <c r="E30" t="s">
        <v>139</v>
      </c>
      <c r="F30" s="2" t="s">
        <v>68</v>
      </c>
      <c r="G30" s="2" t="str">
        <f t="shared" si="0"/>
        <v>ATLANTICO</v>
      </c>
      <c r="H30" s="2" t="s">
        <v>69</v>
      </c>
      <c r="I30" s="2" t="s">
        <v>70</v>
      </c>
      <c r="J30" s="2" t="s">
        <v>71</v>
      </c>
      <c r="K30" s="2" t="s">
        <v>72</v>
      </c>
      <c r="L30" s="2" t="s">
        <v>71</v>
      </c>
      <c r="M30" s="2" t="s">
        <v>71</v>
      </c>
      <c r="N30" s="2" t="s">
        <v>71</v>
      </c>
      <c r="O30" s="2" t="s">
        <v>76</v>
      </c>
      <c r="P30" s="2" t="s">
        <v>76</v>
      </c>
      <c r="Q30" s="2" t="s">
        <v>76</v>
      </c>
      <c r="R30" s="2" t="s">
        <v>71</v>
      </c>
      <c r="S30" s="2" t="s">
        <v>71</v>
      </c>
      <c r="T30" s="2" t="s">
        <v>76</v>
      </c>
      <c r="U30" s="2" t="s">
        <v>76</v>
      </c>
      <c r="V30" s="2" t="s">
        <v>71</v>
      </c>
      <c r="W30" s="2" t="s">
        <v>71</v>
      </c>
      <c r="X30" s="2" t="s">
        <v>71</v>
      </c>
      <c r="Y30" s="2" t="s">
        <v>71</v>
      </c>
      <c r="Z30" s="2" t="s">
        <v>71</v>
      </c>
      <c r="AA30" s="2" t="s">
        <v>71</v>
      </c>
      <c r="AB30" s="2" t="s">
        <v>71</v>
      </c>
      <c r="AC30" s="2" t="s">
        <v>71</v>
      </c>
      <c r="AD30" s="2" t="s">
        <v>71</v>
      </c>
      <c r="AE30" s="2" t="s">
        <v>71</v>
      </c>
      <c r="AF30" s="2" t="s">
        <v>72</v>
      </c>
      <c r="AG30" s="2" t="s">
        <v>72</v>
      </c>
      <c r="AH30" s="2" t="s">
        <v>77</v>
      </c>
      <c r="AI30" s="2">
        <v>1</v>
      </c>
    </row>
    <row r="31" spans="1:36" ht="32" x14ac:dyDescent="0.2">
      <c r="A31" s="2">
        <v>1129487310</v>
      </c>
      <c r="B31" s="2">
        <f>VLOOKUP(A31,[1]TRATAMIENTI!$A:$B,2,FALSE)</f>
        <v>30</v>
      </c>
      <c r="C31" t="s">
        <v>140</v>
      </c>
      <c r="D31">
        <v>3022204707</v>
      </c>
      <c r="E31" t="s">
        <v>141</v>
      </c>
      <c r="F31" s="2" t="s">
        <v>68</v>
      </c>
      <c r="G31" s="2" t="str">
        <f t="shared" si="0"/>
        <v>ATLANTICO</v>
      </c>
      <c r="H31" s="2" t="s">
        <v>69</v>
      </c>
      <c r="I31" s="2" t="s">
        <v>70</v>
      </c>
      <c r="J31" s="2" t="s">
        <v>71</v>
      </c>
      <c r="K31" s="2" t="s">
        <v>76</v>
      </c>
      <c r="L31" s="2" t="s">
        <v>76</v>
      </c>
      <c r="M31" s="2" t="s">
        <v>76</v>
      </c>
      <c r="N31" s="2" t="s">
        <v>76</v>
      </c>
      <c r="O31" s="2" t="s">
        <v>76</v>
      </c>
      <c r="P31" s="2" t="s">
        <v>76</v>
      </c>
      <c r="Q31" s="2" t="s">
        <v>71</v>
      </c>
      <c r="R31" s="2" t="s">
        <v>71</v>
      </c>
      <c r="S31" s="2" t="s">
        <v>71</v>
      </c>
      <c r="T31" s="2" t="s">
        <v>76</v>
      </c>
      <c r="U31" s="2" t="s">
        <v>76</v>
      </c>
      <c r="V31" s="2" t="s">
        <v>71</v>
      </c>
      <c r="W31" s="2" t="s">
        <v>71</v>
      </c>
      <c r="X31" s="2" t="s">
        <v>71</v>
      </c>
      <c r="Y31" s="2" t="s">
        <v>71</v>
      </c>
      <c r="Z31" s="2" t="s">
        <v>71</v>
      </c>
      <c r="AA31" s="2" t="s">
        <v>71</v>
      </c>
      <c r="AB31" s="2" t="s">
        <v>71</v>
      </c>
      <c r="AC31" s="2" t="s">
        <v>71</v>
      </c>
      <c r="AD31" s="2" t="s">
        <v>71</v>
      </c>
      <c r="AE31" s="2" t="s">
        <v>71</v>
      </c>
      <c r="AF31" s="2" t="s">
        <v>76</v>
      </c>
      <c r="AG31" s="2" t="s">
        <v>76</v>
      </c>
      <c r="AH31" s="2" t="s">
        <v>91</v>
      </c>
      <c r="AI31" s="2">
        <v>2</v>
      </c>
    </row>
    <row r="32" spans="1:36" ht="16" x14ac:dyDescent="0.2">
      <c r="A32" s="2">
        <v>1129497775</v>
      </c>
      <c r="B32" s="2">
        <f>VLOOKUP(A32,[1]TRATAMIENTI!$A:$B,2,FALSE)</f>
        <v>31</v>
      </c>
      <c r="C32" t="s">
        <v>142</v>
      </c>
      <c r="D32">
        <v>3002552369</v>
      </c>
      <c r="E32" t="s">
        <v>143</v>
      </c>
      <c r="F32" s="2" t="s">
        <v>68</v>
      </c>
      <c r="G32" s="2" t="str">
        <f t="shared" si="0"/>
        <v>ATLANTICO</v>
      </c>
      <c r="H32" s="2" t="s">
        <v>69</v>
      </c>
      <c r="I32" s="2" t="s">
        <v>70</v>
      </c>
      <c r="AH32" s="2" t="s">
        <v>80</v>
      </c>
      <c r="AI32" s="2">
        <v>2</v>
      </c>
    </row>
    <row r="33" spans="1:36" ht="32" x14ac:dyDescent="0.2">
      <c r="A33" s="2">
        <v>1129498810</v>
      </c>
      <c r="B33" s="2">
        <f>VLOOKUP(A33,[1]TRATAMIENTI!$A:$B,2,FALSE)</f>
        <v>32</v>
      </c>
      <c r="C33" t="s">
        <v>144</v>
      </c>
      <c r="D33" s="2">
        <v>3153571514</v>
      </c>
      <c r="E33" t="s">
        <v>145</v>
      </c>
      <c r="F33" s="2" t="s">
        <v>68</v>
      </c>
      <c r="G33" s="2" t="str">
        <f t="shared" si="0"/>
        <v>ATLANTICO</v>
      </c>
      <c r="H33" s="2" t="s">
        <v>69</v>
      </c>
      <c r="I33" s="2" t="s">
        <v>70</v>
      </c>
      <c r="J33" s="2" t="s">
        <v>71</v>
      </c>
      <c r="K33" s="2" t="s">
        <v>76</v>
      </c>
      <c r="L33" s="2" t="s">
        <v>76</v>
      </c>
      <c r="M33" s="2" t="s">
        <v>76</v>
      </c>
      <c r="N33" s="2" t="s">
        <v>72</v>
      </c>
      <c r="O33" s="2" t="s">
        <v>71</v>
      </c>
      <c r="P33" s="2" t="s">
        <v>71</v>
      </c>
      <c r="Q33" s="2" t="s">
        <v>71</v>
      </c>
      <c r="R33" s="2" t="s">
        <v>71</v>
      </c>
      <c r="S33" s="2" t="s">
        <v>71</v>
      </c>
      <c r="T33" s="2" t="s">
        <v>76</v>
      </c>
      <c r="U33" s="2" t="s">
        <v>76</v>
      </c>
      <c r="V33" s="2" t="s">
        <v>71</v>
      </c>
      <c r="W33" s="2" t="s">
        <v>71</v>
      </c>
      <c r="X33" s="2" t="s">
        <v>71</v>
      </c>
      <c r="Y33" s="2" t="s">
        <v>71</v>
      </c>
      <c r="Z33" s="2" t="s">
        <v>71</v>
      </c>
      <c r="AA33" s="2" t="s">
        <v>71</v>
      </c>
      <c r="AB33" s="2" t="s">
        <v>71</v>
      </c>
      <c r="AC33" s="2" t="s">
        <v>71</v>
      </c>
      <c r="AD33" s="2" t="s">
        <v>71</v>
      </c>
      <c r="AE33" s="2" t="s">
        <v>71</v>
      </c>
      <c r="AF33" s="2" t="s">
        <v>72</v>
      </c>
      <c r="AG33" s="2" t="s">
        <v>72</v>
      </c>
      <c r="AH33" s="2" t="s">
        <v>85</v>
      </c>
      <c r="AI33" s="2">
        <v>1</v>
      </c>
    </row>
    <row r="34" spans="1:36" ht="32" x14ac:dyDescent="0.2">
      <c r="A34" s="2">
        <v>1129520081</v>
      </c>
      <c r="B34" s="2">
        <f>VLOOKUP(A34,[1]TRATAMIENTI!$A:$B,2,FALSE)</f>
        <v>33</v>
      </c>
      <c r="C34" t="s">
        <v>146</v>
      </c>
      <c r="D34" s="2">
        <v>0</v>
      </c>
      <c r="E34" t="s">
        <v>147</v>
      </c>
      <c r="F34" s="2" t="s">
        <v>68</v>
      </c>
      <c r="G34" s="2" t="str">
        <f t="shared" si="0"/>
        <v>ATLANTICO</v>
      </c>
      <c r="H34" s="2" t="s">
        <v>69</v>
      </c>
      <c r="I34" s="2" t="s">
        <v>70</v>
      </c>
      <c r="J34" s="2" t="s">
        <v>71</v>
      </c>
      <c r="K34" s="2" t="s">
        <v>76</v>
      </c>
      <c r="L34" s="2" t="s">
        <v>71</v>
      </c>
      <c r="M34" s="2" t="s">
        <v>76</v>
      </c>
      <c r="N34" s="2" t="s">
        <v>76</v>
      </c>
      <c r="O34" s="2" t="s">
        <v>76</v>
      </c>
      <c r="P34" s="2" t="s">
        <v>76</v>
      </c>
      <c r="Q34" s="2" t="s">
        <v>76</v>
      </c>
      <c r="R34" s="2" t="s">
        <v>71</v>
      </c>
      <c r="S34" s="2" t="s">
        <v>71</v>
      </c>
      <c r="T34" s="2" t="s">
        <v>76</v>
      </c>
      <c r="U34" s="2" t="s">
        <v>76</v>
      </c>
      <c r="V34" s="2" t="s">
        <v>71</v>
      </c>
      <c r="W34" s="2" t="s">
        <v>71</v>
      </c>
      <c r="X34" s="2" t="s">
        <v>71</v>
      </c>
      <c r="Y34" s="2" t="s">
        <v>71</v>
      </c>
      <c r="Z34" s="2" t="s">
        <v>71</v>
      </c>
      <c r="AA34" s="2" t="s">
        <v>71</v>
      </c>
      <c r="AB34" s="2" t="s">
        <v>71</v>
      </c>
      <c r="AC34" s="2" t="s">
        <v>71</v>
      </c>
      <c r="AD34" s="2" t="s">
        <v>71</v>
      </c>
      <c r="AE34" s="2" t="s">
        <v>71</v>
      </c>
      <c r="AF34" s="2" t="s">
        <v>76</v>
      </c>
      <c r="AG34" s="2" t="s">
        <v>76</v>
      </c>
      <c r="AH34" s="2" t="s">
        <v>91</v>
      </c>
      <c r="AI34" s="2">
        <v>1</v>
      </c>
    </row>
    <row r="35" spans="1:36" ht="32" x14ac:dyDescent="0.2">
      <c r="A35" s="2">
        <v>1129566300</v>
      </c>
      <c r="B35" s="2">
        <f>VLOOKUP(A35,[1]TRATAMIENTI!$A:$B,2,FALSE)</f>
        <v>34</v>
      </c>
      <c r="C35" t="s">
        <v>148</v>
      </c>
      <c r="D35" s="2">
        <v>0</v>
      </c>
      <c r="E35" s="2" t="s">
        <v>149</v>
      </c>
      <c r="F35" s="2" t="s">
        <v>68</v>
      </c>
      <c r="G35" s="2" t="str">
        <f t="shared" si="0"/>
        <v>ATLANTICO</v>
      </c>
      <c r="H35" s="2" t="s">
        <v>69</v>
      </c>
      <c r="I35" s="2" t="s">
        <v>70</v>
      </c>
      <c r="J35" s="2" t="s">
        <v>71</v>
      </c>
      <c r="K35" s="2" t="s">
        <v>71</v>
      </c>
      <c r="L35" s="2" t="s">
        <v>76</v>
      </c>
      <c r="M35" s="2" t="s">
        <v>76</v>
      </c>
      <c r="N35" s="2" t="s">
        <v>76</v>
      </c>
      <c r="O35" s="2" t="s">
        <v>76</v>
      </c>
      <c r="P35" s="2" t="s">
        <v>76</v>
      </c>
      <c r="Q35" s="2" t="s">
        <v>71</v>
      </c>
      <c r="R35" s="2" t="s">
        <v>71</v>
      </c>
      <c r="S35" s="2" t="s">
        <v>71</v>
      </c>
      <c r="T35" s="2" t="s">
        <v>76</v>
      </c>
      <c r="U35" s="2" t="s">
        <v>76</v>
      </c>
      <c r="V35" s="2" t="s">
        <v>71</v>
      </c>
      <c r="W35" s="2" t="s">
        <v>71</v>
      </c>
      <c r="X35" s="2" t="s">
        <v>71</v>
      </c>
      <c r="Y35" s="2" t="s">
        <v>71</v>
      </c>
      <c r="Z35" s="2" t="s">
        <v>71</v>
      </c>
      <c r="AA35" s="2" t="s">
        <v>71</v>
      </c>
      <c r="AB35" s="2" t="s">
        <v>71</v>
      </c>
      <c r="AC35" s="2" t="s">
        <v>71</v>
      </c>
      <c r="AD35" s="2" t="s">
        <v>71</v>
      </c>
      <c r="AE35" s="2" t="s">
        <v>71</v>
      </c>
      <c r="AF35" s="2" t="s">
        <v>76</v>
      </c>
      <c r="AG35" s="2" t="s">
        <v>76</v>
      </c>
      <c r="AH35" s="2" t="s">
        <v>80</v>
      </c>
      <c r="AI35" s="2">
        <v>2</v>
      </c>
    </row>
    <row r="36" spans="1:36" ht="32" x14ac:dyDescent="0.2">
      <c r="A36" s="2">
        <v>1140822745</v>
      </c>
      <c r="B36" s="2">
        <f>VLOOKUP(A36,[1]TRATAMIENTI!$A:$B,2,FALSE)</f>
        <v>35</v>
      </c>
      <c r="C36" t="s">
        <v>150</v>
      </c>
      <c r="D36" s="2">
        <v>0</v>
      </c>
      <c r="E36" s="2" t="s">
        <v>151</v>
      </c>
      <c r="F36" s="2" t="s">
        <v>68</v>
      </c>
      <c r="G36" s="2" t="str">
        <f t="shared" si="0"/>
        <v>ATLANTICO</v>
      </c>
      <c r="H36" s="2" t="s">
        <v>69</v>
      </c>
      <c r="I36" s="2" t="s">
        <v>70</v>
      </c>
      <c r="J36" s="2" t="s">
        <v>71</v>
      </c>
      <c r="K36" s="2" t="s">
        <v>72</v>
      </c>
      <c r="L36" s="2" t="s">
        <v>71</v>
      </c>
      <c r="M36" s="2" t="s">
        <v>71</v>
      </c>
      <c r="N36" s="2" t="s">
        <v>71</v>
      </c>
      <c r="O36" s="2" t="s">
        <v>71</v>
      </c>
      <c r="P36" s="2" t="s">
        <v>71</v>
      </c>
      <c r="Q36" s="2" t="s">
        <v>71</v>
      </c>
      <c r="R36" s="2" t="s">
        <v>71</v>
      </c>
      <c r="S36" s="2" t="s">
        <v>71</v>
      </c>
      <c r="T36" s="2" t="s">
        <v>71</v>
      </c>
      <c r="U36" s="2" t="s">
        <v>71</v>
      </c>
      <c r="V36" s="2" t="s">
        <v>71</v>
      </c>
      <c r="W36" s="2" t="s">
        <v>71</v>
      </c>
      <c r="X36" s="2" t="s">
        <v>71</v>
      </c>
      <c r="Y36" s="2" t="s">
        <v>71</v>
      </c>
      <c r="Z36" s="2" t="s">
        <v>71</v>
      </c>
      <c r="AA36" s="2" t="s">
        <v>71</v>
      </c>
      <c r="AB36" s="2" t="s">
        <v>71</v>
      </c>
      <c r="AC36" s="2" t="s">
        <v>71</v>
      </c>
      <c r="AD36" s="2" t="s">
        <v>71</v>
      </c>
      <c r="AE36" s="2" t="s">
        <v>71</v>
      </c>
      <c r="AF36" s="2" t="s">
        <v>71</v>
      </c>
      <c r="AG36" s="2" t="s">
        <v>71</v>
      </c>
      <c r="AH36" s="2" t="s">
        <v>73</v>
      </c>
      <c r="AI36" s="2">
        <v>2</v>
      </c>
      <c r="AJ36" s="2" t="s">
        <v>152</v>
      </c>
    </row>
    <row r="37" spans="1:36" ht="32" x14ac:dyDescent="0.2">
      <c r="A37" s="2">
        <v>1140837632</v>
      </c>
      <c r="B37" s="2">
        <f>VLOOKUP(A37,[1]TRATAMIENTI!$A:$B,2,FALSE)</f>
        <v>36</v>
      </c>
      <c r="C37" t="s">
        <v>153</v>
      </c>
      <c r="D37" s="2">
        <v>0</v>
      </c>
      <c r="E37" s="2" t="s">
        <v>154</v>
      </c>
      <c r="F37" s="2" t="s">
        <v>68</v>
      </c>
      <c r="G37" s="2" t="str">
        <f t="shared" si="0"/>
        <v>ATLANTICO</v>
      </c>
      <c r="H37" s="2" t="s">
        <v>69</v>
      </c>
      <c r="I37" s="2" t="s">
        <v>70</v>
      </c>
      <c r="J37" s="2" t="s">
        <v>71</v>
      </c>
      <c r="K37" s="2" t="s">
        <v>72</v>
      </c>
      <c r="L37" s="2" t="s">
        <v>71</v>
      </c>
      <c r="M37" s="2" t="s">
        <v>71</v>
      </c>
      <c r="N37" s="2" t="s">
        <v>71</v>
      </c>
      <c r="O37" s="2" t="s">
        <v>71</v>
      </c>
      <c r="P37" s="2" t="s">
        <v>71</v>
      </c>
      <c r="Q37" s="2" t="s">
        <v>71</v>
      </c>
      <c r="R37" s="2" t="s">
        <v>71</v>
      </c>
      <c r="S37" s="2" t="s">
        <v>71</v>
      </c>
      <c r="T37" s="2" t="s">
        <v>71</v>
      </c>
      <c r="U37" s="2" t="s">
        <v>71</v>
      </c>
      <c r="V37" s="2" t="s">
        <v>71</v>
      </c>
      <c r="W37" s="2" t="s">
        <v>71</v>
      </c>
      <c r="X37" s="2" t="s">
        <v>71</v>
      </c>
      <c r="Y37" s="2" t="s">
        <v>71</v>
      </c>
      <c r="Z37" s="2" t="s">
        <v>71</v>
      </c>
      <c r="AA37" s="2" t="s">
        <v>71</v>
      </c>
      <c r="AB37" s="2" t="s">
        <v>71</v>
      </c>
      <c r="AC37" s="2" t="s">
        <v>71</v>
      </c>
      <c r="AD37" s="2" t="s">
        <v>71</v>
      </c>
      <c r="AE37" s="2" t="s">
        <v>71</v>
      </c>
      <c r="AF37" s="2" t="s">
        <v>71</v>
      </c>
      <c r="AG37" s="2" t="s">
        <v>71</v>
      </c>
      <c r="AH37" s="2" t="s">
        <v>73</v>
      </c>
      <c r="AI37" s="2">
        <v>2</v>
      </c>
    </row>
    <row r="38" spans="1:36" ht="32" x14ac:dyDescent="0.2">
      <c r="A38" s="2">
        <v>1143224673</v>
      </c>
      <c r="B38" s="2">
        <f>VLOOKUP(A38,[1]TRATAMIENTI!$A:$B,2,FALSE)</f>
        <v>37</v>
      </c>
      <c r="C38" t="s">
        <v>155</v>
      </c>
      <c r="D38">
        <v>3242032383</v>
      </c>
      <c r="E38" s="2" t="s">
        <v>156</v>
      </c>
      <c r="F38" s="2" t="s">
        <v>68</v>
      </c>
      <c r="G38" s="2" t="str">
        <f t="shared" si="0"/>
        <v>ATLANTICO</v>
      </c>
      <c r="H38" s="2" t="s">
        <v>69</v>
      </c>
      <c r="I38" s="2" t="s">
        <v>70</v>
      </c>
      <c r="J38" s="2" t="s">
        <v>71</v>
      </c>
      <c r="K38" s="2" t="s">
        <v>71</v>
      </c>
      <c r="L38" s="2" t="s">
        <v>76</v>
      </c>
      <c r="M38" s="2" t="s">
        <v>76</v>
      </c>
      <c r="N38" s="2" t="s">
        <v>72</v>
      </c>
      <c r="O38" s="2" t="s">
        <v>76</v>
      </c>
      <c r="P38" s="2" t="s">
        <v>76</v>
      </c>
      <c r="Q38" s="2" t="s">
        <v>76</v>
      </c>
      <c r="R38" s="2" t="s">
        <v>71</v>
      </c>
      <c r="S38" s="2" t="s">
        <v>71</v>
      </c>
      <c r="T38" s="2" t="s">
        <v>76</v>
      </c>
      <c r="U38" s="2" t="s">
        <v>76</v>
      </c>
      <c r="V38" s="2" t="s">
        <v>71</v>
      </c>
      <c r="W38" s="2" t="s">
        <v>71</v>
      </c>
      <c r="X38" s="2" t="s">
        <v>71</v>
      </c>
      <c r="Y38" s="2" t="s">
        <v>71</v>
      </c>
      <c r="Z38" s="2" t="s">
        <v>71</v>
      </c>
      <c r="AA38" s="2" t="s">
        <v>71</v>
      </c>
      <c r="AB38" s="2" t="s">
        <v>71</v>
      </c>
      <c r="AC38" s="2" t="s">
        <v>71</v>
      </c>
      <c r="AD38" s="2" t="s">
        <v>71</v>
      </c>
      <c r="AE38" s="2" t="s">
        <v>71</v>
      </c>
      <c r="AF38" s="2" t="s">
        <v>76</v>
      </c>
      <c r="AG38" s="2" t="s">
        <v>76</v>
      </c>
      <c r="AH38" s="2" t="s">
        <v>80</v>
      </c>
      <c r="AI38" s="2">
        <v>1</v>
      </c>
    </row>
    <row r="39" spans="1:36" ht="32" x14ac:dyDescent="0.2">
      <c r="A39" s="2">
        <v>1143229612</v>
      </c>
      <c r="B39" s="2">
        <f>VLOOKUP(A39,[1]TRATAMIENTI!$A:$B,2,FALSE)</f>
        <v>38</v>
      </c>
      <c r="C39" t="s">
        <v>157</v>
      </c>
      <c r="D39" t="s">
        <v>158</v>
      </c>
      <c r="E39" s="2" t="s">
        <v>159</v>
      </c>
      <c r="F39" s="2" t="s">
        <v>68</v>
      </c>
      <c r="G39" s="2" t="str">
        <f t="shared" si="0"/>
        <v>ATLANTICO</v>
      </c>
      <c r="H39" s="2" t="s">
        <v>69</v>
      </c>
      <c r="I39" s="2" t="s">
        <v>70</v>
      </c>
      <c r="J39" s="2" t="s">
        <v>71</v>
      </c>
      <c r="K39" s="2" t="s">
        <v>76</v>
      </c>
      <c r="L39" s="2" t="s">
        <v>76</v>
      </c>
      <c r="M39" s="2" t="s">
        <v>76</v>
      </c>
      <c r="N39" s="2" t="s">
        <v>76</v>
      </c>
      <c r="O39" s="2" t="s">
        <v>76</v>
      </c>
      <c r="P39" s="2" t="s">
        <v>76</v>
      </c>
      <c r="Q39" s="2" t="s">
        <v>76</v>
      </c>
      <c r="R39" s="2" t="s">
        <v>71</v>
      </c>
      <c r="S39" s="2" t="s">
        <v>71</v>
      </c>
      <c r="T39" s="2" t="s">
        <v>76</v>
      </c>
      <c r="U39" s="2" t="s">
        <v>76</v>
      </c>
      <c r="V39" s="2" t="s">
        <v>71</v>
      </c>
      <c r="W39" s="2" t="s">
        <v>71</v>
      </c>
      <c r="X39" s="2" t="s">
        <v>71</v>
      </c>
      <c r="Y39" s="2" t="s">
        <v>71</v>
      </c>
      <c r="Z39" s="2" t="s">
        <v>71</v>
      </c>
      <c r="AA39" s="2" t="s">
        <v>71</v>
      </c>
      <c r="AB39" s="2" t="s">
        <v>71</v>
      </c>
      <c r="AC39" s="2" t="s">
        <v>71</v>
      </c>
      <c r="AD39" s="2" t="s">
        <v>71</v>
      </c>
      <c r="AE39" s="2" t="s">
        <v>71</v>
      </c>
      <c r="AF39" s="2" t="s">
        <v>76</v>
      </c>
      <c r="AG39" s="2" t="s">
        <v>76</v>
      </c>
      <c r="AH39" s="2" t="s">
        <v>91</v>
      </c>
      <c r="AI39" s="2">
        <v>1</v>
      </c>
    </row>
    <row r="40" spans="1:36" ht="32" x14ac:dyDescent="0.2">
      <c r="A40" s="2">
        <v>1143243433</v>
      </c>
      <c r="B40" s="2">
        <f>VLOOKUP(A40,[1]TRATAMIENTI!$A:$B,2,FALSE)</f>
        <v>39</v>
      </c>
      <c r="C40" t="s">
        <v>160</v>
      </c>
      <c r="D40" s="2">
        <v>0</v>
      </c>
      <c r="E40" t="s">
        <v>161</v>
      </c>
      <c r="F40" s="2" t="s">
        <v>68</v>
      </c>
      <c r="G40" s="2" t="str">
        <f t="shared" si="0"/>
        <v>ATLANTICO</v>
      </c>
      <c r="H40" s="2" t="s">
        <v>69</v>
      </c>
      <c r="I40" s="2" t="s">
        <v>70</v>
      </c>
      <c r="J40" s="2" t="s">
        <v>71</v>
      </c>
      <c r="K40" s="2" t="s">
        <v>72</v>
      </c>
      <c r="L40" s="2" t="s">
        <v>71</v>
      </c>
      <c r="M40" s="2" t="s">
        <v>71</v>
      </c>
      <c r="N40" s="2" t="s">
        <v>71</v>
      </c>
      <c r="O40" s="2" t="s">
        <v>76</v>
      </c>
      <c r="P40" s="2" t="s">
        <v>76</v>
      </c>
      <c r="Q40" s="2" t="s">
        <v>76</v>
      </c>
      <c r="R40" s="2" t="s">
        <v>71</v>
      </c>
      <c r="S40" s="2" t="s">
        <v>71</v>
      </c>
      <c r="T40" s="2" t="s">
        <v>76</v>
      </c>
      <c r="U40" s="2" t="s">
        <v>76</v>
      </c>
      <c r="V40" s="2" t="s">
        <v>71</v>
      </c>
      <c r="W40" s="2" t="s">
        <v>71</v>
      </c>
      <c r="X40" s="2" t="s">
        <v>71</v>
      </c>
      <c r="Y40" s="2" t="s">
        <v>71</v>
      </c>
      <c r="Z40" s="2" t="s">
        <v>71</v>
      </c>
      <c r="AA40" s="2" t="s">
        <v>71</v>
      </c>
      <c r="AB40" s="2" t="s">
        <v>71</v>
      </c>
      <c r="AC40" s="2" t="s">
        <v>71</v>
      </c>
      <c r="AD40" s="2" t="s">
        <v>71</v>
      </c>
      <c r="AE40" s="2" t="s">
        <v>71</v>
      </c>
      <c r="AF40" s="2" t="s">
        <v>76</v>
      </c>
      <c r="AG40" s="2" t="s">
        <v>76</v>
      </c>
      <c r="AH40" s="2" t="s">
        <v>77</v>
      </c>
      <c r="AI40" s="2">
        <v>1</v>
      </c>
    </row>
    <row r="41" spans="1:36" ht="32" x14ac:dyDescent="0.2">
      <c r="A41" s="2">
        <v>1143246211</v>
      </c>
      <c r="B41" s="2">
        <f>VLOOKUP(A41,[1]TRATAMIENTI!$A:$B,2,FALSE)</f>
        <v>40</v>
      </c>
      <c r="C41" t="s">
        <v>162</v>
      </c>
      <c r="D41">
        <v>3012781248</v>
      </c>
      <c r="E41" s="2" t="s">
        <v>163</v>
      </c>
      <c r="F41" s="2" t="s">
        <v>68</v>
      </c>
      <c r="G41" s="2" t="str">
        <f t="shared" si="0"/>
        <v>ATLANTICO</v>
      </c>
      <c r="H41" s="2" t="s">
        <v>69</v>
      </c>
      <c r="I41" s="2" t="s">
        <v>70</v>
      </c>
      <c r="J41" s="2" t="s">
        <v>71</v>
      </c>
      <c r="K41" s="2" t="s">
        <v>76</v>
      </c>
      <c r="L41" s="2" t="s">
        <v>71</v>
      </c>
      <c r="M41" s="2" t="s">
        <v>76</v>
      </c>
      <c r="N41" s="2" t="s">
        <v>71</v>
      </c>
      <c r="O41" s="2" t="s">
        <v>71</v>
      </c>
      <c r="P41" s="2" t="s">
        <v>71</v>
      </c>
      <c r="Q41" s="2" t="s">
        <v>71</v>
      </c>
      <c r="R41" s="2" t="s">
        <v>71</v>
      </c>
      <c r="S41" s="2" t="s">
        <v>71</v>
      </c>
      <c r="T41" s="2" t="s">
        <v>71</v>
      </c>
      <c r="U41" s="2" t="s">
        <v>71</v>
      </c>
      <c r="V41" s="2" t="s">
        <v>71</v>
      </c>
      <c r="W41" s="2" t="s">
        <v>71</v>
      </c>
      <c r="X41" s="2" t="s">
        <v>71</v>
      </c>
      <c r="Y41" s="2" t="s">
        <v>71</v>
      </c>
      <c r="Z41" s="2" t="s">
        <v>71</v>
      </c>
      <c r="AA41" s="2" t="s">
        <v>71</v>
      </c>
      <c r="AB41" s="2" t="s">
        <v>71</v>
      </c>
      <c r="AC41" s="2" t="s">
        <v>71</v>
      </c>
      <c r="AD41" s="2" t="s">
        <v>71</v>
      </c>
      <c r="AE41" s="2" t="s">
        <v>71</v>
      </c>
      <c r="AF41" s="2" t="s">
        <v>71</v>
      </c>
      <c r="AG41" s="2" t="s">
        <v>71</v>
      </c>
      <c r="AH41" s="2" t="s">
        <v>91</v>
      </c>
      <c r="AI41" s="2">
        <v>3</v>
      </c>
    </row>
    <row r="42" spans="1:36" ht="32" x14ac:dyDescent="0.2">
      <c r="A42" s="2">
        <v>1143247447</v>
      </c>
      <c r="B42" s="2">
        <f>VLOOKUP(A42,[1]TRATAMIENTI!$A:$B,2,FALSE)</f>
        <v>41</v>
      </c>
      <c r="C42" t="s">
        <v>164</v>
      </c>
      <c r="D42" s="2">
        <v>0</v>
      </c>
      <c r="E42" s="2" t="s">
        <v>165</v>
      </c>
      <c r="F42" s="2" t="s">
        <v>68</v>
      </c>
      <c r="G42" s="2" t="str">
        <f t="shared" si="0"/>
        <v>ATLANTICO</v>
      </c>
      <c r="H42" s="2" t="s">
        <v>69</v>
      </c>
      <c r="I42" s="2" t="s">
        <v>70</v>
      </c>
      <c r="J42" s="2" t="s">
        <v>71</v>
      </c>
      <c r="K42" s="2" t="s">
        <v>72</v>
      </c>
      <c r="L42" s="2" t="s">
        <v>71</v>
      </c>
      <c r="M42" s="2" t="s">
        <v>71</v>
      </c>
      <c r="N42" s="2" t="s">
        <v>71</v>
      </c>
      <c r="O42" s="2" t="s">
        <v>76</v>
      </c>
      <c r="P42" s="2" t="s">
        <v>76</v>
      </c>
      <c r="Q42" s="2" t="s">
        <v>76</v>
      </c>
      <c r="R42" s="2" t="s">
        <v>71</v>
      </c>
      <c r="S42" s="2" t="s">
        <v>71</v>
      </c>
      <c r="T42" s="2" t="s">
        <v>76</v>
      </c>
      <c r="U42" s="2" t="s">
        <v>76</v>
      </c>
      <c r="V42" s="2" t="s">
        <v>71</v>
      </c>
      <c r="W42" s="2" t="s">
        <v>71</v>
      </c>
      <c r="X42" s="2" t="s">
        <v>71</v>
      </c>
      <c r="Y42" s="2" t="s">
        <v>71</v>
      </c>
      <c r="Z42" s="2" t="s">
        <v>71</v>
      </c>
      <c r="AA42" s="2" t="s">
        <v>71</v>
      </c>
      <c r="AB42" s="2" t="s">
        <v>71</v>
      </c>
      <c r="AC42" s="2" t="s">
        <v>71</v>
      </c>
      <c r="AD42" s="2" t="s">
        <v>71</v>
      </c>
      <c r="AE42" s="2" t="s">
        <v>71</v>
      </c>
      <c r="AF42" s="2" t="s">
        <v>76</v>
      </c>
      <c r="AG42" s="2" t="s">
        <v>76</v>
      </c>
      <c r="AH42" s="2" t="s">
        <v>77</v>
      </c>
      <c r="AI42" s="2">
        <v>1</v>
      </c>
    </row>
    <row r="43" spans="1:36" ht="32" x14ac:dyDescent="0.2">
      <c r="A43" s="2">
        <v>1143259102</v>
      </c>
      <c r="B43" s="2">
        <f>VLOOKUP(A43,[1]TRATAMIENTI!$A:$B,2,FALSE)</f>
        <v>42</v>
      </c>
      <c r="C43" t="s">
        <v>166</v>
      </c>
      <c r="D43" s="2">
        <v>0</v>
      </c>
      <c r="E43" s="2" t="s">
        <v>161</v>
      </c>
      <c r="F43" s="2" t="s">
        <v>68</v>
      </c>
      <c r="G43" s="2" t="str">
        <f t="shared" si="0"/>
        <v>ATLANTICO</v>
      </c>
      <c r="H43" s="2" t="s">
        <v>69</v>
      </c>
      <c r="I43" s="2" t="s">
        <v>70</v>
      </c>
      <c r="J43" s="2" t="s">
        <v>71</v>
      </c>
      <c r="K43" s="2" t="s">
        <v>71</v>
      </c>
      <c r="L43" s="2" t="s">
        <v>71</v>
      </c>
      <c r="M43" s="2" t="s">
        <v>71</v>
      </c>
      <c r="N43" s="2" t="s">
        <v>71</v>
      </c>
      <c r="O43" s="2" t="s">
        <v>76</v>
      </c>
      <c r="P43" s="2" t="s">
        <v>76</v>
      </c>
      <c r="Q43" s="2" t="s">
        <v>76</v>
      </c>
      <c r="R43" s="2" t="s">
        <v>71</v>
      </c>
      <c r="S43" s="2" t="s">
        <v>71</v>
      </c>
      <c r="T43" s="2" t="s">
        <v>76</v>
      </c>
      <c r="U43" s="2" t="s">
        <v>76</v>
      </c>
      <c r="V43" s="2" t="s">
        <v>71</v>
      </c>
      <c r="W43" s="2" t="s">
        <v>71</v>
      </c>
      <c r="X43" s="2" t="s">
        <v>71</v>
      </c>
      <c r="Y43" s="2" t="s">
        <v>71</v>
      </c>
      <c r="Z43" s="2" t="s">
        <v>71</v>
      </c>
      <c r="AA43" s="2" t="s">
        <v>71</v>
      </c>
      <c r="AB43" s="2" t="s">
        <v>71</v>
      </c>
      <c r="AC43" s="2" t="s">
        <v>71</v>
      </c>
      <c r="AD43" s="2" t="s">
        <v>71</v>
      </c>
      <c r="AE43" s="2" t="s">
        <v>71</v>
      </c>
      <c r="AF43" s="2" t="s">
        <v>76</v>
      </c>
      <c r="AG43" s="2" t="s">
        <v>76</v>
      </c>
      <c r="AH43" s="2" t="s">
        <v>77</v>
      </c>
      <c r="AI43" s="2">
        <v>1</v>
      </c>
    </row>
    <row r="44" spans="1:36" ht="32" x14ac:dyDescent="0.2">
      <c r="A44" s="2">
        <v>1149440235</v>
      </c>
      <c r="B44" s="2">
        <f>VLOOKUP(A44,[1]TRATAMIENTI!$A:$B,2,FALSE)</f>
        <v>43</v>
      </c>
      <c r="C44" t="s">
        <v>167</v>
      </c>
      <c r="D44">
        <v>3244819667</v>
      </c>
      <c r="E44" s="2" t="s">
        <v>168</v>
      </c>
      <c r="F44" s="2" t="s">
        <v>68</v>
      </c>
      <c r="G44" s="2" t="str">
        <f t="shared" si="0"/>
        <v>ATLANTICO</v>
      </c>
      <c r="H44" s="2" t="s">
        <v>69</v>
      </c>
      <c r="I44" s="2" t="s">
        <v>70</v>
      </c>
      <c r="J44" s="2" t="s">
        <v>71</v>
      </c>
      <c r="K44" s="2" t="s">
        <v>76</v>
      </c>
      <c r="L44" s="2" t="s">
        <v>71</v>
      </c>
      <c r="M44" s="2" t="s">
        <v>71</v>
      </c>
      <c r="N44" s="2" t="s">
        <v>71</v>
      </c>
      <c r="O44" s="2" t="s">
        <v>76</v>
      </c>
      <c r="P44" s="2" t="s">
        <v>76</v>
      </c>
      <c r="Q44" s="2" t="s">
        <v>76</v>
      </c>
      <c r="R44" s="2" t="s">
        <v>71</v>
      </c>
      <c r="S44" s="2" t="s">
        <v>71</v>
      </c>
      <c r="T44" s="2" t="s">
        <v>76</v>
      </c>
      <c r="U44" s="2" t="s">
        <v>76</v>
      </c>
      <c r="V44" s="2" t="s">
        <v>71</v>
      </c>
      <c r="W44" s="2" t="s">
        <v>71</v>
      </c>
      <c r="X44" s="2" t="s">
        <v>71</v>
      </c>
      <c r="Y44" s="2" t="s">
        <v>71</v>
      </c>
      <c r="Z44" s="2" t="s">
        <v>71</v>
      </c>
      <c r="AA44" s="2" t="s">
        <v>71</v>
      </c>
      <c r="AB44" s="2" t="s">
        <v>71</v>
      </c>
      <c r="AC44" s="2" t="s">
        <v>71</v>
      </c>
      <c r="AD44" s="2" t="s">
        <v>71</v>
      </c>
      <c r="AE44" s="2" t="s">
        <v>71</v>
      </c>
      <c r="AF44" s="2" t="s">
        <v>76</v>
      </c>
      <c r="AG44" s="2" t="s">
        <v>76</v>
      </c>
      <c r="AH44" s="2" t="s">
        <v>77</v>
      </c>
      <c r="AI44" s="2">
        <v>1</v>
      </c>
    </row>
    <row r="45" spans="1:36" ht="32" x14ac:dyDescent="0.2">
      <c r="A45" s="2">
        <v>1193327320</v>
      </c>
      <c r="B45" s="2">
        <f>VLOOKUP(A45,[1]TRATAMIENTI!$A:$B,2,FALSE)</f>
        <v>44</v>
      </c>
      <c r="C45" t="s">
        <v>169</v>
      </c>
      <c r="D45" s="2">
        <v>0</v>
      </c>
      <c r="E45" t="s">
        <v>170</v>
      </c>
      <c r="F45" s="2" t="s">
        <v>68</v>
      </c>
      <c r="G45" s="2" t="str">
        <f t="shared" si="0"/>
        <v>ATLANTICO</v>
      </c>
      <c r="H45" s="2" t="s">
        <v>69</v>
      </c>
      <c r="I45" s="2" t="s">
        <v>70</v>
      </c>
      <c r="J45" s="2" t="s">
        <v>76</v>
      </c>
      <c r="K45" s="2" t="s">
        <v>76</v>
      </c>
      <c r="L45" s="2" t="s">
        <v>71</v>
      </c>
      <c r="M45" s="2" t="s">
        <v>76</v>
      </c>
      <c r="N45" s="2" t="s">
        <v>76</v>
      </c>
      <c r="O45" s="2" t="s">
        <v>76</v>
      </c>
      <c r="P45" s="2" t="s">
        <v>76</v>
      </c>
      <c r="Q45" s="2" t="s">
        <v>76</v>
      </c>
      <c r="R45" s="2" t="s">
        <v>71</v>
      </c>
      <c r="S45" s="2" t="s">
        <v>71</v>
      </c>
      <c r="T45" s="2" t="s">
        <v>72</v>
      </c>
      <c r="U45" s="2" t="s">
        <v>72</v>
      </c>
      <c r="V45" s="2" t="s">
        <v>71</v>
      </c>
      <c r="W45" s="2" t="s">
        <v>71</v>
      </c>
      <c r="X45" s="2" t="s">
        <v>71</v>
      </c>
      <c r="Y45" s="2" t="s">
        <v>71</v>
      </c>
      <c r="Z45" s="2" t="s">
        <v>71</v>
      </c>
      <c r="AA45" s="2" t="s">
        <v>71</v>
      </c>
      <c r="AB45" s="2" t="s">
        <v>71</v>
      </c>
      <c r="AC45" s="2" t="s">
        <v>71</v>
      </c>
      <c r="AF45" s="2" t="s">
        <v>76</v>
      </c>
      <c r="AG45" s="2" t="s">
        <v>76</v>
      </c>
      <c r="AH45" s="2" t="s">
        <v>91</v>
      </c>
      <c r="AI45" s="2">
        <v>1</v>
      </c>
    </row>
    <row r="46" spans="1:36" ht="32" x14ac:dyDescent="0.2">
      <c r="A46" s="2">
        <v>1193371842</v>
      </c>
      <c r="B46" s="2">
        <f>VLOOKUP(A46,[1]TRATAMIENTI!$A:$B,2,FALSE)</f>
        <v>45</v>
      </c>
      <c r="C46" t="s">
        <v>171</v>
      </c>
      <c r="D46" s="2">
        <v>0</v>
      </c>
      <c r="E46" t="s">
        <v>172</v>
      </c>
      <c r="F46" s="2" t="s">
        <v>68</v>
      </c>
      <c r="G46" s="2" t="str">
        <f t="shared" si="0"/>
        <v>ATLANTICO</v>
      </c>
      <c r="H46" s="2" t="s">
        <v>69</v>
      </c>
      <c r="I46" s="2" t="s">
        <v>70</v>
      </c>
      <c r="J46" s="2" t="s">
        <v>71</v>
      </c>
      <c r="K46" s="2" t="s">
        <v>72</v>
      </c>
      <c r="L46" s="2" t="s">
        <v>71</v>
      </c>
      <c r="M46" s="2" t="s">
        <v>71</v>
      </c>
      <c r="N46" s="2" t="s">
        <v>71</v>
      </c>
      <c r="O46" s="2" t="s">
        <v>76</v>
      </c>
      <c r="P46" s="2" t="s">
        <v>76</v>
      </c>
      <c r="Q46" s="2" t="s">
        <v>76</v>
      </c>
      <c r="R46" s="2" t="s">
        <v>71</v>
      </c>
      <c r="S46" s="2" t="s">
        <v>71</v>
      </c>
      <c r="T46" s="2" t="s">
        <v>76</v>
      </c>
      <c r="U46" s="2" t="s">
        <v>76</v>
      </c>
      <c r="V46" s="2" t="s">
        <v>71</v>
      </c>
      <c r="W46" s="2" t="s">
        <v>71</v>
      </c>
      <c r="X46" s="2" t="s">
        <v>71</v>
      </c>
      <c r="Y46" s="2" t="s">
        <v>71</v>
      </c>
      <c r="Z46" s="2" t="s">
        <v>71</v>
      </c>
      <c r="AA46" s="2" t="s">
        <v>71</v>
      </c>
      <c r="AB46" s="2" t="s">
        <v>71</v>
      </c>
      <c r="AC46" s="2" t="s">
        <v>71</v>
      </c>
      <c r="AD46" s="2" t="s">
        <v>71</v>
      </c>
      <c r="AE46" s="2" t="s">
        <v>71</v>
      </c>
      <c r="AF46" s="2" t="s">
        <v>76</v>
      </c>
      <c r="AG46" s="2" t="s">
        <v>76</v>
      </c>
      <c r="AH46" s="2" t="s">
        <v>77</v>
      </c>
      <c r="AI46" s="2">
        <v>1</v>
      </c>
    </row>
    <row r="47" spans="1:36" ht="32" x14ac:dyDescent="0.2">
      <c r="A47" s="2">
        <v>12534970</v>
      </c>
      <c r="B47" s="2">
        <f>VLOOKUP(A47,[1]TRATAMIENTI!$A:$B,2,FALSE)</f>
        <v>46</v>
      </c>
      <c r="C47" s="3" t="s">
        <v>173</v>
      </c>
      <c r="D47" s="2" t="s">
        <v>174</v>
      </c>
      <c r="E47" s="3" t="s">
        <v>175</v>
      </c>
      <c r="F47" s="2" t="s">
        <v>68</v>
      </c>
      <c r="G47" s="2" t="str">
        <f t="shared" si="0"/>
        <v>ATLANTICO</v>
      </c>
      <c r="H47" s="2" t="s">
        <v>69</v>
      </c>
      <c r="I47" s="2" t="s">
        <v>70</v>
      </c>
      <c r="J47" s="2" t="s">
        <v>71</v>
      </c>
      <c r="K47" s="2" t="s">
        <v>76</v>
      </c>
      <c r="L47" s="2" t="s">
        <v>76</v>
      </c>
      <c r="M47" s="2" t="s">
        <v>76</v>
      </c>
      <c r="N47" s="2" t="s">
        <v>72</v>
      </c>
      <c r="O47" s="2" t="s">
        <v>71</v>
      </c>
      <c r="P47" s="2" t="s">
        <v>71</v>
      </c>
      <c r="Q47" s="2" t="s">
        <v>71</v>
      </c>
      <c r="R47" s="2" t="s">
        <v>71</v>
      </c>
      <c r="S47" s="2" t="s">
        <v>71</v>
      </c>
      <c r="T47" s="2" t="s">
        <v>76</v>
      </c>
      <c r="U47" s="2" t="s">
        <v>76</v>
      </c>
      <c r="V47" s="2" t="s">
        <v>71</v>
      </c>
      <c r="W47" s="2" t="s">
        <v>71</v>
      </c>
      <c r="X47" s="2" t="s">
        <v>71</v>
      </c>
      <c r="Y47" s="2" t="s">
        <v>71</v>
      </c>
      <c r="Z47" s="2" t="s">
        <v>71</v>
      </c>
      <c r="AA47" s="2" t="s">
        <v>71</v>
      </c>
      <c r="AB47" s="2" t="s">
        <v>71</v>
      </c>
      <c r="AC47" s="2" t="s">
        <v>71</v>
      </c>
      <c r="AD47" s="2" t="s">
        <v>71</v>
      </c>
      <c r="AE47" s="2" t="s">
        <v>71</v>
      </c>
      <c r="AF47" s="2" t="s">
        <v>72</v>
      </c>
      <c r="AG47" s="2" t="s">
        <v>72</v>
      </c>
      <c r="AH47" s="2" t="s">
        <v>85</v>
      </c>
      <c r="AI47" s="2">
        <v>2</v>
      </c>
    </row>
    <row r="48" spans="1:36" ht="32" x14ac:dyDescent="0.2">
      <c r="A48" s="2">
        <v>12549369</v>
      </c>
      <c r="B48" s="2">
        <f>VLOOKUP(A48,[1]TRATAMIENTI!$A:$B,2,FALSE)</f>
        <v>47</v>
      </c>
      <c r="C48" s="2" t="str">
        <f>VLOOKUP(A48,[1]TRATAMIENTI!$1:$1048576,3,FALSE)</f>
        <v xml:space="preserve">Francisco </v>
      </c>
      <c r="D48" s="2" t="str">
        <f>VLOOKUP(A48,[1]TRATAMIENTI!$1:$1048576,7,FALSE)</f>
        <v>3002625465</v>
      </c>
      <c r="E48" s="2" t="str">
        <f>VLOOKUP(A48,[1]TRATAMIENTI!$1:$1048576,5,FALSE)</f>
        <v>Cll 75 # 7c- 44</v>
      </c>
      <c r="F48" s="2" t="s">
        <v>68</v>
      </c>
      <c r="G48" s="2" t="str">
        <f t="shared" si="0"/>
        <v>ATLANTICO</v>
      </c>
      <c r="H48" s="2" t="s">
        <v>69</v>
      </c>
      <c r="I48" s="2" t="s">
        <v>70</v>
      </c>
      <c r="J48" s="2" t="s">
        <v>71</v>
      </c>
      <c r="K48" s="2" t="s">
        <v>76</v>
      </c>
      <c r="L48" s="2" t="s">
        <v>71</v>
      </c>
      <c r="M48" s="2" t="s">
        <v>71</v>
      </c>
      <c r="N48" s="2" t="s">
        <v>71</v>
      </c>
      <c r="O48" s="2" t="s">
        <v>76</v>
      </c>
      <c r="P48" s="2" t="s">
        <v>76</v>
      </c>
      <c r="Q48" s="2" t="s">
        <v>76</v>
      </c>
      <c r="R48" s="2" t="s">
        <v>76</v>
      </c>
      <c r="S48" s="2" t="s">
        <v>71</v>
      </c>
      <c r="T48" s="2" t="s">
        <v>71</v>
      </c>
      <c r="U48" s="2" t="s">
        <v>76</v>
      </c>
      <c r="V48" s="2" t="s">
        <v>76</v>
      </c>
      <c r="W48" s="2" t="s">
        <v>71</v>
      </c>
      <c r="X48" s="2" t="s">
        <v>71</v>
      </c>
      <c r="Y48" s="2" t="s">
        <v>71</v>
      </c>
      <c r="Z48" s="2" t="s">
        <v>71</v>
      </c>
      <c r="AA48" s="2" t="s">
        <v>71</v>
      </c>
      <c r="AB48" s="2" t="s">
        <v>71</v>
      </c>
      <c r="AC48" s="2" t="s">
        <v>71</v>
      </c>
      <c r="AD48" s="2" t="s">
        <v>71</v>
      </c>
      <c r="AE48" s="2" t="s">
        <v>71</v>
      </c>
      <c r="AF48" s="2" t="s">
        <v>76</v>
      </c>
      <c r="AG48" s="2" t="s">
        <v>76</v>
      </c>
      <c r="AH48" s="2" t="s">
        <v>77</v>
      </c>
      <c r="AI48" s="2">
        <v>2</v>
      </c>
      <c r="AJ48" s="2" t="s">
        <v>176</v>
      </c>
    </row>
    <row r="49" spans="1:35" ht="32" x14ac:dyDescent="0.2">
      <c r="A49" s="2">
        <v>13665069</v>
      </c>
      <c r="B49" s="2">
        <f>VLOOKUP(A49,[1]TRATAMIENTI!$A:$B,2,FALSE)</f>
        <v>48</v>
      </c>
      <c r="C49" s="2" t="s">
        <v>177</v>
      </c>
      <c r="D49" s="2">
        <v>3008460729</v>
      </c>
      <c r="E49" t="s">
        <v>178</v>
      </c>
      <c r="F49" s="2" t="s">
        <v>68</v>
      </c>
      <c r="G49" s="2" t="str">
        <f t="shared" si="0"/>
        <v>ATLANTICO</v>
      </c>
      <c r="H49" s="2" t="s">
        <v>69</v>
      </c>
      <c r="I49" s="2" t="s">
        <v>70</v>
      </c>
      <c r="J49" s="2" t="s">
        <v>71</v>
      </c>
      <c r="K49" s="2" t="s">
        <v>71</v>
      </c>
      <c r="L49" s="2" t="s">
        <v>71</v>
      </c>
      <c r="M49" s="2" t="s">
        <v>71</v>
      </c>
      <c r="N49" s="2" t="s">
        <v>71</v>
      </c>
      <c r="O49" s="2" t="s">
        <v>76</v>
      </c>
      <c r="P49" s="2" t="s">
        <v>76</v>
      </c>
      <c r="Q49" s="2" t="s">
        <v>76</v>
      </c>
      <c r="R49" s="2" t="s">
        <v>71</v>
      </c>
      <c r="S49" s="2" t="s">
        <v>71</v>
      </c>
      <c r="T49" s="2" t="s">
        <v>76</v>
      </c>
      <c r="U49" s="2" t="s">
        <v>76</v>
      </c>
      <c r="V49" s="2" t="s">
        <v>71</v>
      </c>
      <c r="W49" s="2" t="s">
        <v>71</v>
      </c>
      <c r="X49" s="2" t="s">
        <v>71</v>
      </c>
      <c r="Y49" s="2" t="s">
        <v>71</v>
      </c>
      <c r="Z49" s="2" t="s">
        <v>71</v>
      </c>
      <c r="AA49" s="2" t="s">
        <v>71</v>
      </c>
      <c r="AB49" s="2" t="s">
        <v>71</v>
      </c>
      <c r="AC49" s="2" t="s">
        <v>71</v>
      </c>
      <c r="AD49" s="2" t="s">
        <v>71</v>
      </c>
      <c r="AE49" s="2" t="s">
        <v>71</v>
      </c>
      <c r="AF49" s="2" t="s">
        <v>76</v>
      </c>
      <c r="AG49" s="2" t="s">
        <v>76</v>
      </c>
      <c r="AH49" s="2" t="s">
        <v>179</v>
      </c>
      <c r="AI49" s="2">
        <v>3</v>
      </c>
    </row>
    <row r="50" spans="1:35" ht="32" x14ac:dyDescent="0.2">
      <c r="A50" s="2">
        <v>17152604</v>
      </c>
      <c r="B50" s="2">
        <f>VLOOKUP(A50,[1]TRATAMIENTI!$A:$B,2,FALSE)</f>
        <v>49</v>
      </c>
      <c r="C50" s="2" t="s">
        <v>180</v>
      </c>
      <c r="D50" s="2">
        <v>0</v>
      </c>
      <c r="E50" s="2">
        <v>0</v>
      </c>
      <c r="F50" s="2" t="s">
        <v>68</v>
      </c>
      <c r="G50" s="2" t="str">
        <f t="shared" si="0"/>
        <v>ATLANTICO</v>
      </c>
      <c r="H50" s="2" t="s">
        <v>69</v>
      </c>
      <c r="I50" s="2" t="s">
        <v>70</v>
      </c>
      <c r="J50" s="2" t="s">
        <v>71</v>
      </c>
      <c r="K50" s="2" t="s">
        <v>76</v>
      </c>
      <c r="L50" s="2" t="s">
        <v>71</v>
      </c>
      <c r="M50" s="2" t="s">
        <v>71</v>
      </c>
      <c r="N50" s="2" t="s">
        <v>71</v>
      </c>
      <c r="O50" s="2" t="s">
        <v>76</v>
      </c>
      <c r="P50" s="2" t="s">
        <v>71</v>
      </c>
      <c r="Q50" s="2" t="s">
        <v>76</v>
      </c>
      <c r="R50" s="2" t="s">
        <v>71</v>
      </c>
      <c r="S50" s="2" t="s">
        <v>71</v>
      </c>
      <c r="T50" s="2" t="s">
        <v>76</v>
      </c>
      <c r="U50" s="2" t="s">
        <v>76</v>
      </c>
      <c r="V50" s="2" t="s">
        <v>71</v>
      </c>
      <c r="W50" s="2" t="s">
        <v>71</v>
      </c>
      <c r="X50" s="2" t="s">
        <v>71</v>
      </c>
      <c r="Y50" s="2" t="s">
        <v>71</v>
      </c>
      <c r="Z50" s="2" t="s">
        <v>71</v>
      </c>
      <c r="AA50" s="2" t="s">
        <v>71</v>
      </c>
      <c r="AB50" s="2" t="s">
        <v>71</v>
      </c>
      <c r="AC50" s="2" t="s">
        <v>71</v>
      </c>
      <c r="AD50" s="2" t="s">
        <v>71</v>
      </c>
      <c r="AE50" s="2" t="s">
        <v>71</v>
      </c>
      <c r="AF50" s="2" t="s">
        <v>76</v>
      </c>
      <c r="AG50" s="2" t="s">
        <v>76</v>
      </c>
      <c r="AH50" s="2" t="s">
        <v>77</v>
      </c>
      <c r="AI50" s="2">
        <v>2</v>
      </c>
    </row>
    <row r="51" spans="1:35" ht="32" x14ac:dyDescent="0.2">
      <c r="A51" s="2">
        <v>17808718</v>
      </c>
      <c r="B51" s="2">
        <f>VLOOKUP(A51,[1]TRATAMIENTI!$A:$B,2,FALSE)</f>
        <v>50</v>
      </c>
      <c r="C51" s="2" t="s">
        <v>181</v>
      </c>
      <c r="D51" s="2">
        <v>0</v>
      </c>
      <c r="E51" t="s">
        <v>182</v>
      </c>
      <c r="F51" s="2" t="s">
        <v>68</v>
      </c>
      <c r="G51" s="2" t="str">
        <f t="shared" si="0"/>
        <v>ATLANTICO</v>
      </c>
      <c r="H51" s="2" t="s">
        <v>69</v>
      </c>
      <c r="I51" s="2" t="s">
        <v>70</v>
      </c>
      <c r="J51" s="2" t="s">
        <v>71</v>
      </c>
      <c r="K51" s="2" t="s">
        <v>71</v>
      </c>
      <c r="L51" s="2" t="s">
        <v>76</v>
      </c>
      <c r="M51" s="2" t="s">
        <v>76</v>
      </c>
      <c r="N51" s="2" t="s">
        <v>76</v>
      </c>
      <c r="O51" s="2" t="s">
        <v>76</v>
      </c>
      <c r="P51" s="2" t="s">
        <v>76</v>
      </c>
      <c r="Q51" s="2" t="s">
        <v>76</v>
      </c>
      <c r="R51" s="2" t="s">
        <v>71</v>
      </c>
      <c r="S51" s="2" t="s">
        <v>71</v>
      </c>
      <c r="T51" s="2" t="s">
        <v>76</v>
      </c>
      <c r="U51" s="2" t="s">
        <v>76</v>
      </c>
      <c r="V51" s="2" t="s">
        <v>71</v>
      </c>
      <c r="W51" s="2" t="s">
        <v>71</v>
      </c>
      <c r="X51" s="2" t="s">
        <v>71</v>
      </c>
      <c r="Y51" s="2" t="s">
        <v>71</v>
      </c>
      <c r="Z51" s="2" t="s">
        <v>71</v>
      </c>
      <c r="AA51" s="2" t="s">
        <v>71</v>
      </c>
      <c r="AB51" s="2" t="s">
        <v>71</v>
      </c>
      <c r="AC51" s="2" t="s">
        <v>71</v>
      </c>
      <c r="AD51" s="2" t="s">
        <v>71</v>
      </c>
      <c r="AE51" s="2" t="s">
        <v>71</v>
      </c>
      <c r="AF51" s="2" t="s">
        <v>76</v>
      </c>
      <c r="AG51" s="2" t="s">
        <v>76</v>
      </c>
      <c r="AH51" s="2" t="s">
        <v>80</v>
      </c>
      <c r="AI51" s="2">
        <v>1</v>
      </c>
    </row>
    <row r="52" spans="1:35" ht="32" x14ac:dyDescent="0.2">
      <c r="A52" s="2">
        <v>17849804</v>
      </c>
      <c r="B52" s="2">
        <f>VLOOKUP(A52,[1]TRATAMIENTI!$A:$B,2,FALSE)</f>
        <v>51</v>
      </c>
      <c r="C52" t="s">
        <v>183</v>
      </c>
      <c r="D52">
        <v>3107451363</v>
      </c>
      <c r="E52" t="s">
        <v>184</v>
      </c>
      <c r="F52" s="2" t="s">
        <v>68</v>
      </c>
      <c r="G52" s="2" t="str">
        <f t="shared" si="0"/>
        <v>ATLANTICO</v>
      </c>
      <c r="H52" s="2" t="s">
        <v>69</v>
      </c>
      <c r="I52" s="2" t="s">
        <v>70</v>
      </c>
      <c r="J52" s="2" t="s">
        <v>71</v>
      </c>
      <c r="K52" s="2" t="s">
        <v>72</v>
      </c>
      <c r="L52" s="2" t="s">
        <v>71</v>
      </c>
      <c r="M52" s="2" t="s">
        <v>71</v>
      </c>
      <c r="N52" s="2" t="s">
        <v>71</v>
      </c>
      <c r="O52" s="2" t="s">
        <v>76</v>
      </c>
      <c r="P52" s="2" t="s">
        <v>76</v>
      </c>
      <c r="Q52" s="2" t="s">
        <v>76</v>
      </c>
      <c r="R52" s="2" t="s">
        <v>71</v>
      </c>
      <c r="S52" s="2" t="s">
        <v>71</v>
      </c>
      <c r="T52" s="2" t="s">
        <v>76</v>
      </c>
      <c r="U52" s="2" t="s">
        <v>76</v>
      </c>
      <c r="V52" s="2" t="s">
        <v>71</v>
      </c>
      <c r="W52" s="2" t="s">
        <v>71</v>
      </c>
      <c r="X52" s="2" t="s">
        <v>71</v>
      </c>
      <c r="Y52" s="2" t="s">
        <v>71</v>
      </c>
      <c r="Z52" s="2" t="s">
        <v>71</v>
      </c>
      <c r="AA52" s="2" t="s">
        <v>71</v>
      </c>
      <c r="AB52" s="2" t="s">
        <v>71</v>
      </c>
      <c r="AC52" s="2" t="s">
        <v>71</v>
      </c>
      <c r="AD52" s="2" t="s">
        <v>71</v>
      </c>
      <c r="AE52" s="2" t="s">
        <v>71</v>
      </c>
      <c r="AF52" s="2" t="s">
        <v>76</v>
      </c>
      <c r="AG52" s="2" t="s">
        <v>76</v>
      </c>
      <c r="AH52" s="2" t="s">
        <v>77</v>
      </c>
      <c r="AI52" s="2">
        <v>1</v>
      </c>
    </row>
    <row r="53" spans="1:35" ht="32" x14ac:dyDescent="0.2">
      <c r="A53" s="2">
        <v>18932393</v>
      </c>
      <c r="B53" s="2">
        <f>VLOOKUP(A53,[1]TRATAMIENTI!$A:$B,2,FALSE)</f>
        <v>52</v>
      </c>
      <c r="C53" t="s">
        <v>185</v>
      </c>
      <c r="D53" s="2">
        <v>0</v>
      </c>
      <c r="E53" t="s">
        <v>186</v>
      </c>
      <c r="F53" s="2" t="s">
        <v>68</v>
      </c>
      <c r="G53" s="2" t="str">
        <f t="shared" si="0"/>
        <v>ATLANTICO</v>
      </c>
      <c r="H53" s="2" t="s">
        <v>69</v>
      </c>
      <c r="I53" s="2" t="s">
        <v>70</v>
      </c>
      <c r="J53" s="2" t="s">
        <v>71</v>
      </c>
      <c r="K53" s="2" t="s">
        <v>71</v>
      </c>
      <c r="L53" s="2" t="s">
        <v>76</v>
      </c>
      <c r="M53" s="2" t="s">
        <v>76</v>
      </c>
      <c r="N53" s="2" t="s">
        <v>76</v>
      </c>
      <c r="O53" s="2" t="s">
        <v>76</v>
      </c>
      <c r="P53" s="2" t="s">
        <v>76</v>
      </c>
      <c r="Q53" s="2" t="s">
        <v>76</v>
      </c>
      <c r="R53" s="2" t="s">
        <v>71</v>
      </c>
      <c r="S53" s="2" t="s">
        <v>71</v>
      </c>
      <c r="T53" s="2" t="s">
        <v>76</v>
      </c>
      <c r="U53" s="2" t="s">
        <v>76</v>
      </c>
      <c r="V53" s="2" t="s">
        <v>71</v>
      </c>
      <c r="W53" s="2" t="s">
        <v>71</v>
      </c>
      <c r="X53" s="2" t="s">
        <v>71</v>
      </c>
      <c r="Y53" s="2" t="s">
        <v>71</v>
      </c>
      <c r="Z53" s="2" t="s">
        <v>71</v>
      </c>
      <c r="AA53" s="2" t="s">
        <v>71</v>
      </c>
      <c r="AB53" s="2" t="s">
        <v>71</v>
      </c>
      <c r="AC53" s="2" t="s">
        <v>71</v>
      </c>
      <c r="AD53" s="2" t="s">
        <v>71</v>
      </c>
      <c r="AE53" s="2" t="s">
        <v>71</v>
      </c>
      <c r="AF53" s="2" t="s">
        <v>72</v>
      </c>
      <c r="AG53" s="2" t="s">
        <v>72</v>
      </c>
      <c r="AH53" s="2" t="s">
        <v>80</v>
      </c>
      <c r="AI53" s="2">
        <v>1</v>
      </c>
    </row>
    <row r="54" spans="1:35" ht="32" x14ac:dyDescent="0.2">
      <c r="A54" s="2">
        <v>19582075</v>
      </c>
      <c r="B54" s="2">
        <f>VLOOKUP(A54,[1]TRATAMIENTI!$A:$B,2,FALSE)</f>
        <v>53</v>
      </c>
      <c r="C54" t="s">
        <v>187</v>
      </c>
      <c r="D54" s="2">
        <v>0</v>
      </c>
      <c r="E54" t="s">
        <v>188</v>
      </c>
      <c r="F54" s="2" t="s">
        <v>68</v>
      </c>
      <c r="G54" s="2" t="str">
        <f t="shared" si="0"/>
        <v>ATLANTICO</v>
      </c>
      <c r="H54" s="2" t="s">
        <v>69</v>
      </c>
      <c r="I54" s="2" t="s">
        <v>70</v>
      </c>
      <c r="J54" s="2" t="s">
        <v>71</v>
      </c>
      <c r="K54" s="2" t="s">
        <v>72</v>
      </c>
      <c r="L54" s="2" t="s">
        <v>71</v>
      </c>
      <c r="M54" s="2" t="s">
        <v>71</v>
      </c>
      <c r="N54" s="2" t="s">
        <v>71</v>
      </c>
      <c r="O54" s="2" t="s">
        <v>76</v>
      </c>
      <c r="P54" s="2" t="s">
        <v>76</v>
      </c>
      <c r="Q54" s="2" t="s">
        <v>76</v>
      </c>
      <c r="R54" s="2" t="s">
        <v>71</v>
      </c>
      <c r="S54" s="2" t="s">
        <v>71</v>
      </c>
      <c r="T54" s="2" t="s">
        <v>76</v>
      </c>
      <c r="U54" s="2" t="s">
        <v>76</v>
      </c>
      <c r="V54" s="2" t="s">
        <v>71</v>
      </c>
      <c r="W54" s="2" t="s">
        <v>71</v>
      </c>
      <c r="X54" s="2" t="s">
        <v>71</v>
      </c>
      <c r="Y54" s="2" t="s">
        <v>71</v>
      </c>
      <c r="Z54" s="2" t="s">
        <v>71</v>
      </c>
      <c r="AA54" s="2" t="s">
        <v>71</v>
      </c>
      <c r="AB54" s="2" t="s">
        <v>71</v>
      </c>
      <c r="AC54" s="2" t="s">
        <v>71</v>
      </c>
      <c r="AD54" s="2" t="s">
        <v>71</v>
      </c>
      <c r="AE54" s="2" t="s">
        <v>71</v>
      </c>
      <c r="AF54" s="2" t="s">
        <v>72</v>
      </c>
      <c r="AG54" s="2" t="s">
        <v>72</v>
      </c>
      <c r="AH54" s="2" t="s">
        <v>77</v>
      </c>
      <c r="AI54" s="2">
        <v>1</v>
      </c>
    </row>
    <row r="55" spans="1:35" ht="32" x14ac:dyDescent="0.2">
      <c r="A55" s="2">
        <v>22295551</v>
      </c>
      <c r="B55" s="2">
        <f>VLOOKUP(A55,[1]TRATAMIENTI!$A:$B,2,FALSE)</f>
        <v>54</v>
      </c>
      <c r="C55" t="s">
        <v>189</v>
      </c>
      <c r="D55" s="2">
        <v>0</v>
      </c>
      <c r="E55" s="2" t="s">
        <v>190</v>
      </c>
      <c r="F55" s="2" t="s">
        <v>68</v>
      </c>
      <c r="G55" s="2" t="str">
        <f t="shared" si="0"/>
        <v>ATLANTICO</v>
      </c>
      <c r="H55" s="2" t="s">
        <v>69</v>
      </c>
      <c r="I55" s="2" t="s">
        <v>70</v>
      </c>
      <c r="J55" s="2" t="s">
        <v>71</v>
      </c>
      <c r="K55" s="2" t="s">
        <v>71</v>
      </c>
      <c r="L55" s="2" t="s">
        <v>76</v>
      </c>
      <c r="M55" s="2" t="s">
        <v>76</v>
      </c>
      <c r="N55" s="2" t="s">
        <v>76</v>
      </c>
      <c r="O55" s="2" t="s">
        <v>76</v>
      </c>
      <c r="P55" s="2" t="s">
        <v>76</v>
      </c>
      <c r="Q55" s="2" t="s">
        <v>76</v>
      </c>
      <c r="R55" s="2" t="s">
        <v>71</v>
      </c>
      <c r="S55" s="2" t="s">
        <v>71</v>
      </c>
      <c r="T55" s="2" t="s">
        <v>76</v>
      </c>
      <c r="U55" s="2" t="s">
        <v>76</v>
      </c>
      <c r="V55" s="2" t="s">
        <v>71</v>
      </c>
      <c r="W55" s="2" t="s">
        <v>71</v>
      </c>
      <c r="X55" s="2" t="s">
        <v>71</v>
      </c>
      <c r="Y55" s="2" t="s">
        <v>71</v>
      </c>
      <c r="Z55" s="2" t="s">
        <v>71</v>
      </c>
      <c r="AA55" s="2" t="s">
        <v>71</v>
      </c>
      <c r="AB55" s="2" t="s">
        <v>71</v>
      </c>
      <c r="AC55" s="2" t="s">
        <v>71</v>
      </c>
      <c r="AD55" s="2" t="s">
        <v>71</v>
      </c>
      <c r="AE55" s="2" t="s">
        <v>71</v>
      </c>
      <c r="AF55" s="2" t="s">
        <v>76</v>
      </c>
      <c r="AG55" s="2" t="s">
        <v>76</v>
      </c>
      <c r="AH55" s="2" t="s">
        <v>80</v>
      </c>
      <c r="AI55" s="2">
        <v>1</v>
      </c>
    </row>
    <row r="56" spans="1:35" ht="32" x14ac:dyDescent="0.2">
      <c r="A56" s="2">
        <v>22304817</v>
      </c>
      <c r="B56" s="2">
        <f>VLOOKUP(A56,[1]TRATAMIENTI!$A:$B,2,FALSE)</f>
        <v>55</v>
      </c>
      <c r="C56" t="s">
        <v>191</v>
      </c>
      <c r="D56">
        <v>6053261970</v>
      </c>
      <c r="E56" s="2" t="s">
        <v>192</v>
      </c>
      <c r="F56" s="2" t="s">
        <v>68</v>
      </c>
      <c r="G56" s="2" t="str">
        <f t="shared" si="0"/>
        <v>ATLANTICO</v>
      </c>
      <c r="H56" s="2" t="s">
        <v>69</v>
      </c>
      <c r="I56" s="2" t="s">
        <v>70</v>
      </c>
      <c r="J56" s="2" t="s">
        <v>71</v>
      </c>
      <c r="K56" s="2" t="s">
        <v>76</v>
      </c>
      <c r="L56" s="2" t="s">
        <v>76</v>
      </c>
      <c r="M56" s="2" t="s">
        <v>72</v>
      </c>
      <c r="N56" s="2" t="s">
        <v>76</v>
      </c>
      <c r="O56" s="2" t="s">
        <v>76</v>
      </c>
      <c r="P56" s="2" t="s">
        <v>76</v>
      </c>
      <c r="Q56" s="2" t="s">
        <v>76</v>
      </c>
      <c r="R56" s="2" t="s">
        <v>71</v>
      </c>
      <c r="S56" s="2" t="s">
        <v>71</v>
      </c>
      <c r="T56" s="2" t="s">
        <v>76</v>
      </c>
      <c r="U56" s="2" t="s">
        <v>76</v>
      </c>
      <c r="V56" s="2" t="s">
        <v>71</v>
      </c>
      <c r="W56" s="2" t="s">
        <v>71</v>
      </c>
      <c r="X56" s="2" t="s">
        <v>71</v>
      </c>
      <c r="Y56" s="2" t="s">
        <v>71</v>
      </c>
      <c r="Z56" s="2" t="s">
        <v>71</v>
      </c>
      <c r="AA56" s="2" t="s">
        <v>71</v>
      </c>
      <c r="AB56" s="2" t="s">
        <v>71</v>
      </c>
      <c r="AC56" s="2" t="s">
        <v>71</v>
      </c>
      <c r="AD56" s="2" t="s">
        <v>71</v>
      </c>
      <c r="AE56" s="2" t="s">
        <v>71</v>
      </c>
      <c r="AF56" s="2" t="s">
        <v>76</v>
      </c>
      <c r="AG56" s="2" t="s">
        <v>76</v>
      </c>
      <c r="AH56" s="2" t="s">
        <v>91</v>
      </c>
      <c r="AI56" s="2">
        <v>1</v>
      </c>
    </row>
    <row r="57" spans="1:35" ht="32" x14ac:dyDescent="0.2">
      <c r="A57" s="2">
        <v>22333001</v>
      </c>
      <c r="B57" s="2">
        <f>VLOOKUP(A57,[1]TRATAMIENTI!$A:$B,2,FALSE)</f>
        <v>56</v>
      </c>
      <c r="C57" t="s">
        <v>193</v>
      </c>
      <c r="D57">
        <v>3022642631</v>
      </c>
      <c r="E57" t="s">
        <v>194</v>
      </c>
      <c r="F57" s="2" t="s">
        <v>68</v>
      </c>
      <c r="G57" s="2" t="str">
        <f t="shared" si="0"/>
        <v>ATLANTICO</v>
      </c>
      <c r="H57" s="2" t="s">
        <v>69</v>
      </c>
      <c r="I57" s="2" t="s">
        <v>70</v>
      </c>
      <c r="J57" s="2" t="s">
        <v>72</v>
      </c>
      <c r="K57" s="2" t="s">
        <v>72</v>
      </c>
      <c r="L57" s="2" t="s">
        <v>71</v>
      </c>
      <c r="M57" s="2" t="s">
        <v>71</v>
      </c>
      <c r="N57" s="2" t="s">
        <v>71</v>
      </c>
      <c r="O57" s="2" t="s">
        <v>71</v>
      </c>
      <c r="P57" s="2" t="s">
        <v>71</v>
      </c>
      <c r="Q57" s="2" t="s">
        <v>71</v>
      </c>
      <c r="R57" s="2" t="s">
        <v>71</v>
      </c>
      <c r="S57" s="2" t="s">
        <v>71</v>
      </c>
      <c r="T57" s="2" t="s">
        <v>71</v>
      </c>
      <c r="U57" s="2" t="s">
        <v>71</v>
      </c>
      <c r="V57" s="2" t="s">
        <v>71</v>
      </c>
      <c r="W57" s="2" t="s">
        <v>71</v>
      </c>
      <c r="X57" s="2" t="s">
        <v>71</v>
      </c>
      <c r="Y57" s="2" t="s">
        <v>71</v>
      </c>
      <c r="Z57" s="2" t="s">
        <v>71</v>
      </c>
      <c r="AA57" s="2" t="s">
        <v>71</v>
      </c>
      <c r="AB57" s="2" t="s">
        <v>71</v>
      </c>
      <c r="AC57" s="2" t="s">
        <v>71</v>
      </c>
      <c r="AD57" s="2" t="s">
        <v>71</v>
      </c>
      <c r="AE57" s="2" t="s">
        <v>71</v>
      </c>
      <c r="AF57" s="2" t="s">
        <v>71</v>
      </c>
      <c r="AG57" s="2" t="s">
        <v>71</v>
      </c>
      <c r="AH57" s="2" t="s">
        <v>73</v>
      </c>
      <c r="AI57" s="2">
        <v>2</v>
      </c>
    </row>
    <row r="58" spans="1:35" ht="32" x14ac:dyDescent="0.2">
      <c r="A58" s="2">
        <v>22365884</v>
      </c>
      <c r="B58" s="2">
        <f>VLOOKUP(A58,[1]TRATAMIENTI!$A:$B,2,FALSE)</f>
        <v>57</v>
      </c>
      <c r="C58" t="s">
        <v>195</v>
      </c>
      <c r="D58">
        <v>3242213383</v>
      </c>
      <c r="E58" t="s">
        <v>196</v>
      </c>
      <c r="F58" s="2" t="s">
        <v>68</v>
      </c>
      <c r="G58" s="2" t="str">
        <f t="shared" si="0"/>
        <v>ATLANTICO</v>
      </c>
      <c r="H58" s="2" t="s">
        <v>69</v>
      </c>
      <c r="I58" s="2" t="s">
        <v>70</v>
      </c>
      <c r="J58" s="2" t="s">
        <v>71</v>
      </c>
      <c r="K58" s="2" t="s">
        <v>76</v>
      </c>
      <c r="L58" s="2" t="s">
        <v>76</v>
      </c>
      <c r="M58" s="2" t="s">
        <v>76</v>
      </c>
      <c r="N58" s="2" t="s">
        <v>76</v>
      </c>
      <c r="O58" s="2" t="s">
        <v>76</v>
      </c>
      <c r="P58" s="2" t="s">
        <v>76</v>
      </c>
      <c r="Q58" s="2" t="s">
        <v>76</v>
      </c>
      <c r="R58" s="2" t="s">
        <v>71</v>
      </c>
      <c r="S58" s="2" t="s">
        <v>71</v>
      </c>
      <c r="T58" s="2" t="s">
        <v>76</v>
      </c>
      <c r="U58" s="2" t="s">
        <v>76</v>
      </c>
      <c r="V58" s="2" t="s">
        <v>71</v>
      </c>
      <c r="W58" s="2" t="s">
        <v>71</v>
      </c>
      <c r="X58" s="2" t="s">
        <v>71</v>
      </c>
      <c r="Y58" s="2" t="s">
        <v>71</v>
      </c>
      <c r="Z58" s="2" t="s">
        <v>71</v>
      </c>
      <c r="AA58" s="2" t="s">
        <v>71</v>
      </c>
      <c r="AB58" s="2" t="s">
        <v>71</v>
      </c>
      <c r="AC58" s="2" t="s">
        <v>71</v>
      </c>
      <c r="AD58" s="2" t="s">
        <v>71</v>
      </c>
      <c r="AE58" s="2" t="s">
        <v>71</v>
      </c>
      <c r="AF58" s="2" t="s">
        <v>76</v>
      </c>
      <c r="AG58" s="2" t="s">
        <v>76</v>
      </c>
      <c r="AH58" s="2" t="s">
        <v>91</v>
      </c>
      <c r="AI58" s="2">
        <v>1</v>
      </c>
    </row>
    <row r="59" spans="1:35" ht="32" x14ac:dyDescent="0.2">
      <c r="A59" s="2">
        <v>22374314</v>
      </c>
      <c r="B59" s="2">
        <f>VLOOKUP(A59,[1]TRATAMIENTI!$A:$B,2,FALSE)</f>
        <v>58</v>
      </c>
      <c r="C59" t="s">
        <v>197</v>
      </c>
      <c r="D59" s="2">
        <v>0</v>
      </c>
      <c r="E59" s="2" t="s">
        <v>198</v>
      </c>
      <c r="F59" s="2" t="s">
        <v>68</v>
      </c>
      <c r="G59" s="2" t="str">
        <f t="shared" si="0"/>
        <v>ATLANTICO</v>
      </c>
      <c r="H59" s="2" t="s">
        <v>69</v>
      </c>
      <c r="I59" s="2" t="s">
        <v>70</v>
      </c>
      <c r="J59" s="2" t="s">
        <v>71</v>
      </c>
      <c r="K59" s="2" t="s">
        <v>72</v>
      </c>
      <c r="L59" s="2" t="s">
        <v>71</v>
      </c>
      <c r="M59" s="2" t="s">
        <v>71</v>
      </c>
      <c r="N59" s="2" t="s">
        <v>71</v>
      </c>
      <c r="O59" s="2" t="s">
        <v>76</v>
      </c>
      <c r="P59" s="2" t="s">
        <v>76</v>
      </c>
      <c r="Q59" s="2" t="s">
        <v>76</v>
      </c>
      <c r="R59" s="2" t="s">
        <v>71</v>
      </c>
      <c r="S59" s="2" t="s">
        <v>71</v>
      </c>
      <c r="T59" s="2" t="s">
        <v>76</v>
      </c>
      <c r="U59" s="2" t="s">
        <v>76</v>
      </c>
      <c r="V59" s="2" t="s">
        <v>71</v>
      </c>
      <c r="W59" s="2" t="s">
        <v>71</v>
      </c>
      <c r="X59" s="2" t="s">
        <v>71</v>
      </c>
      <c r="Y59" s="2" t="s">
        <v>71</v>
      </c>
      <c r="Z59" s="2" t="s">
        <v>71</v>
      </c>
      <c r="AA59" s="2" t="s">
        <v>71</v>
      </c>
      <c r="AB59" s="2" t="s">
        <v>71</v>
      </c>
      <c r="AC59" s="2" t="s">
        <v>71</v>
      </c>
      <c r="AD59" s="2" t="s">
        <v>71</v>
      </c>
      <c r="AE59" s="2" t="s">
        <v>71</v>
      </c>
      <c r="AF59" s="2" t="s">
        <v>76</v>
      </c>
      <c r="AG59" s="2" t="s">
        <v>76</v>
      </c>
      <c r="AH59" s="2" t="s">
        <v>77</v>
      </c>
      <c r="AI59" s="2">
        <v>2</v>
      </c>
    </row>
    <row r="60" spans="1:35" ht="32" x14ac:dyDescent="0.2">
      <c r="A60" s="2">
        <v>22377867</v>
      </c>
      <c r="B60" s="2">
        <f>VLOOKUP(A60,[1]TRATAMIENTI!$A:$B,2,FALSE)</f>
        <v>59</v>
      </c>
      <c r="C60" t="s">
        <v>199</v>
      </c>
      <c r="D60" s="2">
        <v>0</v>
      </c>
      <c r="E60" s="2">
        <v>0</v>
      </c>
      <c r="F60" s="2" t="s">
        <v>68</v>
      </c>
      <c r="G60" s="2" t="str">
        <f t="shared" si="0"/>
        <v>ATLANTICO</v>
      </c>
      <c r="H60" s="2" t="s">
        <v>69</v>
      </c>
      <c r="I60" s="2" t="s">
        <v>70</v>
      </c>
      <c r="J60" s="2" t="s">
        <v>71</v>
      </c>
      <c r="K60" s="2" t="s">
        <v>71</v>
      </c>
      <c r="L60" s="2" t="s">
        <v>71</v>
      </c>
      <c r="M60" s="2" t="s">
        <v>76</v>
      </c>
      <c r="N60" s="2" t="s">
        <v>76</v>
      </c>
      <c r="O60" s="2" t="s">
        <v>76</v>
      </c>
      <c r="P60" s="2" t="s">
        <v>76</v>
      </c>
      <c r="Q60" s="2" t="s">
        <v>76</v>
      </c>
      <c r="R60" s="2" t="s">
        <v>71</v>
      </c>
      <c r="S60" s="2" t="s">
        <v>71</v>
      </c>
      <c r="T60" s="2" t="s">
        <v>76</v>
      </c>
      <c r="U60" s="2" t="s">
        <v>76</v>
      </c>
      <c r="V60" s="2" t="s">
        <v>71</v>
      </c>
      <c r="W60" s="2" t="s">
        <v>71</v>
      </c>
      <c r="X60" s="2" t="s">
        <v>71</v>
      </c>
      <c r="Y60" s="2" t="s">
        <v>71</v>
      </c>
      <c r="Z60" s="2" t="s">
        <v>71</v>
      </c>
      <c r="AA60" s="2" t="s">
        <v>71</v>
      </c>
      <c r="AB60" s="2" t="s">
        <v>71</v>
      </c>
      <c r="AC60" s="2" t="s">
        <v>71</v>
      </c>
      <c r="AD60" s="2" t="s">
        <v>71</v>
      </c>
      <c r="AE60" s="2" t="s">
        <v>71</v>
      </c>
      <c r="AF60" s="2" t="s">
        <v>76</v>
      </c>
      <c r="AG60" s="2" t="s">
        <v>76</v>
      </c>
      <c r="AH60" s="2" t="s">
        <v>80</v>
      </c>
      <c r="AI60" s="2">
        <v>2</v>
      </c>
    </row>
    <row r="61" spans="1:35" ht="32" x14ac:dyDescent="0.2">
      <c r="A61" s="2">
        <v>22378889</v>
      </c>
      <c r="B61" s="2">
        <f>VLOOKUP(A61,[1]TRATAMIENTI!$A:$B,2,FALSE)</f>
        <v>60</v>
      </c>
      <c r="C61" t="s">
        <v>200</v>
      </c>
      <c r="D61" s="2">
        <v>0</v>
      </c>
      <c r="E61" t="s">
        <v>201</v>
      </c>
      <c r="F61" s="2" t="s">
        <v>68</v>
      </c>
      <c r="G61" s="2" t="str">
        <f t="shared" si="0"/>
        <v>ATLANTICO</v>
      </c>
      <c r="H61" s="2" t="s">
        <v>69</v>
      </c>
      <c r="I61" s="2" t="s">
        <v>70</v>
      </c>
      <c r="J61" s="2" t="s">
        <v>72</v>
      </c>
      <c r="K61" s="2" t="s">
        <v>72</v>
      </c>
      <c r="L61" s="2" t="s">
        <v>71</v>
      </c>
      <c r="M61" s="2" t="s">
        <v>71</v>
      </c>
      <c r="N61" s="2" t="s">
        <v>71</v>
      </c>
      <c r="O61" s="2" t="s">
        <v>71</v>
      </c>
      <c r="P61" s="2" t="s">
        <v>71</v>
      </c>
      <c r="Q61" s="2" t="s">
        <v>71</v>
      </c>
      <c r="R61" s="2" t="s">
        <v>71</v>
      </c>
      <c r="S61" s="2" t="s">
        <v>71</v>
      </c>
      <c r="T61" s="2" t="s">
        <v>71</v>
      </c>
      <c r="U61" s="2" t="s">
        <v>71</v>
      </c>
      <c r="V61" s="2" t="s">
        <v>71</v>
      </c>
      <c r="W61" s="2" t="s">
        <v>71</v>
      </c>
      <c r="X61" s="2" t="s">
        <v>71</v>
      </c>
      <c r="Y61" s="2" t="s">
        <v>71</v>
      </c>
      <c r="Z61" s="2" t="s">
        <v>71</v>
      </c>
      <c r="AA61" s="2" t="s">
        <v>71</v>
      </c>
      <c r="AB61" s="2" t="s">
        <v>71</v>
      </c>
      <c r="AC61" s="2" t="s">
        <v>71</v>
      </c>
      <c r="AD61" s="2" t="s">
        <v>71</v>
      </c>
      <c r="AE61" s="2" t="s">
        <v>71</v>
      </c>
      <c r="AF61" s="2" t="s">
        <v>71</v>
      </c>
      <c r="AG61" s="2" t="s">
        <v>71</v>
      </c>
      <c r="AH61" s="2" t="s">
        <v>77</v>
      </c>
      <c r="AI61" s="2">
        <v>2</v>
      </c>
    </row>
    <row r="62" spans="1:35" ht="16" x14ac:dyDescent="0.2">
      <c r="A62" s="2">
        <v>22383297</v>
      </c>
      <c r="B62" s="2">
        <f>VLOOKUP(A62,[1]TRATAMIENTI!$A:$B,2,FALSE)</f>
        <v>61</v>
      </c>
      <c r="C62" t="s">
        <v>202</v>
      </c>
      <c r="D62" s="2">
        <v>0</v>
      </c>
      <c r="E62" s="2">
        <v>0</v>
      </c>
      <c r="F62" s="2" t="s">
        <v>68</v>
      </c>
      <c r="G62" s="2" t="str">
        <f t="shared" si="0"/>
        <v>ATLANTICO</v>
      </c>
      <c r="H62" s="2" t="s">
        <v>69</v>
      </c>
      <c r="I62" s="2" t="s">
        <v>70</v>
      </c>
      <c r="AH62" s="2" t="s">
        <v>73</v>
      </c>
      <c r="AI62" s="2">
        <v>2</v>
      </c>
    </row>
    <row r="63" spans="1:35" ht="32" x14ac:dyDescent="0.2">
      <c r="A63" s="2">
        <v>22385229</v>
      </c>
      <c r="B63" s="2">
        <f>VLOOKUP(A63,[1]TRATAMIENTI!$A:$B,2,FALSE)</f>
        <v>62</v>
      </c>
      <c r="C63" t="s">
        <v>203</v>
      </c>
      <c r="D63" s="2">
        <v>0</v>
      </c>
      <c r="E63" t="s">
        <v>204</v>
      </c>
      <c r="F63" s="2" t="s">
        <v>68</v>
      </c>
      <c r="G63" s="2" t="str">
        <f t="shared" si="0"/>
        <v>ATLANTICO</v>
      </c>
      <c r="H63" s="2" t="s">
        <v>69</v>
      </c>
      <c r="I63" s="2" t="s">
        <v>70</v>
      </c>
      <c r="J63" s="2" t="s">
        <v>71</v>
      </c>
      <c r="K63" s="2" t="s">
        <v>71</v>
      </c>
      <c r="L63" s="2" t="s">
        <v>76</v>
      </c>
      <c r="M63" s="2" t="s">
        <v>76</v>
      </c>
      <c r="N63" s="2" t="s">
        <v>76</v>
      </c>
      <c r="O63" s="2" t="s">
        <v>76</v>
      </c>
      <c r="P63" s="2" t="s">
        <v>76</v>
      </c>
      <c r="Q63" s="2" t="s">
        <v>76</v>
      </c>
      <c r="R63" s="2" t="s">
        <v>71</v>
      </c>
      <c r="S63" s="2" t="s">
        <v>71</v>
      </c>
      <c r="T63" s="2" t="s">
        <v>76</v>
      </c>
      <c r="U63" s="2" t="s">
        <v>76</v>
      </c>
      <c r="V63" s="2" t="s">
        <v>71</v>
      </c>
      <c r="W63" s="2" t="s">
        <v>71</v>
      </c>
      <c r="X63" s="2" t="s">
        <v>71</v>
      </c>
      <c r="Y63" s="2" t="s">
        <v>71</v>
      </c>
      <c r="Z63" s="2" t="s">
        <v>71</v>
      </c>
      <c r="AA63" s="2" t="s">
        <v>71</v>
      </c>
      <c r="AB63" s="2" t="s">
        <v>71</v>
      </c>
      <c r="AC63" s="2" t="s">
        <v>71</v>
      </c>
      <c r="AD63" s="2" t="s">
        <v>71</v>
      </c>
      <c r="AE63" s="2" t="s">
        <v>71</v>
      </c>
      <c r="AF63" s="2" t="s">
        <v>76</v>
      </c>
      <c r="AG63" s="2" t="s">
        <v>76</v>
      </c>
      <c r="AH63" s="2" t="s">
        <v>80</v>
      </c>
      <c r="AI63" s="2">
        <v>1</v>
      </c>
    </row>
    <row r="64" spans="1:35" ht="32" x14ac:dyDescent="0.2">
      <c r="A64" s="2">
        <v>22393271</v>
      </c>
      <c r="B64" s="2">
        <f>VLOOKUP(A64,[1]TRATAMIENTI!$A:$B,2,FALSE)</f>
        <v>63</v>
      </c>
      <c r="C64" t="s">
        <v>205</v>
      </c>
      <c r="D64" s="2">
        <v>0</v>
      </c>
      <c r="E64" t="s">
        <v>206</v>
      </c>
      <c r="F64" s="2" t="s">
        <v>68</v>
      </c>
      <c r="G64" s="2" t="str">
        <f t="shared" si="0"/>
        <v>ATLANTICO</v>
      </c>
      <c r="H64" s="2" t="s">
        <v>69</v>
      </c>
      <c r="I64" s="2" t="s">
        <v>70</v>
      </c>
      <c r="J64" s="2" t="s">
        <v>76</v>
      </c>
      <c r="K64" s="2" t="s">
        <v>76</v>
      </c>
      <c r="L64" s="2" t="s">
        <v>71</v>
      </c>
      <c r="M64" s="2" t="s">
        <v>71</v>
      </c>
      <c r="N64" s="2" t="s">
        <v>71</v>
      </c>
      <c r="O64" s="2" t="s">
        <v>71</v>
      </c>
      <c r="P64" s="2" t="s">
        <v>71</v>
      </c>
      <c r="Q64" s="2" t="s">
        <v>71</v>
      </c>
      <c r="R64" s="2" t="s">
        <v>71</v>
      </c>
      <c r="S64" s="2" t="s">
        <v>71</v>
      </c>
      <c r="T64" s="2" t="s">
        <v>71</v>
      </c>
      <c r="U64" s="2" t="s">
        <v>71</v>
      </c>
      <c r="V64" s="2" t="s">
        <v>71</v>
      </c>
      <c r="W64" s="2" t="s">
        <v>71</v>
      </c>
      <c r="X64" s="2" t="s">
        <v>71</v>
      </c>
      <c r="Y64" s="2" t="s">
        <v>71</v>
      </c>
      <c r="Z64" s="2" t="s">
        <v>71</v>
      </c>
      <c r="AA64" s="2" t="s">
        <v>71</v>
      </c>
      <c r="AB64" s="2" t="s">
        <v>71</v>
      </c>
      <c r="AC64" s="2" t="s">
        <v>71</v>
      </c>
      <c r="AD64" s="2" t="s">
        <v>71</v>
      </c>
      <c r="AE64" s="2" t="s">
        <v>71</v>
      </c>
      <c r="AF64" s="2" t="s">
        <v>71</v>
      </c>
      <c r="AG64" s="2" t="s">
        <v>71</v>
      </c>
      <c r="AH64" s="2" t="s">
        <v>73</v>
      </c>
      <c r="AI64" s="2">
        <v>2</v>
      </c>
    </row>
    <row r="65" spans="1:35" ht="32" x14ac:dyDescent="0.2">
      <c r="A65" s="2">
        <v>22414805</v>
      </c>
      <c r="B65" s="2">
        <f>VLOOKUP(A65,[1]TRATAMIENTI!$A:$B,2,FALSE)</f>
        <v>64</v>
      </c>
      <c r="C65" t="s">
        <v>207</v>
      </c>
      <c r="D65" s="2">
        <v>0</v>
      </c>
      <c r="E65" s="2" t="s">
        <v>208</v>
      </c>
      <c r="F65" s="2" t="s">
        <v>68</v>
      </c>
      <c r="G65" s="2" t="str">
        <f t="shared" si="0"/>
        <v>ATLANTICO</v>
      </c>
      <c r="H65" s="2" t="s">
        <v>69</v>
      </c>
      <c r="I65" s="2" t="s">
        <v>70</v>
      </c>
      <c r="J65" s="2" t="s">
        <v>71</v>
      </c>
      <c r="K65" s="2" t="s">
        <v>71</v>
      </c>
      <c r="L65" s="2" t="s">
        <v>76</v>
      </c>
      <c r="M65" s="2" t="s">
        <v>76</v>
      </c>
      <c r="N65" s="2" t="s">
        <v>76</v>
      </c>
      <c r="O65" s="2" t="s">
        <v>76</v>
      </c>
      <c r="P65" s="2" t="s">
        <v>76</v>
      </c>
      <c r="Q65" s="2" t="s">
        <v>76</v>
      </c>
      <c r="R65" s="2" t="s">
        <v>71</v>
      </c>
      <c r="S65" s="2" t="s">
        <v>71</v>
      </c>
      <c r="T65" s="2" t="s">
        <v>76</v>
      </c>
      <c r="U65" s="2" t="s">
        <v>76</v>
      </c>
      <c r="V65" s="2" t="s">
        <v>71</v>
      </c>
      <c r="W65" s="2" t="s">
        <v>71</v>
      </c>
      <c r="X65" s="2" t="s">
        <v>71</v>
      </c>
      <c r="Y65" s="2" t="s">
        <v>71</v>
      </c>
      <c r="Z65" s="2" t="s">
        <v>71</v>
      </c>
      <c r="AA65" s="2" t="s">
        <v>71</v>
      </c>
      <c r="AB65" s="2" t="s">
        <v>71</v>
      </c>
      <c r="AC65" s="2" t="s">
        <v>71</v>
      </c>
      <c r="AD65" s="2" t="s">
        <v>71</v>
      </c>
      <c r="AE65" s="2" t="s">
        <v>71</v>
      </c>
      <c r="AF65" s="2" t="s">
        <v>76</v>
      </c>
      <c r="AG65" s="2" t="s">
        <v>76</v>
      </c>
      <c r="AH65" s="2" t="s">
        <v>80</v>
      </c>
      <c r="AI65" s="2">
        <v>2</v>
      </c>
    </row>
    <row r="66" spans="1:35" ht="32" x14ac:dyDescent="0.2">
      <c r="A66" s="2">
        <v>22420818</v>
      </c>
      <c r="B66" s="2">
        <f>VLOOKUP(A66,[1]TRATAMIENTI!$A:$B,2,FALSE)</f>
        <v>65</v>
      </c>
      <c r="C66" t="s">
        <v>209</v>
      </c>
      <c r="D66" s="2">
        <v>0</v>
      </c>
      <c r="E66" s="2" t="s">
        <v>210</v>
      </c>
      <c r="F66" s="2" t="s">
        <v>68</v>
      </c>
      <c r="G66" s="2" t="str">
        <f t="shared" ref="G66:G129" si="1">IF(H66="CALI","VALLE DEL CAUCA",IF(H66="MEDELLIN","ANTIOQUIA",IF(H66="BARRANQUILLA","ATLANTICO","NO")))</f>
        <v>ATLANTICO</v>
      </c>
      <c r="H66" s="2" t="s">
        <v>69</v>
      </c>
      <c r="I66" s="2" t="s">
        <v>70</v>
      </c>
      <c r="J66" s="2" t="s">
        <v>71</v>
      </c>
      <c r="K66" s="2" t="s">
        <v>71</v>
      </c>
      <c r="L66" s="2" t="s">
        <v>71</v>
      </c>
      <c r="M66" s="2" t="s">
        <v>76</v>
      </c>
      <c r="N66" s="2" t="s">
        <v>76</v>
      </c>
      <c r="O66" s="2" t="s">
        <v>76</v>
      </c>
      <c r="P66" s="2" t="s">
        <v>76</v>
      </c>
      <c r="Q66" s="2" t="s">
        <v>76</v>
      </c>
      <c r="R66" s="2" t="s">
        <v>71</v>
      </c>
      <c r="S66" s="2" t="s">
        <v>71</v>
      </c>
      <c r="T66" s="2" t="s">
        <v>76</v>
      </c>
      <c r="U66" s="2" t="s">
        <v>76</v>
      </c>
      <c r="V66" s="2" t="s">
        <v>71</v>
      </c>
      <c r="W66" s="2" t="s">
        <v>71</v>
      </c>
      <c r="X66" s="2" t="s">
        <v>71</v>
      </c>
      <c r="Y66" s="2" t="s">
        <v>71</v>
      </c>
      <c r="Z66" s="2" t="s">
        <v>71</v>
      </c>
      <c r="AA66" s="2" t="s">
        <v>71</v>
      </c>
      <c r="AB66" s="2" t="s">
        <v>71</v>
      </c>
      <c r="AC66" s="2" t="s">
        <v>71</v>
      </c>
      <c r="AD66" s="2" t="s">
        <v>71</v>
      </c>
      <c r="AE66" s="2" t="s">
        <v>71</v>
      </c>
      <c r="AF66" s="2" t="s">
        <v>76</v>
      </c>
      <c r="AG66" s="2" t="s">
        <v>76</v>
      </c>
      <c r="AH66" s="2" t="s">
        <v>80</v>
      </c>
      <c r="AI66" s="2">
        <v>1</v>
      </c>
    </row>
    <row r="67" spans="1:35" ht="32" x14ac:dyDescent="0.2">
      <c r="A67" s="2">
        <v>22421041</v>
      </c>
      <c r="B67" s="2">
        <f>VLOOKUP(A67,[1]TRATAMIENTI!$A:$B,2,FALSE)</f>
        <v>66</v>
      </c>
      <c r="C67" t="s">
        <v>211</v>
      </c>
      <c r="D67">
        <v>3157197865</v>
      </c>
      <c r="E67" s="2" t="s">
        <v>212</v>
      </c>
      <c r="F67" s="2" t="s">
        <v>68</v>
      </c>
      <c r="G67" s="2" t="str">
        <f t="shared" si="1"/>
        <v>ATLANTICO</v>
      </c>
      <c r="H67" s="2" t="s">
        <v>69</v>
      </c>
      <c r="I67" s="2" t="s">
        <v>70</v>
      </c>
      <c r="J67" s="2" t="s">
        <v>71</v>
      </c>
      <c r="K67" s="2" t="s">
        <v>72</v>
      </c>
      <c r="L67" s="2" t="s">
        <v>71</v>
      </c>
      <c r="M67" s="2" t="s">
        <v>71</v>
      </c>
      <c r="N67" s="2" t="s">
        <v>72</v>
      </c>
      <c r="O67" s="2" t="s">
        <v>76</v>
      </c>
      <c r="P67" s="2" t="s">
        <v>76</v>
      </c>
      <c r="Q67" s="2" t="s">
        <v>76</v>
      </c>
      <c r="R67" s="2" t="s">
        <v>71</v>
      </c>
      <c r="S67" s="2" t="s">
        <v>71</v>
      </c>
      <c r="T67" s="2" t="s">
        <v>76</v>
      </c>
      <c r="U67" s="2" t="s">
        <v>76</v>
      </c>
      <c r="V67" s="2" t="s">
        <v>71</v>
      </c>
      <c r="W67" s="2" t="s">
        <v>71</v>
      </c>
      <c r="X67" s="2" t="s">
        <v>71</v>
      </c>
      <c r="Y67" s="2" t="s">
        <v>71</v>
      </c>
      <c r="Z67" s="2" t="s">
        <v>71</v>
      </c>
      <c r="AA67" s="2" t="s">
        <v>71</v>
      </c>
      <c r="AB67" s="2" t="s">
        <v>71</v>
      </c>
      <c r="AC67" s="2" t="s">
        <v>71</v>
      </c>
      <c r="AD67" s="2" t="s">
        <v>71</v>
      </c>
      <c r="AE67" s="2" t="s">
        <v>71</v>
      </c>
      <c r="AF67" s="2" t="s">
        <v>71</v>
      </c>
      <c r="AG67" s="2" t="s">
        <v>76</v>
      </c>
      <c r="AH67" s="2" t="s">
        <v>85</v>
      </c>
      <c r="AI67" s="2">
        <v>2</v>
      </c>
    </row>
    <row r="68" spans="1:35" ht="32" x14ac:dyDescent="0.2">
      <c r="A68" s="2">
        <v>22440120</v>
      </c>
      <c r="B68" s="2">
        <f>VLOOKUP(A68,[1]TRATAMIENTI!$A:$B,2,FALSE)</f>
        <v>67</v>
      </c>
      <c r="C68" t="s">
        <v>213</v>
      </c>
      <c r="D68">
        <v>3013981727</v>
      </c>
      <c r="E68" t="s">
        <v>214</v>
      </c>
      <c r="F68" s="2" t="s">
        <v>68</v>
      </c>
      <c r="G68" s="2" t="str">
        <f t="shared" si="1"/>
        <v>ATLANTICO</v>
      </c>
      <c r="H68" s="2" t="s">
        <v>69</v>
      </c>
      <c r="I68" s="2" t="s">
        <v>70</v>
      </c>
      <c r="J68" s="2" t="s">
        <v>76</v>
      </c>
      <c r="K68" s="2" t="s">
        <v>76</v>
      </c>
      <c r="L68" s="2" t="s">
        <v>71</v>
      </c>
      <c r="M68" s="2" t="s">
        <v>71</v>
      </c>
      <c r="N68" s="2" t="s">
        <v>71</v>
      </c>
      <c r="O68" s="2" t="s">
        <v>71</v>
      </c>
      <c r="P68" s="2" t="s">
        <v>71</v>
      </c>
      <c r="Q68" s="2" t="s">
        <v>71</v>
      </c>
      <c r="R68" s="2" t="s">
        <v>71</v>
      </c>
      <c r="S68" s="2" t="s">
        <v>71</v>
      </c>
      <c r="T68" s="2" t="s">
        <v>71</v>
      </c>
      <c r="U68" s="2" t="s">
        <v>76</v>
      </c>
      <c r="V68" s="2" t="s">
        <v>71</v>
      </c>
      <c r="W68" s="2" t="s">
        <v>71</v>
      </c>
      <c r="X68" s="2" t="s">
        <v>71</v>
      </c>
      <c r="Y68" s="2" t="s">
        <v>71</v>
      </c>
      <c r="Z68" s="2" t="s">
        <v>71</v>
      </c>
      <c r="AA68" s="2" t="s">
        <v>71</v>
      </c>
      <c r="AB68" s="2" t="s">
        <v>71</v>
      </c>
      <c r="AC68" s="2" t="s">
        <v>71</v>
      </c>
      <c r="AD68" s="2" t="s">
        <v>71</v>
      </c>
      <c r="AE68" s="2" t="s">
        <v>71</v>
      </c>
      <c r="AF68" s="2" t="s">
        <v>71</v>
      </c>
      <c r="AG68" s="2" t="s">
        <v>71</v>
      </c>
      <c r="AH68" s="2" t="s">
        <v>80</v>
      </c>
      <c r="AI68" s="2">
        <v>2</v>
      </c>
    </row>
    <row r="69" spans="1:35" ht="32" x14ac:dyDescent="0.2">
      <c r="A69" s="2">
        <v>22446557</v>
      </c>
      <c r="B69" s="2">
        <f>VLOOKUP(A69,[1]TRATAMIENTI!$A:$B,2,FALSE)</f>
        <v>68</v>
      </c>
      <c r="C69" t="s">
        <v>215</v>
      </c>
      <c r="D69" s="2">
        <v>0</v>
      </c>
      <c r="E69" s="2" t="s">
        <v>216</v>
      </c>
      <c r="F69" s="2" t="s">
        <v>68</v>
      </c>
      <c r="G69" s="2" t="str">
        <f t="shared" si="1"/>
        <v>ATLANTICO</v>
      </c>
      <c r="H69" s="2" t="s">
        <v>69</v>
      </c>
      <c r="I69" s="2" t="s">
        <v>70</v>
      </c>
      <c r="J69" s="2" t="s">
        <v>71</v>
      </c>
      <c r="K69" s="2" t="s">
        <v>72</v>
      </c>
      <c r="L69" s="2" t="s">
        <v>71</v>
      </c>
      <c r="M69" s="2" t="s">
        <v>71</v>
      </c>
      <c r="N69" s="2" t="s">
        <v>71</v>
      </c>
      <c r="O69" s="2" t="s">
        <v>76</v>
      </c>
      <c r="P69" s="2" t="s">
        <v>76</v>
      </c>
      <c r="Q69" s="2" t="s">
        <v>76</v>
      </c>
      <c r="R69" s="2" t="s">
        <v>71</v>
      </c>
      <c r="S69" s="2" t="s">
        <v>71</v>
      </c>
      <c r="T69" s="2" t="s">
        <v>76</v>
      </c>
      <c r="U69" s="2" t="s">
        <v>76</v>
      </c>
      <c r="V69" s="2" t="s">
        <v>71</v>
      </c>
      <c r="W69" s="2" t="s">
        <v>71</v>
      </c>
      <c r="X69" s="2" t="s">
        <v>71</v>
      </c>
      <c r="Y69" s="2" t="s">
        <v>71</v>
      </c>
      <c r="Z69" s="2" t="s">
        <v>71</v>
      </c>
      <c r="AA69" s="2" t="s">
        <v>71</v>
      </c>
      <c r="AB69" s="2" t="s">
        <v>71</v>
      </c>
      <c r="AC69" s="2" t="s">
        <v>71</v>
      </c>
      <c r="AD69" s="2" t="s">
        <v>71</v>
      </c>
      <c r="AE69" s="2" t="s">
        <v>71</v>
      </c>
      <c r="AF69" s="2" t="s">
        <v>76</v>
      </c>
      <c r="AG69" s="2" t="s">
        <v>76</v>
      </c>
      <c r="AH69" s="2" t="s">
        <v>77</v>
      </c>
      <c r="AI69" s="2">
        <v>1</v>
      </c>
    </row>
    <row r="70" spans="1:35" ht="32" x14ac:dyDescent="0.2">
      <c r="A70" s="2">
        <v>22446587</v>
      </c>
      <c r="B70" s="2">
        <f>VLOOKUP(A70,[1]TRATAMIENTI!$A:$B,2,FALSE)</f>
        <v>69</v>
      </c>
      <c r="C70" t="s">
        <v>217</v>
      </c>
      <c r="D70">
        <v>3013828798</v>
      </c>
      <c r="E70" s="2" t="s">
        <v>218</v>
      </c>
      <c r="F70" s="2" t="s">
        <v>68</v>
      </c>
      <c r="G70" s="2" t="str">
        <f t="shared" si="1"/>
        <v>ATLANTICO</v>
      </c>
      <c r="H70" s="2" t="s">
        <v>69</v>
      </c>
      <c r="I70" s="2" t="s">
        <v>70</v>
      </c>
      <c r="J70" s="2" t="s">
        <v>71</v>
      </c>
      <c r="K70" s="2" t="s">
        <v>71</v>
      </c>
      <c r="L70" s="2" t="s">
        <v>76</v>
      </c>
      <c r="M70" s="2" t="s">
        <v>76</v>
      </c>
      <c r="N70" s="2" t="s">
        <v>76</v>
      </c>
      <c r="O70" s="2" t="s">
        <v>76</v>
      </c>
      <c r="P70" s="2" t="s">
        <v>76</v>
      </c>
      <c r="Q70" s="2" t="s">
        <v>76</v>
      </c>
      <c r="R70" s="2" t="s">
        <v>71</v>
      </c>
      <c r="S70" s="2" t="s">
        <v>71</v>
      </c>
      <c r="T70" s="2" t="s">
        <v>76</v>
      </c>
      <c r="U70" s="2" t="s">
        <v>76</v>
      </c>
      <c r="V70" s="2" t="s">
        <v>71</v>
      </c>
      <c r="W70" s="2" t="s">
        <v>71</v>
      </c>
      <c r="X70" s="2" t="s">
        <v>71</v>
      </c>
      <c r="Y70" s="2" t="s">
        <v>71</v>
      </c>
      <c r="Z70" s="2" t="s">
        <v>71</v>
      </c>
      <c r="AA70" s="2" t="s">
        <v>71</v>
      </c>
      <c r="AB70" s="2" t="s">
        <v>71</v>
      </c>
      <c r="AC70" s="2" t="s">
        <v>71</v>
      </c>
      <c r="AD70" s="2" t="s">
        <v>71</v>
      </c>
      <c r="AE70" s="2" t="s">
        <v>71</v>
      </c>
      <c r="AF70" s="2" t="s">
        <v>76</v>
      </c>
      <c r="AG70" s="2" t="s">
        <v>76</v>
      </c>
      <c r="AH70" s="2" t="s">
        <v>80</v>
      </c>
      <c r="AI70" s="2">
        <v>1</v>
      </c>
    </row>
    <row r="71" spans="1:35" ht="32" x14ac:dyDescent="0.2">
      <c r="A71" s="2">
        <v>22467946</v>
      </c>
      <c r="B71" s="2">
        <f>VLOOKUP(A71,[1]TRATAMIENTI!$A:$B,2,FALSE)</f>
        <v>70</v>
      </c>
      <c r="C71" t="s">
        <v>219</v>
      </c>
      <c r="D71" s="2">
        <v>0</v>
      </c>
      <c r="E71" t="s">
        <v>220</v>
      </c>
      <c r="F71" s="2" t="s">
        <v>68</v>
      </c>
      <c r="G71" s="2" t="str">
        <f t="shared" si="1"/>
        <v>ATLANTICO</v>
      </c>
      <c r="H71" s="2" t="s">
        <v>69</v>
      </c>
      <c r="I71" s="2" t="s">
        <v>70</v>
      </c>
      <c r="J71" s="2" t="s">
        <v>71</v>
      </c>
      <c r="K71" s="2" t="s">
        <v>71</v>
      </c>
      <c r="L71" s="2" t="s">
        <v>76</v>
      </c>
      <c r="M71" s="2" t="s">
        <v>76</v>
      </c>
      <c r="N71" s="2" t="s">
        <v>72</v>
      </c>
      <c r="O71" s="2" t="s">
        <v>76</v>
      </c>
      <c r="P71" s="2" t="s">
        <v>76</v>
      </c>
      <c r="Q71" s="2" t="s">
        <v>76</v>
      </c>
      <c r="R71" s="2" t="s">
        <v>71</v>
      </c>
      <c r="S71" s="2" t="s">
        <v>71</v>
      </c>
      <c r="T71" s="2" t="s">
        <v>76</v>
      </c>
      <c r="U71" s="2" t="s">
        <v>76</v>
      </c>
      <c r="V71" s="2" t="s">
        <v>71</v>
      </c>
      <c r="W71" s="2" t="s">
        <v>71</v>
      </c>
      <c r="X71" s="2" t="s">
        <v>71</v>
      </c>
      <c r="Y71" s="2" t="s">
        <v>71</v>
      </c>
      <c r="Z71" s="2" t="s">
        <v>71</v>
      </c>
      <c r="AA71" s="2" t="s">
        <v>71</v>
      </c>
      <c r="AB71" s="2" t="s">
        <v>71</v>
      </c>
      <c r="AC71" s="2" t="s">
        <v>71</v>
      </c>
      <c r="AD71" s="2" t="s">
        <v>71</v>
      </c>
      <c r="AE71" s="2" t="s">
        <v>71</v>
      </c>
      <c r="AF71" s="2" t="s">
        <v>76</v>
      </c>
      <c r="AG71" s="2" t="s">
        <v>76</v>
      </c>
      <c r="AH71" s="2" t="s">
        <v>80</v>
      </c>
      <c r="AI71" s="2">
        <v>2</v>
      </c>
    </row>
    <row r="72" spans="1:35" ht="32" x14ac:dyDescent="0.2">
      <c r="A72" s="2">
        <v>22502121</v>
      </c>
      <c r="B72" s="2">
        <f>VLOOKUP(A72,[1]TRATAMIENTI!$A:$B,2,FALSE)</f>
        <v>71</v>
      </c>
      <c r="C72" t="s">
        <v>221</v>
      </c>
      <c r="D72" t="s">
        <v>222</v>
      </c>
      <c r="E72" t="s">
        <v>223</v>
      </c>
      <c r="F72" s="2" t="s">
        <v>68</v>
      </c>
      <c r="G72" s="2" t="str">
        <f t="shared" si="1"/>
        <v>ATLANTICO</v>
      </c>
      <c r="H72" s="2" t="s">
        <v>69</v>
      </c>
      <c r="I72" s="2" t="s">
        <v>70</v>
      </c>
      <c r="J72" s="2" t="s">
        <v>71</v>
      </c>
      <c r="K72" s="2" t="s">
        <v>71</v>
      </c>
      <c r="L72" s="2" t="s">
        <v>76</v>
      </c>
      <c r="M72" s="2" t="s">
        <v>76</v>
      </c>
      <c r="N72" s="2" t="s">
        <v>76</v>
      </c>
      <c r="O72" s="2" t="s">
        <v>76</v>
      </c>
      <c r="P72" s="2" t="s">
        <v>76</v>
      </c>
      <c r="Q72" s="2" t="s">
        <v>76</v>
      </c>
      <c r="R72" s="2" t="s">
        <v>71</v>
      </c>
      <c r="S72" s="2" t="s">
        <v>71</v>
      </c>
      <c r="T72" s="2" t="s">
        <v>76</v>
      </c>
      <c r="U72" s="2" t="s">
        <v>76</v>
      </c>
      <c r="V72" s="2" t="s">
        <v>71</v>
      </c>
      <c r="W72" s="2" t="s">
        <v>71</v>
      </c>
      <c r="X72" s="2" t="s">
        <v>71</v>
      </c>
      <c r="Y72" s="2" t="s">
        <v>71</v>
      </c>
      <c r="Z72" s="2" t="s">
        <v>71</v>
      </c>
      <c r="AA72" s="2" t="s">
        <v>71</v>
      </c>
      <c r="AB72" s="2" t="s">
        <v>71</v>
      </c>
      <c r="AC72" s="2" t="s">
        <v>71</v>
      </c>
      <c r="AD72" s="2" t="s">
        <v>76</v>
      </c>
      <c r="AE72" s="2" t="s">
        <v>76</v>
      </c>
      <c r="AF72" s="2" t="s">
        <v>72</v>
      </c>
      <c r="AG72" s="2" t="s">
        <v>72</v>
      </c>
      <c r="AH72" s="2" t="s">
        <v>80</v>
      </c>
      <c r="AI72" s="2">
        <v>1</v>
      </c>
    </row>
    <row r="73" spans="1:35" ht="32" x14ac:dyDescent="0.2">
      <c r="A73" s="2">
        <v>22502647</v>
      </c>
      <c r="B73" s="2">
        <f>VLOOKUP(A73,[1]TRATAMIENTI!$A:$B,2,FALSE)</f>
        <v>72</v>
      </c>
      <c r="C73" t="s">
        <v>224</v>
      </c>
      <c r="D73">
        <v>3011335502</v>
      </c>
      <c r="E73" s="2" t="s">
        <v>225</v>
      </c>
      <c r="F73" s="2" t="s">
        <v>68</v>
      </c>
      <c r="G73" s="2" t="str">
        <f t="shared" si="1"/>
        <v>ATLANTICO</v>
      </c>
      <c r="H73" s="2" t="s">
        <v>69</v>
      </c>
      <c r="I73" s="2" t="s">
        <v>70</v>
      </c>
      <c r="J73" s="2" t="s">
        <v>71</v>
      </c>
      <c r="K73" s="2" t="s">
        <v>71</v>
      </c>
      <c r="L73" s="2" t="s">
        <v>71</v>
      </c>
      <c r="M73" s="2" t="s">
        <v>71</v>
      </c>
      <c r="N73" s="2" t="s">
        <v>71</v>
      </c>
      <c r="O73" s="2" t="s">
        <v>76</v>
      </c>
      <c r="P73" s="2" t="s">
        <v>76</v>
      </c>
      <c r="Q73" s="2" t="s">
        <v>76</v>
      </c>
      <c r="R73" s="2" t="s">
        <v>71</v>
      </c>
      <c r="S73" s="2" t="s">
        <v>71</v>
      </c>
      <c r="T73" s="2" t="s">
        <v>76</v>
      </c>
      <c r="U73" s="2" t="s">
        <v>76</v>
      </c>
      <c r="V73" s="2" t="s">
        <v>71</v>
      </c>
      <c r="W73" s="2" t="s">
        <v>71</v>
      </c>
      <c r="X73" s="2" t="s">
        <v>71</v>
      </c>
      <c r="Y73" s="2" t="s">
        <v>71</v>
      </c>
      <c r="Z73" s="2" t="s">
        <v>71</v>
      </c>
      <c r="AA73" s="2" t="s">
        <v>71</v>
      </c>
      <c r="AB73" s="2" t="s">
        <v>71</v>
      </c>
      <c r="AC73" s="2" t="s">
        <v>71</v>
      </c>
      <c r="AD73" s="2" t="s">
        <v>71</v>
      </c>
      <c r="AE73" s="2" t="s">
        <v>71</v>
      </c>
      <c r="AF73" s="2" t="s">
        <v>72</v>
      </c>
      <c r="AG73" s="2" t="s">
        <v>72</v>
      </c>
      <c r="AH73" s="2" t="s">
        <v>179</v>
      </c>
      <c r="AI73" s="2">
        <v>2</v>
      </c>
    </row>
    <row r="74" spans="1:35" ht="32" x14ac:dyDescent="0.2">
      <c r="A74" s="2">
        <v>22503243</v>
      </c>
      <c r="B74" s="2">
        <f>VLOOKUP(A74,[1]TRATAMIENTI!$A:$B,2,FALSE)</f>
        <v>73</v>
      </c>
      <c r="C74" t="s">
        <v>226</v>
      </c>
      <c r="D74" s="2">
        <v>0</v>
      </c>
      <c r="E74" s="2" t="s">
        <v>227</v>
      </c>
      <c r="F74" s="2" t="s">
        <v>68</v>
      </c>
      <c r="G74" s="2" t="str">
        <f t="shared" si="1"/>
        <v>ATLANTICO</v>
      </c>
      <c r="H74" s="2" t="s">
        <v>69</v>
      </c>
      <c r="I74" s="2" t="s">
        <v>70</v>
      </c>
      <c r="J74" s="2" t="s">
        <v>76</v>
      </c>
      <c r="K74" s="2" t="s">
        <v>76</v>
      </c>
      <c r="L74" s="2" t="s">
        <v>71</v>
      </c>
      <c r="M74" s="2" t="s">
        <v>71</v>
      </c>
      <c r="N74" s="2" t="s">
        <v>71</v>
      </c>
      <c r="O74" s="2" t="s">
        <v>76</v>
      </c>
      <c r="P74" s="2" t="s">
        <v>76</v>
      </c>
      <c r="Q74" s="2" t="s">
        <v>76</v>
      </c>
      <c r="R74" s="2" t="s">
        <v>71</v>
      </c>
      <c r="S74" s="2" t="s">
        <v>71</v>
      </c>
      <c r="T74" s="2" t="s">
        <v>76</v>
      </c>
      <c r="U74" s="2" t="s">
        <v>76</v>
      </c>
      <c r="V74" s="2" t="s">
        <v>71</v>
      </c>
      <c r="W74" s="2" t="s">
        <v>71</v>
      </c>
      <c r="X74" s="2" t="s">
        <v>71</v>
      </c>
      <c r="Y74" s="2" t="s">
        <v>71</v>
      </c>
      <c r="Z74" s="2" t="s">
        <v>71</v>
      </c>
      <c r="AA74" s="2" t="s">
        <v>71</v>
      </c>
      <c r="AB74" s="2" t="s">
        <v>71</v>
      </c>
      <c r="AC74" s="2" t="s">
        <v>71</v>
      </c>
      <c r="AD74" s="2" t="s">
        <v>71</v>
      </c>
      <c r="AE74" s="2" t="s">
        <v>71</v>
      </c>
      <c r="AF74" s="2" t="s">
        <v>72</v>
      </c>
      <c r="AG74" s="2" t="s">
        <v>72</v>
      </c>
      <c r="AH74" s="2" t="s">
        <v>77</v>
      </c>
      <c r="AI74" s="2">
        <v>2</v>
      </c>
    </row>
    <row r="75" spans="1:35" ht="16" x14ac:dyDescent="0.2">
      <c r="A75" s="2">
        <v>22505364</v>
      </c>
      <c r="B75" s="2">
        <f>VLOOKUP(A75,[1]TRATAMIENTI!$A:$B,2,FALSE)</f>
        <v>74</v>
      </c>
      <c r="C75" t="s">
        <v>228</v>
      </c>
      <c r="D75" s="2">
        <v>0</v>
      </c>
      <c r="E75" t="s">
        <v>229</v>
      </c>
      <c r="F75" s="2" t="s">
        <v>68</v>
      </c>
      <c r="G75" s="2" t="str">
        <f t="shared" si="1"/>
        <v>ATLANTICO</v>
      </c>
      <c r="H75" s="2" t="s">
        <v>69</v>
      </c>
      <c r="I75" s="2" t="s">
        <v>70</v>
      </c>
      <c r="AH75" s="2" t="s">
        <v>85</v>
      </c>
      <c r="AI75" s="2">
        <v>1</v>
      </c>
    </row>
    <row r="76" spans="1:35" ht="32" x14ac:dyDescent="0.2">
      <c r="A76" s="2">
        <v>22518128</v>
      </c>
      <c r="B76" s="2">
        <f>VLOOKUP(A76,[1]TRATAMIENTI!$A:$B,2,FALSE)</f>
        <v>75</v>
      </c>
      <c r="C76" t="s">
        <v>230</v>
      </c>
      <c r="D76" s="2">
        <v>3137115357</v>
      </c>
      <c r="E76" s="2" t="s">
        <v>231</v>
      </c>
      <c r="F76" s="2" t="s">
        <v>68</v>
      </c>
      <c r="G76" s="2" t="str">
        <f t="shared" si="1"/>
        <v>ATLANTICO</v>
      </c>
      <c r="H76" s="2" t="s">
        <v>69</v>
      </c>
      <c r="I76" s="2" t="s">
        <v>70</v>
      </c>
      <c r="J76" s="2" t="s">
        <v>71</v>
      </c>
      <c r="K76" s="2" t="s">
        <v>76</v>
      </c>
      <c r="L76" s="2" t="s">
        <v>71</v>
      </c>
      <c r="M76" s="2" t="s">
        <v>76</v>
      </c>
      <c r="N76" s="2" t="s">
        <v>72</v>
      </c>
      <c r="O76" s="2" t="s">
        <v>76</v>
      </c>
      <c r="P76" s="2" t="s">
        <v>76</v>
      </c>
      <c r="Q76" s="2" t="s">
        <v>76</v>
      </c>
      <c r="R76" s="2" t="s">
        <v>72</v>
      </c>
      <c r="S76" s="2" t="s">
        <v>71</v>
      </c>
      <c r="T76" s="2" t="s">
        <v>71</v>
      </c>
      <c r="U76" s="2" t="s">
        <v>76</v>
      </c>
      <c r="V76" s="2" t="s">
        <v>76</v>
      </c>
      <c r="W76" s="2" t="s">
        <v>71</v>
      </c>
      <c r="X76" s="2" t="s">
        <v>71</v>
      </c>
      <c r="Y76" s="2" t="s">
        <v>71</v>
      </c>
      <c r="Z76" s="2" t="s">
        <v>71</v>
      </c>
      <c r="AA76" s="2" t="s">
        <v>71</v>
      </c>
      <c r="AB76" s="2" t="s">
        <v>71</v>
      </c>
      <c r="AC76" s="2" t="s">
        <v>71</v>
      </c>
      <c r="AD76" s="2" t="s">
        <v>71</v>
      </c>
      <c r="AE76" s="2" t="s">
        <v>71</v>
      </c>
      <c r="AF76" s="2" t="s">
        <v>76</v>
      </c>
      <c r="AG76" s="2" t="s">
        <v>76</v>
      </c>
      <c r="AH76" s="2" t="s">
        <v>91</v>
      </c>
      <c r="AI76" s="2">
        <v>1</v>
      </c>
    </row>
    <row r="77" spans="1:35" ht="32" x14ac:dyDescent="0.2">
      <c r="A77" s="2">
        <v>22532457</v>
      </c>
      <c r="B77" s="2">
        <f>VLOOKUP(A77,[1]TRATAMIENTI!$A:$B,2,FALSE)</f>
        <v>76</v>
      </c>
      <c r="C77" t="s">
        <v>232</v>
      </c>
      <c r="D77">
        <v>3123093463</v>
      </c>
      <c r="E77" t="s">
        <v>233</v>
      </c>
      <c r="F77" s="2" t="s">
        <v>68</v>
      </c>
      <c r="G77" s="2" t="str">
        <f t="shared" si="1"/>
        <v>ATLANTICO</v>
      </c>
      <c r="H77" s="2" t="s">
        <v>69</v>
      </c>
      <c r="I77" s="2" t="s">
        <v>70</v>
      </c>
      <c r="J77" s="2" t="s">
        <v>76</v>
      </c>
      <c r="K77" s="2" t="s">
        <v>76</v>
      </c>
      <c r="L77" s="2" t="s">
        <v>71</v>
      </c>
      <c r="M77" s="2" t="s">
        <v>71</v>
      </c>
      <c r="N77" s="2" t="s">
        <v>71</v>
      </c>
      <c r="O77" s="2" t="s">
        <v>71</v>
      </c>
      <c r="P77" s="2" t="s">
        <v>71</v>
      </c>
      <c r="Q77" s="2" t="s">
        <v>71</v>
      </c>
      <c r="R77" s="2" t="s">
        <v>71</v>
      </c>
      <c r="S77" s="2" t="s">
        <v>71</v>
      </c>
      <c r="T77" s="2" t="s">
        <v>71</v>
      </c>
      <c r="U77" s="2" t="s">
        <v>71</v>
      </c>
      <c r="V77" s="2" t="s">
        <v>71</v>
      </c>
      <c r="W77" s="2" t="s">
        <v>71</v>
      </c>
      <c r="X77" s="2" t="s">
        <v>71</v>
      </c>
      <c r="Y77" s="2" t="s">
        <v>71</v>
      </c>
      <c r="Z77" s="2" t="s">
        <v>71</v>
      </c>
      <c r="AA77" s="2" t="s">
        <v>71</v>
      </c>
      <c r="AB77" s="2" t="s">
        <v>71</v>
      </c>
      <c r="AC77" s="2" t="s">
        <v>71</v>
      </c>
      <c r="AD77" s="2" t="s">
        <v>71</v>
      </c>
      <c r="AE77" s="2" t="s">
        <v>71</v>
      </c>
      <c r="AF77" s="2" t="s">
        <v>71</v>
      </c>
      <c r="AG77" s="2" t="s">
        <v>71</v>
      </c>
      <c r="AH77" s="2" t="s">
        <v>77</v>
      </c>
      <c r="AI77" s="2">
        <v>2</v>
      </c>
    </row>
    <row r="78" spans="1:35" ht="32" x14ac:dyDescent="0.2">
      <c r="A78" s="2">
        <v>22548648</v>
      </c>
      <c r="B78" s="2">
        <f>VLOOKUP(A78,[1]TRATAMIENTI!$A:$B,2,FALSE)</f>
        <v>77</v>
      </c>
      <c r="C78" t="s">
        <v>234</v>
      </c>
      <c r="D78" s="2">
        <v>0</v>
      </c>
      <c r="E78" t="s">
        <v>235</v>
      </c>
      <c r="F78" s="2" t="s">
        <v>68</v>
      </c>
      <c r="G78" s="2" t="str">
        <f t="shared" si="1"/>
        <v>ATLANTICO</v>
      </c>
      <c r="H78" s="2" t="s">
        <v>69</v>
      </c>
      <c r="I78" s="2" t="s">
        <v>70</v>
      </c>
      <c r="J78" s="2" t="s">
        <v>71</v>
      </c>
      <c r="K78" s="2" t="s">
        <v>71</v>
      </c>
      <c r="L78" s="2" t="s">
        <v>76</v>
      </c>
      <c r="M78" s="2" t="s">
        <v>76</v>
      </c>
      <c r="N78" s="2" t="s">
        <v>76</v>
      </c>
      <c r="O78" s="2" t="s">
        <v>76</v>
      </c>
      <c r="P78" s="2" t="s">
        <v>76</v>
      </c>
      <c r="Q78" s="2" t="s">
        <v>76</v>
      </c>
      <c r="R78" s="2" t="s">
        <v>71</v>
      </c>
      <c r="S78" s="2" t="s">
        <v>71</v>
      </c>
      <c r="T78" s="2" t="s">
        <v>76</v>
      </c>
      <c r="U78" s="2" t="s">
        <v>76</v>
      </c>
      <c r="V78" s="2" t="s">
        <v>71</v>
      </c>
      <c r="W78" s="2" t="s">
        <v>71</v>
      </c>
      <c r="X78" s="2" t="s">
        <v>71</v>
      </c>
      <c r="Y78" s="2" t="s">
        <v>71</v>
      </c>
      <c r="Z78" s="2" t="s">
        <v>71</v>
      </c>
      <c r="AA78" s="2" t="s">
        <v>71</v>
      </c>
      <c r="AB78" s="2" t="s">
        <v>71</v>
      </c>
      <c r="AC78" s="2" t="s">
        <v>71</v>
      </c>
      <c r="AD78" s="2" t="s">
        <v>71</v>
      </c>
      <c r="AE78" s="2" t="s">
        <v>71</v>
      </c>
      <c r="AF78" s="2" t="s">
        <v>76</v>
      </c>
      <c r="AG78" s="2" t="s">
        <v>76</v>
      </c>
      <c r="AH78" s="2" t="s">
        <v>80</v>
      </c>
      <c r="AI78" s="2">
        <v>2</v>
      </c>
    </row>
    <row r="79" spans="1:35" ht="32" x14ac:dyDescent="0.2">
      <c r="A79" s="2">
        <v>22567435</v>
      </c>
      <c r="B79" s="2">
        <f>VLOOKUP(A79,[1]TRATAMIENTI!$A:$B,2,FALSE)</f>
        <v>78</v>
      </c>
      <c r="C79" s="2" t="s">
        <v>236</v>
      </c>
      <c r="D79" s="2">
        <v>3184809996</v>
      </c>
      <c r="E79" s="2" t="s">
        <v>237</v>
      </c>
      <c r="F79" s="2" t="s">
        <v>68</v>
      </c>
      <c r="G79" s="2" t="str">
        <f t="shared" si="1"/>
        <v>ATLANTICO</v>
      </c>
      <c r="H79" s="2" t="s">
        <v>69</v>
      </c>
      <c r="I79" s="2" t="s">
        <v>70</v>
      </c>
      <c r="J79" s="2" t="s">
        <v>71</v>
      </c>
      <c r="K79" s="2" t="s">
        <v>76</v>
      </c>
      <c r="L79" s="2" t="s">
        <v>76</v>
      </c>
      <c r="M79" s="2" t="s">
        <v>76</v>
      </c>
      <c r="N79" s="2" t="s">
        <v>76</v>
      </c>
      <c r="O79" s="2" t="s">
        <v>76</v>
      </c>
      <c r="P79" s="2" t="s">
        <v>76</v>
      </c>
      <c r="Q79" s="2" t="s">
        <v>76</v>
      </c>
      <c r="R79" s="2" t="s">
        <v>71</v>
      </c>
      <c r="S79" s="2" t="s">
        <v>71</v>
      </c>
      <c r="T79" s="2" t="s">
        <v>76</v>
      </c>
      <c r="U79" s="2" t="s">
        <v>76</v>
      </c>
      <c r="V79" s="2" t="s">
        <v>71</v>
      </c>
      <c r="W79" s="2" t="s">
        <v>71</v>
      </c>
      <c r="X79" s="2" t="s">
        <v>71</v>
      </c>
      <c r="Y79" s="2" t="s">
        <v>71</v>
      </c>
      <c r="Z79" s="2" t="s">
        <v>71</v>
      </c>
      <c r="AA79" s="2" t="s">
        <v>71</v>
      </c>
      <c r="AB79" s="2" t="s">
        <v>71</v>
      </c>
      <c r="AC79" s="2" t="s">
        <v>71</v>
      </c>
      <c r="AD79" s="2" t="s">
        <v>71</v>
      </c>
      <c r="AE79" s="2" t="s">
        <v>71</v>
      </c>
      <c r="AF79" s="2" t="s">
        <v>76</v>
      </c>
      <c r="AG79" s="2" t="s">
        <v>76</v>
      </c>
      <c r="AH79" s="2" t="s">
        <v>91</v>
      </c>
      <c r="AI79" s="2">
        <v>2</v>
      </c>
    </row>
    <row r="80" spans="1:35" ht="32" x14ac:dyDescent="0.2">
      <c r="A80" s="2">
        <v>22590461</v>
      </c>
      <c r="B80" s="2">
        <f>VLOOKUP(A80,[1]TRATAMIENTI!$A:$B,2,FALSE)</f>
        <v>79</v>
      </c>
      <c r="C80" t="s">
        <v>238</v>
      </c>
      <c r="D80">
        <v>3022172888</v>
      </c>
      <c r="E80" s="2" t="s">
        <v>239</v>
      </c>
      <c r="F80" s="2" t="s">
        <v>68</v>
      </c>
      <c r="G80" s="2" t="str">
        <f t="shared" si="1"/>
        <v>ATLANTICO</v>
      </c>
      <c r="H80" s="2" t="s">
        <v>69</v>
      </c>
      <c r="I80" s="2" t="s">
        <v>70</v>
      </c>
      <c r="J80" s="2" t="s">
        <v>71</v>
      </c>
      <c r="K80" s="2" t="s">
        <v>76</v>
      </c>
      <c r="L80" s="2" t="s">
        <v>71</v>
      </c>
      <c r="M80" s="2" t="s">
        <v>71</v>
      </c>
      <c r="N80" s="2" t="s">
        <v>71</v>
      </c>
      <c r="O80" s="2" t="s">
        <v>76</v>
      </c>
      <c r="P80" s="2" t="s">
        <v>76</v>
      </c>
      <c r="Q80" s="2" t="s">
        <v>76</v>
      </c>
      <c r="R80" s="2" t="s">
        <v>71</v>
      </c>
      <c r="S80" s="2" t="s">
        <v>71</v>
      </c>
      <c r="T80" s="2" t="s">
        <v>76</v>
      </c>
      <c r="U80" s="2" t="s">
        <v>76</v>
      </c>
      <c r="V80" s="2" t="s">
        <v>71</v>
      </c>
      <c r="W80" s="2" t="s">
        <v>71</v>
      </c>
      <c r="X80" s="2" t="s">
        <v>71</v>
      </c>
      <c r="Y80" s="2" t="s">
        <v>71</v>
      </c>
      <c r="Z80" s="2" t="s">
        <v>71</v>
      </c>
      <c r="AA80" s="2" t="s">
        <v>71</v>
      </c>
      <c r="AB80" s="2" t="s">
        <v>71</v>
      </c>
      <c r="AC80" s="2" t="s">
        <v>71</v>
      </c>
      <c r="AD80" s="2" t="s">
        <v>76</v>
      </c>
      <c r="AE80" s="2" t="s">
        <v>76</v>
      </c>
      <c r="AF80" s="2" t="s">
        <v>76</v>
      </c>
      <c r="AG80" s="2" t="s">
        <v>76</v>
      </c>
      <c r="AH80" s="2" t="s">
        <v>77</v>
      </c>
      <c r="AI80" s="2">
        <v>1</v>
      </c>
    </row>
    <row r="81" spans="1:36" ht="32" x14ac:dyDescent="0.2">
      <c r="A81" s="2">
        <v>22645794</v>
      </c>
      <c r="B81" s="2">
        <f>VLOOKUP(A81,[1]TRATAMIENTI!$A:$B,2,FALSE)</f>
        <v>80</v>
      </c>
      <c r="C81" t="s">
        <v>240</v>
      </c>
      <c r="D81" s="2">
        <v>0</v>
      </c>
      <c r="E81" s="2">
        <v>0</v>
      </c>
      <c r="F81" s="2" t="s">
        <v>68</v>
      </c>
      <c r="G81" s="2" t="str">
        <f t="shared" si="1"/>
        <v>ATLANTICO</v>
      </c>
      <c r="H81" s="2" t="s">
        <v>69</v>
      </c>
      <c r="I81" s="2" t="s">
        <v>70</v>
      </c>
      <c r="J81" s="2" t="s">
        <v>71</v>
      </c>
      <c r="L81" s="2" t="s">
        <v>72</v>
      </c>
      <c r="M81" s="2" t="s">
        <v>72</v>
      </c>
      <c r="N81" s="2" t="s">
        <v>72</v>
      </c>
      <c r="O81" s="2" t="s">
        <v>76</v>
      </c>
      <c r="P81" s="2" t="s">
        <v>76</v>
      </c>
      <c r="Q81" s="2" t="s">
        <v>76</v>
      </c>
      <c r="R81" s="2" t="s">
        <v>71</v>
      </c>
      <c r="S81" s="2" t="s">
        <v>71</v>
      </c>
      <c r="T81" s="2" t="s">
        <v>76</v>
      </c>
      <c r="U81" s="2" t="s">
        <v>76</v>
      </c>
      <c r="V81" s="2" t="s">
        <v>71</v>
      </c>
      <c r="W81" s="2" t="s">
        <v>71</v>
      </c>
      <c r="X81" s="2" t="s">
        <v>71</v>
      </c>
      <c r="Y81" s="2" t="s">
        <v>71</v>
      </c>
      <c r="Z81" s="2" t="s">
        <v>71</v>
      </c>
      <c r="AA81" s="2" t="s">
        <v>71</v>
      </c>
      <c r="AB81" s="2" t="s">
        <v>71</v>
      </c>
      <c r="AC81" s="2" t="s">
        <v>71</v>
      </c>
      <c r="AE81" s="2" t="s">
        <v>71</v>
      </c>
      <c r="AF81" s="2" t="s">
        <v>72</v>
      </c>
      <c r="AG81" s="2" t="s">
        <v>72</v>
      </c>
      <c r="AH81" s="2" t="s">
        <v>91</v>
      </c>
      <c r="AI81" s="2">
        <v>1</v>
      </c>
    </row>
    <row r="82" spans="1:36" ht="32" x14ac:dyDescent="0.2">
      <c r="A82" s="2">
        <v>22646716</v>
      </c>
      <c r="B82" s="2">
        <f>VLOOKUP(A82,[1]TRATAMIENTI!$A:$B,2,FALSE)</f>
        <v>81</v>
      </c>
      <c r="C82" t="s">
        <v>241</v>
      </c>
      <c r="D82" s="2">
        <v>0</v>
      </c>
      <c r="E82" t="s">
        <v>242</v>
      </c>
      <c r="F82" s="2" t="s">
        <v>68</v>
      </c>
      <c r="G82" s="2" t="str">
        <f t="shared" si="1"/>
        <v>ATLANTICO</v>
      </c>
      <c r="H82" s="2" t="s">
        <v>69</v>
      </c>
      <c r="I82" s="2" t="s">
        <v>70</v>
      </c>
      <c r="J82" s="2" t="s">
        <v>71</v>
      </c>
      <c r="K82" s="2" t="s">
        <v>71</v>
      </c>
      <c r="L82" s="2" t="s">
        <v>76</v>
      </c>
      <c r="M82" s="2" t="s">
        <v>76</v>
      </c>
      <c r="N82" s="2" t="s">
        <v>76</v>
      </c>
      <c r="O82" s="2" t="s">
        <v>76</v>
      </c>
      <c r="P82" s="2" t="s">
        <v>76</v>
      </c>
      <c r="Q82" s="2" t="s">
        <v>76</v>
      </c>
      <c r="R82" s="2" t="s">
        <v>71</v>
      </c>
      <c r="S82" s="2" t="s">
        <v>71</v>
      </c>
      <c r="T82" s="2" t="s">
        <v>72</v>
      </c>
      <c r="U82" s="2" t="s">
        <v>72</v>
      </c>
      <c r="V82" s="2" t="s">
        <v>71</v>
      </c>
      <c r="W82" s="2" t="s">
        <v>71</v>
      </c>
      <c r="X82" s="2" t="s">
        <v>71</v>
      </c>
      <c r="Y82" s="2" t="s">
        <v>71</v>
      </c>
      <c r="Z82" s="2" t="s">
        <v>71</v>
      </c>
      <c r="AA82" s="2" t="s">
        <v>71</v>
      </c>
      <c r="AB82" s="2" t="s">
        <v>71</v>
      </c>
      <c r="AC82" s="2" t="s">
        <v>71</v>
      </c>
      <c r="AD82" s="2" t="s">
        <v>71</v>
      </c>
      <c r="AE82" s="2" t="s">
        <v>71</v>
      </c>
      <c r="AF82" s="2" t="s">
        <v>72</v>
      </c>
      <c r="AG82" s="2" t="s">
        <v>72</v>
      </c>
      <c r="AH82" s="2" t="s">
        <v>80</v>
      </c>
      <c r="AI82" s="2">
        <v>2</v>
      </c>
    </row>
    <row r="83" spans="1:36" ht="32" x14ac:dyDescent="0.2">
      <c r="A83" s="2">
        <v>22648878</v>
      </c>
      <c r="B83" s="2">
        <f>VLOOKUP(A83,[1]TRATAMIENTI!$A:$B,2,FALSE)</f>
        <v>82</v>
      </c>
      <c r="C83" t="s">
        <v>243</v>
      </c>
      <c r="D83" s="2">
        <v>0</v>
      </c>
      <c r="E83" s="2" t="s">
        <v>244</v>
      </c>
      <c r="F83" s="2" t="s">
        <v>68</v>
      </c>
      <c r="G83" s="2" t="str">
        <f t="shared" si="1"/>
        <v>ATLANTICO</v>
      </c>
      <c r="H83" s="2" t="s">
        <v>69</v>
      </c>
      <c r="I83" s="2" t="s">
        <v>70</v>
      </c>
      <c r="J83" s="2" t="s">
        <v>71</v>
      </c>
      <c r="K83" s="2" t="s">
        <v>71</v>
      </c>
      <c r="L83" s="2" t="s">
        <v>76</v>
      </c>
      <c r="M83" s="2" t="s">
        <v>76</v>
      </c>
      <c r="N83" s="2" t="s">
        <v>72</v>
      </c>
      <c r="O83" s="2" t="s">
        <v>76</v>
      </c>
      <c r="P83" s="2" t="s">
        <v>76</v>
      </c>
      <c r="Q83" s="2" t="s">
        <v>76</v>
      </c>
      <c r="R83" s="2" t="s">
        <v>71</v>
      </c>
      <c r="S83" s="2" t="s">
        <v>71</v>
      </c>
      <c r="T83" s="2" t="s">
        <v>76</v>
      </c>
      <c r="U83" s="2" t="s">
        <v>76</v>
      </c>
      <c r="V83" s="2" t="s">
        <v>71</v>
      </c>
      <c r="W83" s="2" t="s">
        <v>71</v>
      </c>
      <c r="X83" s="2" t="s">
        <v>71</v>
      </c>
      <c r="Y83" s="2" t="s">
        <v>71</v>
      </c>
      <c r="Z83" s="2" t="s">
        <v>71</v>
      </c>
      <c r="AA83" s="2" t="s">
        <v>71</v>
      </c>
      <c r="AB83" s="2" t="s">
        <v>71</v>
      </c>
      <c r="AC83" s="2" t="s">
        <v>71</v>
      </c>
      <c r="AD83" s="2" t="s">
        <v>71</v>
      </c>
      <c r="AE83" s="2" t="s">
        <v>71</v>
      </c>
      <c r="AF83" s="2" t="s">
        <v>76</v>
      </c>
      <c r="AG83" s="2" t="s">
        <v>76</v>
      </c>
      <c r="AH83" s="2" t="s">
        <v>80</v>
      </c>
      <c r="AI83" s="2">
        <v>1</v>
      </c>
    </row>
    <row r="84" spans="1:36" ht="32" x14ac:dyDescent="0.2">
      <c r="A84" s="2">
        <v>22655403</v>
      </c>
      <c r="B84" s="2">
        <f>VLOOKUP(A84,[1]TRATAMIENTI!$A:$B,2,FALSE)</f>
        <v>83</v>
      </c>
      <c r="C84" t="s">
        <v>245</v>
      </c>
      <c r="D84" s="2">
        <v>0</v>
      </c>
      <c r="E84" t="s">
        <v>246</v>
      </c>
      <c r="F84" s="2" t="s">
        <v>68</v>
      </c>
      <c r="G84" s="2" t="str">
        <f t="shared" si="1"/>
        <v>ATLANTICO</v>
      </c>
      <c r="H84" s="2" t="s">
        <v>69</v>
      </c>
      <c r="I84" s="2" t="s">
        <v>70</v>
      </c>
      <c r="J84" s="2" t="s">
        <v>71</v>
      </c>
      <c r="K84" s="2" t="s">
        <v>71</v>
      </c>
      <c r="L84" s="2" t="s">
        <v>76</v>
      </c>
      <c r="M84" s="2" t="s">
        <v>76</v>
      </c>
      <c r="N84" s="2" t="s">
        <v>76</v>
      </c>
      <c r="O84" s="2" t="s">
        <v>76</v>
      </c>
      <c r="P84" s="2" t="s">
        <v>76</v>
      </c>
      <c r="Q84" s="2" t="s">
        <v>76</v>
      </c>
      <c r="R84" s="2" t="s">
        <v>71</v>
      </c>
      <c r="S84" s="2" t="s">
        <v>71</v>
      </c>
      <c r="T84" s="2" t="s">
        <v>76</v>
      </c>
      <c r="U84" s="2" t="s">
        <v>76</v>
      </c>
      <c r="V84" s="2" t="s">
        <v>71</v>
      </c>
      <c r="W84" s="2" t="s">
        <v>71</v>
      </c>
      <c r="X84" s="2" t="s">
        <v>71</v>
      </c>
      <c r="Y84" s="2" t="s">
        <v>71</v>
      </c>
      <c r="Z84" s="2" t="s">
        <v>71</v>
      </c>
      <c r="AA84" s="2" t="s">
        <v>71</v>
      </c>
      <c r="AB84" s="2" t="s">
        <v>71</v>
      </c>
      <c r="AC84" s="2" t="s">
        <v>71</v>
      </c>
      <c r="AD84" s="2" t="s">
        <v>71</v>
      </c>
      <c r="AE84" s="2" t="s">
        <v>71</v>
      </c>
      <c r="AF84" s="2" t="s">
        <v>72</v>
      </c>
      <c r="AG84" s="2" t="s">
        <v>72</v>
      </c>
      <c r="AH84" s="2" t="s">
        <v>80</v>
      </c>
      <c r="AI84" s="2">
        <v>1</v>
      </c>
    </row>
    <row r="85" spans="1:36" ht="32" x14ac:dyDescent="0.2">
      <c r="A85" s="2">
        <v>22703396</v>
      </c>
      <c r="B85" s="2">
        <f>VLOOKUP(A85,[1]TRATAMIENTI!$A:$B,2,FALSE)</f>
        <v>84</v>
      </c>
      <c r="C85" t="s">
        <v>247</v>
      </c>
      <c r="D85">
        <v>3003122816</v>
      </c>
      <c r="E85" t="s">
        <v>248</v>
      </c>
      <c r="F85" s="2" t="s">
        <v>68</v>
      </c>
      <c r="G85" s="2" t="str">
        <f t="shared" si="1"/>
        <v>ATLANTICO</v>
      </c>
      <c r="H85" s="2" t="s">
        <v>69</v>
      </c>
      <c r="I85" s="2" t="s">
        <v>70</v>
      </c>
      <c r="J85" s="2" t="s">
        <v>71</v>
      </c>
      <c r="K85" s="2" t="s">
        <v>71</v>
      </c>
      <c r="L85" s="2" t="s">
        <v>76</v>
      </c>
      <c r="M85" s="2" t="s">
        <v>76</v>
      </c>
      <c r="N85" s="2" t="s">
        <v>72</v>
      </c>
      <c r="O85" s="2" t="s">
        <v>76</v>
      </c>
      <c r="P85" s="2" t="s">
        <v>76</v>
      </c>
      <c r="Q85" s="2" t="s">
        <v>76</v>
      </c>
      <c r="R85" s="2" t="s">
        <v>71</v>
      </c>
      <c r="S85" s="2" t="s">
        <v>71</v>
      </c>
      <c r="T85" s="2" t="s">
        <v>76</v>
      </c>
      <c r="U85" s="2" t="s">
        <v>76</v>
      </c>
      <c r="V85" s="2" t="s">
        <v>71</v>
      </c>
      <c r="W85" s="2" t="s">
        <v>71</v>
      </c>
      <c r="X85" s="2" t="s">
        <v>71</v>
      </c>
      <c r="Y85" s="2" t="s">
        <v>71</v>
      </c>
      <c r="Z85" s="2" t="s">
        <v>71</v>
      </c>
      <c r="AA85" s="2" t="s">
        <v>71</v>
      </c>
      <c r="AB85" s="2" t="s">
        <v>71</v>
      </c>
      <c r="AC85" s="2" t="s">
        <v>71</v>
      </c>
      <c r="AD85" s="2" t="s">
        <v>71</v>
      </c>
      <c r="AE85" s="2" t="s">
        <v>71</v>
      </c>
      <c r="AF85" s="2" t="s">
        <v>71</v>
      </c>
      <c r="AG85" s="2" t="s">
        <v>71</v>
      </c>
      <c r="AH85" s="2" t="s">
        <v>80</v>
      </c>
      <c r="AI85" s="2">
        <v>1</v>
      </c>
    </row>
    <row r="86" spans="1:36" ht="32" x14ac:dyDescent="0.2">
      <c r="A86" s="2">
        <v>22732410</v>
      </c>
      <c r="B86" s="2">
        <f>VLOOKUP(A86,[1]TRATAMIENTI!$A:$B,2,FALSE)</f>
        <v>85</v>
      </c>
      <c r="C86" t="s">
        <v>249</v>
      </c>
      <c r="D86">
        <v>3215943553</v>
      </c>
      <c r="E86" s="2" t="s">
        <v>250</v>
      </c>
      <c r="F86" s="2" t="s">
        <v>68</v>
      </c>
      <c r="G86" s="2" t="str">
        <f t="shared" si="1"/>
        <v>ATLANTICO</v>
      </c>
      <c r="H86" s="2" t="s">
        <v>69</v>
      </c>
      <c r="I86" s="2" t="s">
        <v>70</v>
      </c>
      <c r="J86" s="2" t="s">
        <v>71</v>
      </c>
      <c r="K86" s="2" t="s">
        <v>76</v>
      </c>
      <c r="L86" s="2" t="s">
        <v>76</v>
      </c>
      <c r="M86" s="2" t="s">
        <v>76</v>
      </c>
      <c r="N86" s="2" t="s">
        <v>76</v>
      </c>
      <c r="O86" s="2" t="s">
        <v>71</v>
      </c>
      <c r="P86" s="2" t="s">
        <v>76</v>
      </c>
      <c r="Q86" s="2" t="s">
        <v>71</v>
      </c>
      <c r="R86" s="2" t="s">
        <v>71</v>
      </c>
      <c r="S86" s="2" t="s">
        <v>71</v>
      </c>
      <c r="T86" s="2" t="s">
        <v>76</v>
      </c>
      <c r="U86" s="2" t="s">
        <v>76</v>
      </c>
      <c r="V86" s="2" t="s">
        <v>71</v>
      </c>
      <c r="W86" s="2" t="s">
        <v>71</v>
      </c>
      <c r="X86" s="2" t="s">
        <v>71</v>
      </c>
      <c r="Y86" s="2" t="s">
        <v>71</v>
      </c>
      <c r="Z86" s="2" t="s">
        <v>71</v>
      </c>
      <c r="AA86" s="2" t="s">
        <v>71</v>
      </c>
      <c r="AB86" s="2" t="s">
        <v>71</v>
      </c>
      <c r="AC86" s="2" t="s">
        <v>71</v>
      </c>
      <c r="AD86" s="2" t="s">
        <v>71</v>
      </c>
      <c r="AE86" s="2" t="s">
        <v>71</v>
      </c>
      <c r="AF86" s="2" t="s">
        <v>76</v>
      </c>
      <c r="AG86" s="2" t="s">
        <v>76</v>
      </c>
      <c r="AH86" s="2" t="s">
        <v>91</v>
      </c>
      <c r="AI86" s="2">
        <v>2</v>
      </c>
    </row>
    <row r="87" spans="1:36" ht="32" x14ac:dyDescent="0.2">
      <c r="A87" s="2">
        <v>22736024</v>
      </c>
      <c r="B87" s="2">
        <f>VLOOKUP(A87,[1]TRATAMIENTI!$A:$B,2,FALSE)</f>
        <v>86</v>
      </c>
      <c r="C87" s="2" t="s">
        <v>251</v>
      </c>
      <c r="E87" s="2" t="s">
        <v>252</v>
      </c>
      <c r="F87" s="2" t="s">
        <v>68</v>
      </c>
      <c r="G87" s="2" t="str">
        <f t="shared" si="1"/>
        <v>ATLANTICO</v>
      </c>
      <c r="H87" s="2" t="s">
        <v>69</v>
      </c>
      <c r="I87" s="2" t="s">
        <v>70</v>
      </c>
      <c r="J87" s="2" t="s">
        <v>71</v>
      </c>
      <c r="K87" s="2" t="s">
        <v>76</v>
      </c>
      <c r="L87" s="2" t="s">
        <v>71</v>
      </c>
      <c r="M87" s="2" t="s">
        <v>71</v>
      </c>
      <c r="N87" s="2" t="s">
        <v>71</v>
      </c>
      <c r="O87" s="2" t="s">
        <v>76</v>
      </c>
      <c r="P87" s="2" t="s">
        <v>76</v>
      </c>
      <c r="Q87" s="2" t="s">
        <v>76</v>
      </c>
      <c r="R87" s="2" t="s">
        <v>71</v>
      </c>
      <c r="S87" s="2" t="s">
        <v>71</v>
      </c>
      <c r="T87" s="2" t="s">
        <v>76</v>
      </c>
      <c r="U87" s="2" t="s">
        <v>76</v>
      </c>
      <c r="V87" s="2" t="s">
        <v>71</v>
      </c>
      <c r="W87" s="2" t="s">
        <v>71</v>
      </c>
      <c r="X87" s="2" t="s">
        <v>71</v>
      </c>
      <c r="Y87" s="2" t="s">
        <v>71</v>
      </c>
      <c r="Z87" s="2" t="s">
        <v>71</v>
      </c>
      <c r="AA87" s="2" t="s">
        <v>71</v>
      </c>
      <c r="AB87" s="2" t="s">
        <v>71</v>
      </c>
      <c r="AC87" s="2" t="s">
        <v>71</v>
      </c>
      <c r="AD87" s="2" t="s">
        <v>71</v>
      </c>
      <c r="AE87" s="2" t="s">
        <v>71</v>
      </c>
      <c r="AF87" s="2" t="s">
        <v>76</v>
      </c>
      <c r="AG87" s="2" t="s">
        <v>76</v>
      </c>
      <c r="AH87" s="2" t="s">
        <v>77</v>
      </c>
      <c r="AI87" s="2">
        <v>2</v>
      </c>
      <c r="AJ87" s="2" t="s">
        <v>253</v>
      </c>
    </row>
    <row r="88" spans="1:36" ht="32" x14ac:dyDescent="0.2">
      <c r="A88" s="2">
        <v>22744721</v>
      </c>
      <c r="B88" s="2">
        <f>VLOOKUP(A88,[1]TRATAMIENTI!$A:$B,2,FALSE)</f>
        <v>87</v>
      </c>
      <c r="C88" t="s">
        <v>254</v>
      </c>
      <c r="D88">
        <v>3145728516</v>
      </c>
      <c r="E88" s="2" t="s">
        <v>255</v>
      </c>
      <c r="F88" s="2" t="s">
        <v>68</v>
      </c>
      <c r="G88" s="2" t="str">
        <f t="shared" si="1"/>
        <v>ATLANTICO</v>
      </c>
      <c r="H88" s="2" t="s">
        <v>69</v>
      </c>
      <c r="I88" s="2" t="s">
        <v>70</v>
      </c>
      <c r="J88" s="2" t="s">
        <v>71</v>
      </c>
      <c r="K88" s="2" t="s">
        <v>71</v>
      </c>
      <c r="L88" s="2" t="s">
        <v>76</v>
      </c>
      <c r="M88" s="2" t="s">
        <v>76</v>
      </c>
      <c r="N88" s="2" t="s">
        <v>72</v>
      </c>
      <c r="O88" s="2" t="s">
        <v>71</v>
      </c>
      <c r="P88" s="2" t="s">
        <v>71</v>
      </c>
      <c r="Q88" s="2" t="s">
        <v>71</v>
      </c>
      <c r="R88" s="2" t="s">
        <v>71</v>
      </c>
      <c r="S88" s="2" t="s">
        <v>71</v>
      </c>
      <c r="T88" s="2" t="s">
        <v>76</v>
      </c>
      <c r="U88" s="2" t="s">
        <v>76</v>
      </c>
      <c r="V88" s="2" t="s">
        <v>71</v>
      </c>
      <c r="W88" s="2" t="s">
        <v>71</v>
      </c>
      <c r="X88" s="2" t="s">
        <v>71</v>
      </c>
      <c r="Y88" s="2" t="s">
        <v>71</v>
      </c>
      <c r="Z88" s="2" t="s">
        <v>71</v>
      </c>
      <c r="AA88" s="2" t="s">
        <v>71</v>
      </c>
      <c r="AB88" s="2" t="s">
        <v>71</v>
      </c>
      <c r="AC88" s="2" t="s">
        <v>71</v>
      </c>
      <c r="AD88" s="2" t="s">
        <v>71</v>
      </c>
      <c r="AE88" s="2" t="s">
        <v>71</v>
      </c>
      <c r="AF88" s="2" t="s">
        <v>76</v>
      </c>
      <c r="AG88" s="2" t="s">
        <v>76</v>
      </c>
      <c r="AH88" s="2" t="s">
        <v>256</v>
      </c>
      <c r="AI88" s="2">
        <v>2</v>
      </c>
    </row>
    <row r="89" spans="1:36" ht="32" x14ac:dyDescent="0.2">
      <c r="A89" s="2">
        <v>22845935</v>
      </c>
      <c r="B89" s="2">
        <f>VLOOKUP(A89,[1]TRATAMIENTI!$A:$B,2,FALSE)</f>
        <v>88</v>
      </c>
      <c r="C89" t="s">
        <v>257</v>
      </c>
      <c r="D89" s="2">
        <v>0</v>
      </c>
      <c r="E89" s="2" t="s">
        <v>258</v>
      </c>
      <c r="F89" s="2" t="s">
        <v>68</v>
      </c>
      <c r="G89" s="2" t="str">
        <f t="shared" si="1"/>
        <v>ATLANTICO</v>
      </c>
      <c r="H89" s="2" t="s">
        <v>69</v>
      </c>
      <c r="I89" s="2" t="s">
        <v>70</v>
      </c>
      <c r="J89" s="2" t="s">
        <v>71</v>
      </c>
      <c r="K89" s="2" t="s">
        <v>71</v>
      </c>
      <c r="L89" s="2" t="s">
        <v>76</v>
      </c>
      <c r="M89" s="2" t="s">
        <v>76</v>
      </c>
      <c r="N89" s="2" t="s">
        <v>72</v>
      </c>
      <c r="O89" s="2" t="s">
        <v>76</v>
      </c>
      <c r="P89" s="2" t="s">
        <v>76</v>
      </c>
      <c r="Q89" s="2" t="s">
        <v>76</v>
      </c>
      <c r="R89" s="2" t="s">
        <v>71</v>
      </c>
      <c r="S89" s="2" t="s">
        <v>71</v>
      </c>
      <c r="T89" s="2" t="s">
        <v>76</v>
      </c>
      <c r="U89" s="2" t="s">
        <v>76</v>
      </c>
      <c r="V89" s="2" t="s">
        <v>71</v>
      </c>
      <c r="W89" s="2" t="s">
        <v>71</v>
      </c>
      <c r="X89" s="2" t="s">
        <v>71</v>
      </c>
      <c r="Y89" s="2" t="s">
        <v>71</v>
      </c>
      <c r="Z89" s="2" t="s">
        <v>71</v>
      </c>
      <c r="AA89" s="2" t="s">
        <v>71</v>
      </c>
      <c r="AB89" s="2" t="s">
        <v>71</v>
      </c>
      <c r="AC89" s="2" t="s">
        <v>71</v>
      </c>
      <c r="AD89" s="2" t="s">
        <v>71</v>
      </c>
      <c r="AE89" s="2" t="s">
        <v>71</v>
      </c>
      <c r="AF89" s="2" t="s">
        <v>76</v>
      </c>
      <c r="AG89" s="2" t="s">
        <v>76</v>
      </c>
      <c r="AH89" s="2" t="s">
        <v>80</v>
      </c>
      <c r="AI89" s="2">
        <v>1</v>
      </c>
    </row>
    <row r="90" spans="1:36" ht="32" x14ac:dyDescent="0.2">
      <c r="A90" s="2">
        <v>22954309</v>
      </c>
      <c r="B90" s="2">
        <f>VLOOKUP(A90,[1]TRATAMIENTI!$A:$B,2,FALSE)</f>
        <v>89</v>
      </c>
      <c r="C90" t="s">
        <v>259</v>
      </c>
      <c r="D90" s="2">
        <v>0</v>
      </c>
      <c r="E90" s="2" t="s">
        <v>260</v>
      </c>
      <c r="F90" s="2" t="s">
        <v>68</v>
      </c>
      <c r="G90" s="2" t="str">
        <f t="shared" si="1"/>
        <v>ATLANTICO</v>
      </c>
      <c r="H90" s="2" t="s">
        <v>69</v>
      </c>
      <c r="I90" s="2" t="s">
        <v>70</v>
      </c>
      <c r="J90" s="2" t="s">
        <v>71</v>
      </c>
      <c r="K90" s="2" t="s">
        <v>71</v>
      </c>
      <c r="L90" s="2" t="s">
        <v>71</v>
      </c>
      <c r="M90" s="2" t="s">
        <v>76</v>
      </c>
      <c r="N90" s="2" t="s">
        <v>76</v>
      </c>
      <c r="O90" s="2" t="s">
        <v>76</v>
      </c>
      <c r="P90" s="2" t="s">
        <v>76</v>
      </c>
      <c r="Q90" s="2" t="s">
        <v>71</v>
      </c>
      <c r="R90" s="2" t="s">
        <v>71</v>
      </c>
      <c r="S90" s="2" t="s">
        <v>76</v>
      </c>
      <c r="T90" s="2" t="s">
        <v>76</v>
      </c>
      <c r="U90" s="2" t="s">
        <v>71</v>
      </c>
      <c r="V90" s="2" t="s">
        <v>71</v>
      </c>
      <c r="W90" s="2" t="s">
        <v>71</v>
      </c>
      <c r="X90" s="2" t="s">
        <v>71</v>
      </c>
      <c r="Y90" s="2" t="s">
        <v>71</v>
      </c>
      <c r="Z90" s="2" t="s">
        <v>71</v>
      </c>
      <c r="AA90" s="2" t="s">
        <v>71</v>
      </c>
      <c r="AB90" s="2" t="s">
        <v>71</v>
      </c>
      <c r="AC90" s="2" t="s">
        <v>71</v>
      </c>
      <c r="AD90" s="2" t="s">
        <v>71</v>
      </c>
      <c r="AE90" s="2" t="s">
        <v>71</v>
      </c>
      <c r="AF90" s="2" t="s">
        <v>76</v>
      </c>
      <c r="AG90" s="2" t="s">
        <v>76</v>
      </c>
      <c r="AH90" s="2" t="s">
        <v>80</v>
      </c>
      <c r="AI90" s="2">
        <v>2</v>
      </c>
    </row>
    <row r="91" spans="1:36" ht="32" x14ac:dyDescent="0.2">
      <c r="A91" s="2">
        <v>23070779</v>
      </c>
      <c r="B91" s="2">
        <f>VLOOKUP(A91,[1]TRATAMIENTI!$A:$B,2,FALSE)</f>
        <v>90</v>
      </c>
      <c r="C91" t="s">
        <v>261</v>
      </c>
      <c r="D91" s="2">
        <v>0</v>
      </c>
      <c r="E91" s="2" t="s">
        <v>262</v>
      </c>
      <c r="F91" s="2" t="s">
        <v>68</v>
      </c>
      <c r="G91" s="2" t="str">
        <f t="shared" si="1"/>
        <v>ATLANTICO</v>
      </c>
      <c r="H91" s="2" t="s">
        <v>69</v>
      </c>
      <c r="I91" s="2" t="s">
        <v>70</v>
      </c>
      <c r="J91" s="2" t="s">
        <v>71</v>
      </c>
      <c r="K91" s="2" t="s">
        <v>72</v>
      </c>
      <c r="L91" s="2" t="s">
        <v>71</v>
      </c>
      <c r="M91" s="2" t="s">
        <v>71</v>
      </c>
      <c r="N91" s="2" t="s">
        <v>71</v>
      </c>
      <c r="O91" s="2" t="s">
        <v>76</v>
      </c>
      <c r="P91" s="2" t="s">
        <v>76</v>
      </c>
      <c r="Q91" s="2" t="s">
        <v>71</v>
      </c>
      <c r="R91" s="2" t="s">
        <v>71</v>
      </c>
      <c r="S91" s="2" t="s">
        <v>71</v>
      </c>
      <c r="T91" s="2" t="s">
        <v>76</v>
      </c>
      <c r="U91" s="2" t="s">
        <v>76</v>
      </c>
      <c r="V91" s="2" t="s">
        <v>71</v>
      </c>
      <c r="W91" s="2" t="s">
        <v>71</v>
      </c>
      <c r="X91" s="2" t="s">
        <v>71</v>
      </c>
      <c r="Y91" s="2" t="s">
        <v>71</v>
      </c>
      <c r="Z91" s="2" t="s">
        <v>71</v>
      </c>
      <c r="AA91" s="2" t="s">
        <v>71</v>
      </c>
      <c r="AB91" s="2" t="s">
        <v>71</v>
      </c>
      <c r="AC91" s="2" t="s">
        <v>71</v>
      </c>
      <c r="AD91" s="2" t="s">
        <v>71</v>
      </c>
      <c r="AE91" s="2" t="s">
        <v>71</v>
      </c>
      <c r="AF91" s="2" t="s">
        <v>72</v>
      </c>
      <c r="AG91" s="2" t="s">
        <v>72</v>
      </c>
      <c r="AH91" s="2" t="s">
        <v>77</v>
      </c>
      <c r="AI91" s="2">
        <v>1</v>
      </c>
    </row>
    <row r="92" spans="1:36" ht="32" x14ac:dyDescent="0.2">
      <c r="A92" s="2">
        <v>23242735</v>
      </c>
      <c r="B92" s="2">
        <f>VLOOKUP(A92,[1]TRATAMIENTI!$A:$B,2,FALSE)</f>
        <v>91</v>
      </c>
      <c r="C92" t="s">
        <v>263</v>
      </c>
      <c r="D92" s="2">
        <v>3017936115</v>
      </c>
      <c r="E92" s="2" t="s">
        <v>264</v>
      </c>
      <c r="F92" s="2" t="s">
        <v>68</v>
      </c>
      <c r="G92" s="2" t="str">
        <f t="shared" si="1"/>
        <v>ATLANTICO</v>
      </c>
      <c r="H92" s="2" t="s">
        <v>69</v>
      </c>
      <c r="I92" s="2" t="s">
        <v>70</v>
      </c>
      <c r="J92" s="2" t="s">
        <v>71</v>
      </c>
      <c r="K92" s="2" t="s">
        <v>76</v>
      </c>
      <c r="L92" s="2" t="s">
        <v>71</v>
      </c>
      <c r="M92" s="2" t="s">
        <v>76</v>
      </c>
      <c r="N92" s="2" t="s">
        <v>76</v>
      </c>
      <c r="O92" s="2" t="s">
        <v>71</v>
      </c>
      <c r="P92" s="2" t="s">
        <v>71</v>
      </c>
      <c r="Q92" s="2" t="s">
        <v>71</v>
      </c>
      <c r="R92" s="2" t="s">
        <v>71</v>
      </c>
      <c r="S92" s="2" t="s">
        <v>71</v>
      </c>
      <c r="T92" s="2" t="s">
        <v>71</v>
      </c>
      <c r="U92" s="2" t="s">
        <v>76</v>
      </c>
      <c r="V92" s="2" t="s">
        <v>71</v>
      </c>
      <c r="W92" s="2" t="s">
        <v>71</v>
      </c>
      <c r="X92" s="2" t="s">
        <v>71</v>
      </c>
      <c r="Y92" s="2" t="s">
        <v>71</v>
      </c>
      <c r="Z92" s="2" t="s">
        <v>71</v>
      </c>
      <c r="AA92" s="2" t="s">
        <v>71</v>
      </c>
      <c r="AB92" s="2" t="s">
        <v>71</v>
      </c>
      <c r="AC92" s="2" t="s">
        <v>71</v>
      </c>
      <c r="AD92" s="2" t="s">
        <v>71</v>
      </c>
      <c r="AE92" s="2" t="s">
        <v>71</v>
      </c>
      <c r="AF92" s="2" t="s">
        <v>76</v>
      </c>
      <c r="AG92" s="2" t="s">
        <v>76</v>
      </c>
      <c r="AH92" s="2" t="s">
        <v>85</v>
      </c>
      <c r="AI92" s="2">
        <v>1</v>
      </c>
    </row>
    <row r="93" spans="1:36" ht="32" x14ac:dyDescent="0.2">
      <c r="A93" s="2">
        <v>25954420</v>
      </c>
      <c r="B93" s="2">
        <f>VLOOKUP(A93,[1]TRATAMIENTI!$A:$B,2,FALSE)</f>
        <v>92</v>
      </c>
      <c r="C93" t="s">
        <v>265</v>
      </c>
      <c r="D93">
        <v>3005942812</v>
      </c>
      <c r="E93" s="2" t="s">
        <v>266</v>
      </c>
      <c r="F93" s="2" t="s">
        <v>68</v>
      </c>
      <c r="G93" s="2" t="str">
        <f t="shared" si="1"/>
        <v>ATLANTICO</v>
      </c>
      <c r="H93" s="2" t="s">
        <v>69</v>
      </c>
      <c r="I93" s="2" t="s">
        <v>70</v>
      </c>
      <c r="J93" s="2" t="s">
        <v>71</v>
      </c>
      <c r="K93" s="2" t="s">
        <v>76</v>
      </c>
      <c r="L93" s="2" t="s">
        <v>76</v>
      </c>
      <c r="M93" s="2" t="s">
        <v>76</v>
      </c>
      <c r="N93" s="2" t="s">
        <v>76</v>
      </c>
      <c r="O93" s="2" t="s">
        <v>76</v>
      </c>
      <c r="P93" s="2" t="s">
        <v>76</v>
      </c>
      <c r="Q93" s="2" t="s">
        <v>76</v>
      </c>
      <c r="R93" s="2" t="s">
        <v>71</v>
      </c>
      <c r="S93" s="2" t="s">
        <v>71</v>
      </c>
      <c r="T93" s="2" t="s">
        <v>76</v>
      </c>
      <c r="U93" s="2" t="s">
        <v>76</v>
      </c>
      <c r="V93" s="2" t="s">
        <v>71</v>
      </c>
      <c r="W93" s="2" t="s">
        <v>71</v>
      </c>
      <c r="X93" s="2" t="s">
        <v>71</v>
      </c>
      <c r="Y93" s="2" t="s">
        <v>71</v>
      </c>
      <c r="Z93" s="2" t="s">
        <v>71</v>
      </c>
      <c r="AA93" s="2" t="s">
        <v>71</v>
      </c>
      <c r="AB93" s="2" t="s">
        <v>71</v>
      </c>
      <c r="AC93" s="2" t="s">
        <v>71</v>
      </c>
      <c r="AD93" s="2" t="s">
        <v>71</v>
      </c>
      <c r="AE93" s="2" t="s">
        <v>71</v>
      </c>
      <c r="AF93" s="2" t="s">
        <v>76</v>
      </c>
      <c r="AG93" s="2" t="s">
        <v>76</v>
      </c>
      <c r="AH93" s="2" t="s">
        <v>91</v>
      </c>
      <c r="AI93" s="2">
        <v>1</v>
      </c>
    </row>
    <row r="94" spans="1:36" ht="32" x14ac:dyDescent="0.2">
      <c r="A94" s="2">
        <v>26718435</v>
      </c>
      <c r="B94" s="2">
        <f>VLOOKUP(A94,[1]TRATAMIENTI!$A:$B,2,FALSE)</f>
        <v>93</v>
      </c>
      <c r="C94" t="s">
        <v>267</v>
      </c>
      <c r="D94" t="s">
        <v>268</v>
      </c>
      <c r="E94" t="s">
        <v>269</v>
      </c>
      <c r="F94" s="2" t="s">
        <v>68</v>
      </c>
      <c r="G94" s="2" t="str">
        <f t="shared" si="1"/>
        <v>ATLANTICO</v>
      </c>
      <c r="H94" s="2" t="s">
        <v>69</v>
      </c>
      <c r="I94" s="2" t="s">
        <v>70</v>
      </c>
      <c r="J94" s="2" t="s">
        <v>71</v>
      </c>
      <c r="K94" s="2" t="s">
        <v>76</v>
      </c>
      <c r="L94" s="2" t="s">
        <v>71</v>
      </c>
      <c r="M94" s="2" t="s">
        <v>76</v>
      </c>
      <c r="N94" s="2" t="s">
        <v>76</v>
      </c>
      <c r="O94" s="2" t="s">
        <v>76</v>
      </c>
      <c r="P94" s="2" t="s">
        <v>76</v>
      </c>
      <c r="Q94" s="2" t="s">
        <v>76</v>
      </c>
      <c r="R94" s="2" t="s">
        <v>71</v>
      </c>
      <c r="S94" s="2" t="s">
        <v>71</v>
      </c>
      <c r="T94" s="2" t="s">
        <v>76</v>
      </c>
      <c r="U94" s="2" t="s">
        <v>76</v>
      </c>
      <c r="V94" s="2" t="s">
        <v>71</v>
      </c>
      <c r="W94" s="2" t="s">
        <v>71</v>
      </c>
      <c r="X94" s="2" t="s">
        <v>71</v>
      </c>
      <c r="Y94" s="2" t="s">
        <v>71</v>
      </c>
      <c r="Z94" s="2" t="s">
        <v>71</v>
      </c>
      <c r="AA94" s="2" t="s">
        <v>71</v>
      </c>
      <c r="AB94" s="2" t="s">
        <v>71</v>
      </c>
      <c r="AC94" s="2" t="s">
        <v>71</v>
      </c>
      <c r="AD94" s="2" t="s">
        <v>71</v>
      </c>
      <c r="AE94" s="2" t="s">
        <v>71</v>
      </c>
      <c r="AF94" s="2" t="s">
        <v>76</v>
      </c>
      <c r="AG94" s="2" t="s">
        <v>76</v>
      </c>
      <c r="AH94" s="2" t="s">
        <v>91</v>
      </c>
      <c r="AI94" s="2">
        <v>2</v>
      </c>
    </row>
    <row r="95" spans="1:36" ht="32" x14ac:dyDescent="0.2">
      <c r="A95" s="2">
        <v>32580754</v>
      </c>
      <c r="B95" s="2">
        <f>VLOOKUP(A95,[1]TRATAMIENTI!$A:$B,2,FALSE)</f>
        <v>94</v>
      </c>
      <c r="C95" t="s">
        <v>270</v>
      </c>
      <c r="D95" s="2">
        <v>0</v>
      </c>
      <c r="E95" t="s">
        <v>271</v>
      </c>
      <c r="F95" s="2" t="s">
        <v>68</v>
      </c>
      <c r="G95" s="2" t="str">
        <f t="shared" si="1"/>
        <v>ATLANTICO</v>
      </c>
      <c r="H95" s="2" t="s">
        <v>69</v>
      </c>
      <c r="I95" s="2" t="s">
        <v>70</v>
      </c>
      <c r="J95" s="2" t="s">
        <v>71</v>
      </c>
      <c r="K95" s="2" t="s">
        <v>76</v>
      </c>
      <c r="L95" s="2" t="s">
        <v>76</v>
      </c>
      <c r="M95" s="2" t="s">
        <v>76</v>
      </c>
      <c r="N95" s="2" t="s">
        <v>76</v>
      </c>
      <c r="O95" s="2" t="s">
        <v>71</v>
      </c>
      <c r="P95" s="2" t="s">
        <v>71</v>
      </c>
      <c r="Q95" s="2" t="s">
        <v>71</v>
      </c>
      <c r="R95" s="2" t="s">
        <v>71</v>
      </c>
      <c r="S95" s="2" t="s">
        <v>71</v>
      </c>
      <c r="T95" s="2" t="s">
        <v>76</v>
      </c>
      <c r="U95" s="2" t="s">
        <v>76</v>
      </c>
      <c r="V95" s="2" t="s">
        <v>71</v>
      </c>
      <c r="W95" s="2" t="s">
        <v>71</v>
      </c>
      <c r="X95" s="2" t="s">
        <v>71</v>
      </c>
      <c r="Y95" s="2" t="s">
        <v>71</v>
      </c>
      <c r="Z95" s="2" t="s">
        <v>71</v>
      </c>
      <c r="AA95" s="2" t="s">
        <v>71</v>
      </c>
      <c r="AB95" s="2" t="s">
        <v>71</v>
      </c>
      <c r="AC95" s="2" t="s">
        <v>71</v>
      </c>
      <c r="AD95" s="2" t="s">
        <v>71</v>
      </c>
      <c r="AE95" s="2" t="s">
        <v>71</v>
      </c>
      <c r="AF95" s="2" t="s">
        <v>76</v>
      </c>
      <c r="AG95" s="2" t="s">
        <v>76</v>
      </c>
      <c r="AH95" s="2" t="s">
        <v>85</v>
      </c>
      <c r="AI95" s="2">
        <v>1</v>
      </c>
    </row>
    <row r="96" spans="1:36" ht="32" x14ac:dyDescent="0.2">
      <c r="A96" s="2">
        <v>32612783</v>
      </c>
      <c r="B96" s="2">
        <f>VLOOKUP(A96,[1]TRATAMIENTI!$A:$B,2,FALSE)</f>
        <v>95</v>
      </c>
      <c r="C96" t="s">
        <v>272</v>
      </c>
      <c r="D96" s="2">
        <v>0</v>
      </c>
      <c r="E96" t="s">
        <v>273</v>
      </c>
      <c r="F96" s="2" t="s">
        <v>68</v>
      </c>
      <c r="G96" s="2" t="str">
        <f t="shared" si="1"/>
        <v>ATLANTICO</v>
      </c>
      <c r="H96" s="2" t="s">
        <v>69</v>
      </c>
      <c r="I96" s="2" t="s">
        <v>70</v>
      </c>
      <c r="J96" s="2" t="s">
        <v>71</v>
      </c>
      <c r="K96" s="2" t="s">
        <v>72</v>
      </c>
      <c r="L96" s="2" t="s">
        <v>71</v>
      </c>
      <c r="M96" s="2" t="s">
        <v>71</v>
      </c>
      <c r="N96" s="2" t="s">
        <v>71</v>
      </c>
      <c r="O96" s="2" t="s">
        <v>71</v>
      </c>
      <c r="P96" s="2" t="s">
        <v>76</v>
      </c>
      <c r="Q96" s="2" t="s">
        <v>76</v>
      </c>
      <c r="R96" s="2" t="s">
        <v>71</v>
      </c>
      <c r="S96" s="2" t="s">
        <v>71</v>
      </c>
      <c r="T96" s="2" t="s">
        <v>76</v>
      </c>
      <c r="U96" s="2" t="s">
        <v>76</v>
      </c>
      <c r="V96" s="2" t="s">
        <v>71</v>
      </c>
      <c r="W96" s="2" t="s">
        <v>71</v>
      </c>
      <c r="X96" s="2" t="s">
        <v>71</v>
      </c>
      <c r="Y96" s="2" t="s">
        <v>71</v>
      </c>
      <c r="Z96" s="2" t="s">
        <v>71</v>
      </c>
      <c r="AA96" s="2" t="s">
        <v>71</v>
      </c>
      <c r="AB96" s="2" t="s">
        <v>71</v>
      </c>
      <c r="AC96" s="2" t="s">
        <v>71</v>
      </c>
      <c r="AD96" s="2" t="s">
        <v>71</v>
      </c>
      <c r="AE96" s="2" t="s">
        <v>71</v>
      </c>
      <c r="AF96" s="2" t="s">
        <v>71</v>
      </c>
      <c r="AG96" s="2" t="s">
        <v>76</v>
      </c>
      <c r="AH96" s="2" t="s">
        <v>77</v>
      </c>
      <c r="AI96" s="2">
        <v>2</v>
      </c>
    </row>
    <row r="97" spans="1:35" ht="32" x14ac:dyDescent="0.2">
      <c r="A97" s="2">
        <v>32613935</v>
      </c>
      <c r="B97" s="2">
        <f>VLOOKUP(A97,[1]TRATAMIENTI!$A:$B,2,FALSE)</f>
        <v>96</v>
      </c>
      <c r="C97" t="s">
        <v>274</v>
      </c>
      <c r="D97" s="2">
        <v>0</v>
      </c>
      <c r="E97" t="s">
        <v>275</v>
      </c>
      <c r="F97" s="2" t="s">
        <v>68</v>
      </c>
      <c r="G97" s="2" t="str">
        <f t="shared" si="1"/>
        <v>ATLANTICO</v>
      </c>
      <c r="H97" s="2" t="s">
        <v>69</v>
      </c>
      <c r="I97" s="2" t="s">
        <v>70</v>
      </c>
      <c r="J97" s="2" t="s">
        <v>71</v>
      </c>
      <c r="K97" s="2" t="s">
        <v>72</v>
      </c>
      <c r="L97" s="2" t="s">
        <v>76</v>
      </c>
      <c r="M97" s="2" t="s">
        <v>76</v>
      </c>
      <c r="N97" s="2" t="s">
        <v>72</v>
      </c>
      <c r="O97" s="2" t="s">
        <v>76</v>
      </c>
      <c r="P97" s="2" t="s">
        <v>76</v>
      </c>
      <c r="Q97" s="2" t="s">
        <v>76</v>
      </c>
      <c r="R97" s="2" t="s">
        <v>71</v>
      </c>
      <c r="S97" s="2" t="s">
        <v>71</v>
      </c>
      <c r="T97" s="2" t="s">
        <v>76</v>
      </c>
      <c r="U97" s="2" t="s">
        <v>76</v>
      </c>
      <c r="V97" s="2" t="s">
        <v>71</v>
      </c>
      <c r="W97" s="2" t="s">
        <v>71</v>
      </c>
      <c r="X97" s="2" t="s">
        <v>71</v>
      </c>
      <c r="Y97" s="2" t="s">
        <v>71</v>
      </c>
      <c r="Z97" s="2" t="s">
        <v>71</v>
      </c>
      <c r="AA97" s="2" t="s">
        <v>71</v>
      </c>
      <c r="AB97" s="2" t="s">
        <v>71</v>
      </c>
      <c r="AC97" s="2" t="s">
        <v>71</v>
      </c>
      <c r="AD97" s="2" t="s">
        <v>71</v>
      </c>
      <c r="AE97" s="2" t="s">
        <v>71</v>
      </c>
      <c r="AF97" s="2" t="s">
        <v>76</v>
      </c>
      <c r="AG97" s="2" t="s">
        <v>76</v>
      </c>
      <c r="AH97" s="2" t="s">
        <v>77</v>
      </c>
      <c r="AI97" s="2">
        <v>1</v>
      </c>
    </row>
    <row r="98" spans="1:35" ht="32" x14ac:dyDescent="0.2">
      <c r="A98" s="2">
        <v>32623209</v>
      </c>
      <c r="B98" s="2">
        <f>VLOOKUP(A98,[1]TRATAMIENTI!$A:$B,2,FALSE)</f>
        <v>97</v>
      </c>
      <c r="C98" t="s">
        <v>276</v>
      </c>
      <c r="D98">
        <v>3009413038</v>
      </c>
      <c r="E98" s="2" t="s">
        <v>277</v>
      </c>
      <c r="F98" s="2" t="s">
        <v>68</v>
      </c>
      <c r="G98" s="2" t="str">
        <f t="shared" si="1"/>
        <v>ATLANTICO</v>
      </c>
      <c r="H98" s="2" t="s">
        <v>69</v>
      </c>
      <c r="I98" s="2" t="s">
        <v>70</v>
      </c>
      <c r="J98" s="2" t="s">
        <v>71</v>
      </c>
      <c r="K98" s="2" t="s">
        <v>71</v>
      </c>
      <c r="L98" s="2" t="s">
        <v>76</v>
      </c>
      <c r="M98" s="2" t="s">
        <v>76</v>
      </c>
      <c r="N98" s="2" t="s">
        <v>72</v>
      </c>
      <c r="O98" s="2" t="s">
        <v>76</v>
      </c>
      <c r="P98" s="2" t="s">
        <v>76</v>
      </c>
      <c r="Q98" s="2" t="s">
        <v>76</v>
      </c>
      <c r="R98" s="2" t="s">
        <v>71</v>
      </c>
      <c r="S98" s="2" t="s">
        <v>71</v>
      </c>
      <c r="T98" s="2" t="s">
        <v>76</v>
      </c>
      <c r="U98" s="2" t="s">
        <v>76</v>
      </c>
      <c r="V98" s="2" t="s">
        <v>76</v>
      </c>
      <c r="W98" s="2" t="s">
        <v>71</v>
      </c>
      <c r="X98" s="2" t="s">
        <v>71</v>
      </c>
      <c r="Y98" s="2" t="s">
        <v>71</v>
      </c>
      <c r="Z98" s="2" t="s">
        <v>71</v>
      </c>
      <c r="AA98" s="2" t="s">
        <v>71</v>
      </c>
      <c r="AB98" s="2" t="s">
        <v>71</v>
      </c>
      <c r="AC98" s="2" t="s">
        <v>71</v>
      </c>
      <c r="AD98" s="2" t="s">
        <v>71</v>
      </c>
      <c r="AE98" s="2" t="s">
        <v>71</v>
      </c>
      <c r="AF98" s="2" t="s">
        <v>76</v>
      </c>
      <c r="AG98" s="2" t="s">
        <v>76</v>
      </c>
      <c r="AH98" s="2" t="s">
        <v>80</v>
      </c>
      <c r="AI98" s="2">
        <v>1</v>
      </c>
    </row>
    <row r="99" spans="1:35" ht="32" x14ac:dyDescent="0.2">
      <c r="A99" s="2">
        <v>32629512</v>
      </c>
      <c r="B99" s="2">
        <f>VLOOKUP(A99,[1]TRATAMIENTI!$A:$B,2,FALSE)</f>
        <v>98</v>
      </c>
      <c r="C99" t="s">
        <v>278</v>
      </c>
      <c r="D99" s="2">
        <v>0</v>
      </c>
      <c r="E99" t="s">
        <v>279</v>
      </c>
      <c r="F99" s="2" t="s">
        <v>68</v>
      </c>
      <c r="G99" s="2" t="str">
        <f t="shared" si="1"/>
        <v>ATLANTICO</v>
      </c>
      <c r="H99" s="2" t="s">
        <v>69</v>
      </c>
      <c r="I99" s="2" t="s">
        <v>70</v>
      </c>
      <c r="J99" s="2" t="s">
        <v>71</v>
      </c>
      <c r="K99" s="2" t="s">
        <v>72</v>
      </c>
      <c r="L99" s="2" t="s">
        <v>71</v>
      </c>
      <c r="M99" s="2" t="s">
        <v>71</v>
      </c>
      <c r="N99" s="2" t="s">
        <v>71</v>
      </c>
      <c r="O99" s="2" t="s">
        <v>71</v>
      </c>
      <c r="P99" s="2" t="s">
        <v>71</v>
      </c>
      <c r="Q99" s="2" t="s">
        <v>71</v>
      </c>
      <c r="R99" s="2" t="s">
        <v>71</v>
      </c>
      <c r="S99" s="2" t="s">
        <v>71</v>
      </c>
      <c r="T99" s="2" t="s">
        <v>71</v>
      </c>
      <c r="U99" s="2" t="s">
        <v>71</v>
      </c>
      <c r="V99" s="2" t="s">
        <v>71</v>
      </c>
      <c r="W99" s="2" t="s">
        <v>71</v>
      </c>
      <c r="X99" s="2" t="s">
        <v>71</v>
      </c>
      <c r="Y99" s="2" t="s">
        <v>71</v>
      </c>
      <c r="Z99" s="2" t="s">
        <v>71</v>
      </c>
      <c r="AA99" s="2" t="s">
        <v>71</v>
      </c>
      <c r="AB99" s="2" t="s">
        <v>71</v>
      </c>
      <c r="AC99" s="2" t="s">
        <v>71</v>
      </c>
      <c r="AD99" s="2" t="s">
        <v>71</v>
      </c>
      <c r="AE99" s="2" t="s">
        <v>71</v>
      </c>
      <c r="AF99" s="2" t="s">
        <v>71</v>
      </c>
      <c r="AG99" s="2" t="s">
        <v>71</v>
      </c>
      <c r="AH99" s="2" t="s">
        <v>73</v>
      </c>
      <c r="AI99" s="2">
        <v>1</v>
      </c>
    </row>
    <row r="100" spans="1:35" ht="32" x14ac:dyDescent="0.2">
      <c r="A100" s="2">
        <v>32634688</v>
      </c>
      <c r="B100" s="2">
        <f>VLOOKUP(A100,[1]TRATAMIENTI!$A:$B,2,FALSE)</f>
        <v>99</v>
      </c>
      <c r="C100" s="2" t="s">
        <v>280</v>
      </c>
      <c r="D100" s="2">
        <v>0</v>
      </c>
      <c r="E100" s="2">
        <v>0</v>
      </c>
      <c r="F100" s="2" t="s">
        <v>68</v>
      </c>
      <c r="G100" s="2" t="str">
        <f t="shared" si="1"/>
        <v>ATLANTICO</v>
      </c>
      <c r="H100" s="2" t="s">
        <v>69</v>
      </c>
      <c r="I100" s="2" t="s">
        <v>70</v>
      </c>
      <c r="J100" s="2" t="s">
        <v>71</v>
      </c>
      <c r="K100" s="2" t="s">
        <v>71</v>
      </c>
      <c r="L100" s="2" t="s">
        <v>71</v>
      </c>
      <c r="M100" s="2" t="s">
        <v>71</v>
      </c>
      <c r="N100" s="2" t="s">
        <v>71</v>
      </c>
      <c r="O100" s="2" t="s">
        <v>76</v>
      </c>
      <c r="P100" s="2" t="s">
        <v>76</v>
      </c>
      <c r="Q100" s="2" t="s">
        <v>76</v>
      </c>
      <c r="R100" s="2" t="s">
        <v>71</v>
      </c>
      <c r="S100" s="2" t="s">
        <v>71</v>
      </c>
      <c r="T100" s="2" t="s">
        <v>76</v>
      </c>
      <c r="U100" s="2" t="s">
        <v>76</v>
      </c>
      <c r="V100" s="2" t="s">
        <v>71</v>
      </c>
      <c r="W100" s="2" t="s">
        <v>71</v>
      </c>
      <c r="X100" s="2" t="s">
        <v>71</v>
      </c>
      <c r="Y100" s="2" t="s">
        <v>71</v>
      </c>
      <c r="Z100" s="2" t="s">
        <v>71</v>
      </c>
      <c r="AA100" s="2" t="s">
        <v>71</v>
      </c>
      <c r="AB100" s="2" t="s">
        <v>71</v>
      </c>
      <c r="AC100" s="2" t="s">
        <v>71</v>
      </c>
      <c r="AD100" s="2" t="s">
        <v>71</v>
      </c>
      <c r="AE100" s="2" t="s">
        <v>71</v>
      </c>
      <c r="AF100" s="2" t="s">
        <v>76</v>
      </c>
      <c r="AG100" s="2" t="s">
        <v>76</v>
      </c>
      <c r="AH100" s="2" t="s">
        <v>179</v>
      </c>
      <c r="AI100" s="2">
        <v>2</v>
      </c>
    </row>
    <row r="101" spans="1:35" ht="32" x14ac:dyDescent="0.2">
      <c r="A101" s="2">
        <v>32636575</v>
      </c>
      <c r="B101" s="2">
        <f>VLOOKUP(A101,[1]TRATAMIENTI!$A:$B,2,FALSE)</f>
        <v>100</v>
      </c>
      <c r="C101" s="2" t="s">
        <v>281</v>
      </c>
      <c r="D101" s="2">
        <v>0</v>
      </c>
      <c r="E101" s="2">
        <v>0</v>
      </c>
      <c r="F101" s="2" t="s">
        <v>68</v>
      </c>
      <c r="G101" s="2" t="str">
        <f t="shared" si="1"/>
        <v>ATLANTICO</v>
      </c>
      <c r="H101" s="2" t="s">
        <v>69</v>
      </c>
      <c r="I101" s="2" t="s">
        <v>70</v>
      </c>
      <c r="J101" s="2" t="s">
        <v>71</v>
      </c>
      <c r="K101" s="2" t="s">
        <v>71</v>
      </c>
      <c r="L101" s="2" t="s">
        <v>76</v>
      </c>
      <c r="M101" s="2" t="s">
        <v>76</v>
      </c>
      <c r="N101" s="2" t="s">
        <v>72</v>
      </c>
      <c r="O101" s="2" t="s">
        <v>76</v>
      </c>
      <c r="P101" s="2" t="s">
        <v>76</v>
      </c>
      <c r="Q101" s="2" t="s">
        <v>76</v>
      </c>
      <c r="R101" s="2" t="s">
        <v>71</v>
      </c>
      <c r="S101" s="2" t="s">
        <v>71</v>
      </c>
      <c r="T101" s="2" t="s">
        <v>76</v>
      </c>
      <c r="U101" s="2" t="s">
        <v>76</v>
      </c>
      <c r="V101" s="2" t="s">
        <v>71</v>
      </c>
      <c r="W101" s="2" t="s">
        <v>71</v>
      </c>
      <c r="X101" s="2" t="s">
        <v>71</v>
      </c>
      <c r="Y101" s="2" t="s">
        <v>71</v>
      </c>
      <c r="Z101" s="2" t="s">
        <v>71</v>
      </c>
      <c r="AA101" s="2" t="s">
        <v>71</v>
      </c>
      <c r="AB101" s="2" t="s">
        <v>71</v>
      </c>
      <c r="AC101" s="2" t="s">
        <v>71</v>
      </c>
      <c r="AD101" s="2" t="s">
        <v>71</v>
      </c>
      <c r="AE101" s="2" t="s">
        <v>71</v>
      </c>
      <c r="AF101" s="2" t="s">
        <v>76</v>
      </c>
      <c r="AG101" s="2" t="s">
        <v>76</v>
      </c>
      <c r="AH101" s="2" t="s">
        <v>80</v>
      </c>
      <c r="AI101" s="2">
        <v>2</v>
      </c>
    </row>
    <row r="102" spans="1:35" ht="32" x14ac:dyDescent="0.2">
      <c r="A102" s="2">
        <v>32639848</v>
      </c>
      <c r="B102" s="2">
        <f>VLOOKUP(A102,[1]TRATAMIENTI!$A:$B,2,FALSE)</f>
        <v>101</v>
      </c>
      <c r="C102" t="s">
        <v>282</v>
      </c>
      <c r="D102">
        <v>3007649220</v>
      </c>
      <c r="E102" s="2" t="s">
        <v>283</v>
      </c>
      <c r="F102" s="2" t="s">
        <v>68</v>
      </c>
      <c r="G102" s="2" t="str">
        <f t="shared" si="1"/>
        <v>ATLANTICO</v>
      </c>
      <c r="H102" s="2" t="s">
        <v>69</v>
      </c>
      <c r="I102" s="2" t="s">
        <v>70</v>
      </c>
      <c r="J102" s="2" t="s">
        <v>71</v>
      </c>
      <c r="K102" s="2" t="s">
        <v>71</v>
      </c>
      <c r="L102" s="2" t="s">
        <v>76</v>
      </c>
      <c r="M102" s="2" t="s">
        <v>76</v>
      </c>
      <c r="N102" s="2" t="s">
        <v>72</v>
      </c>
      <c r="O102" s="2" t="s">
        <v>76</v>
      </c>
      <c r="P102" s="2" t="s">
        <v>76</v>
      </c>
      <c r="Q102" s="2" t="s">
        <v>76</v>
      </c>
      <c r="R102" s="2" t="s">
        <v>71</v>
      </c>
      <c r="S102" s="2" t="s">
        <v>71</v>
      </c>
      <c r="T102" s="2" t="s">
        <v>76</v>
      </c>
      <c r="U102" s="2" t="s">
        <v>76</v>
      </c>
      <c r="V102" s="2" t="s">
        <v>71</v>
      </c>
      <c r="W102" s="2" t="s">
        <v>71</v>
      </c>
      <c r="X102" s="2" t="s">
        <v>71</v>
      </c>
      <c r="Y102" s="2" t="s">
        <v>71</v>
      </c>
      <c r="Z102" s="2" t="s">
        <v>71</v>
      </c>
      <c r="AA102" s="2" t="s">
        <v>71</v>
      </c>
      <c r="AB102" s="2" t="s">
        <v>71</v>
      </c>
      <c r="AC102" s="2" t="s">
        <v>71</v>
      </c>
      <c r="AD102" s="2" t="s">
        <v>71</v>
      </c>
      <c r="AE102" s="2" t="s">
        <v>71</v>
      </c>
      <c r="AF102" s="2" t="s">
        <v>76</v>
      </c>
      <c r="AG102" s="2" t="s">
        <v>76</v>
      </c>
      <c r="AH102" s="2" t="s">
        <v>80</v>
      </c>
      <c r="AI102" s="2">
        <v>1</v>
      </c>
    </row>
    <row r="103" spans="1:35" ht="32" x14ac:dyDescent="0.2">
      <c r="A103" s="2">
        <v>32648994</v>
      </c>
      <c r="B103" s="2">
        <f>VLOOKUP(A103,[1]TRATAMIENTI!$A:$B,2,FALSE)</f>
        <v>102</v>
      </c>
      <c r="C103" s="2" t="s">
        <v>284</v>
      </c>
      <c r="D103" s="2">
        <v>0</v>
      </c>
      <c r="E103" s="2">
        <v>0</v>
      </c>
      <c r="F103" s="2" t="s">
        <v>68</v>
      </c>
      <c r="G103" s="2" t="str">
        <f t="shared" si="1"/>
        <v>ATLANTICO</v>
      </c>
      <c r="H103" s="2" t="s">
        <v>69</v>
      </c>
      <c r="I103" s="2" t="s">
        <v>70</v>
      </c>
      <c r="J103" s="2" t="s">
        <v>71</v>
      </c>
      <c r="K103" s="2" t="s">
        <v>72</v>
      </c>
      <c r="L103" s="2" t="s">
        <v>71</v>
      </c>
      <c r="M103" s="2" t="s">
        <v>71</v>
      </c>
      <c r="N103" s="2" t="s">
        <v>71</v>
      </c>
      <c r="O103" s="2" t="s">
        <v>71</v>
      </c>
      <c r="P103" s="2" t="s">
        <v>71</v>
      </c>
      <c r="Q103" s="2" t="s">
        <v>71</v>
      </c>
      <c r="R103" s="2" t="s">
        <v>71</v>
      </c>
      <c r="S103" s="2" t="s">
        <v>71</v>
      </c>
      <c r="T103" s="2" t="s">
        <v>71</v>
      </c>
      <c r="U103" s="2" t="s">
        <v>71</v>
      </c>
      <c r="V103" s="2" t="s">
        <v>71</v>
      </c>
      <c r="W103" s="2" t="s">
        <v>71</v>
      </c>
      <c r="X103" s="2" t="s">
        <v>71</v>
      </c>
      <c r="Y103" s="2" t="s">
        <v>71</v>
      </c>
      <c r="Z103" s="2" t="s">
        <v>71</v>
      </c>
      <c r="AA103" s="2" t="s">
        <v>71</v>
      </c>
      <c r="AB103" s="2" t="s">
        <v>71</v>
      </c>
      <c r="AC103" s="2" t="s">
        <v>71</v>
      </c>
      <c r="AD103" s="2" t="s">
        <v>71</v>
      </c>
      <c r="AE103" s="2" t="s">
        <v>71</v>
      </c>
      <c r="AF103" s="2" t="s">
        <v>71</v>
      </c>
      <c r="AG103" s="2" t="s">
        <v>71</v>
      </c>
      <c r="AH103" s="2" t="s">
        <v>73</v>
      </c>
      <c r="AI103" s="2">
        <v>1</v>
      </c>
    </row>
    <row r="104" spans="1:35" ht="32" x14ac:dyDescent="0.2">
      <c r="A104" s="2">
        <v>32650703</v>
      </c>
      <c r="B104" s="2">
        <f>VLOOKUP(A104,[1]TRATAMIENTI!$A:$B,2,FALSE)</f>
        <v>103</v>
      </c>
      <c r="C104" t="s">
        <v>285</v>
      </c>
      <c r="D104">
        <v>3147933962</v>
      </c>
      <c r="E104" s="2" t="s">
        <v>286</v>
      </c>
      <c r="F104" s="2" t="s">
        <v>68</v>
      </c>
      <c r="G104" s="2" t="str">
        <f t="shared" si="1"/>
        <v>ATLANTICO</v>
      </c>
      <c r="H104" s="2" t="s">
        <v>69</v>
      </c>
      <c r="I104" s="2" t="s">
        <v>70</v>
      </c>
      <c r="J104" s="2" t="s">
        <v>76</v>
      </c>
      <c r="K104" s="2" t="s">
        <v>76</v>
      </c>
      <c r="L104" s="2" t="s">
        <v>71</v>
      </c>
      <c r="M104" s="2" t="s">
        <v>71</v>
      </c>
      <c r="N104" s="2" t="s">
        <v>72</v>
      </c>
      <c r="O104" s="2" t="s">
        <v>71</v>
      </c>
      <c r="P104" s="2" t="s">
        <v>71</v>
      </c>
      <c r="Q104" s="2" t="s">
        <v>71</v>
      </c>
      <c r="R104" s="2" t="s">
        <v>71</v>
      </c>
      <c r="S104" s="2" t="s">
        <v>71</v>
      </c>
      <c r="T104" s="2" t="s">
        <v>71</v>
      </c>
      <c r="U104" s="2" t="s">
        <v>71</v>
      </c>
      <c r="V104" s="2" t="s">
        <v>71</v>
      </c>
      <c r="W104" s="2" t="s">
        <v>71</v>
      </c>
      <c r="X104" s="2" t="s">
        <v>71</v>
      </c>
      <c r="Y104" s="2" t="s">
        <v>71</v>
      </c>
      <c r="Z104" s="2" t="s">
        <v>71</v>
      </c>
      <c r="AA104" s="2" t="s">
        <v>71</v>
      </c>
      <c r="AB104" s="2" t="s">
        <v>71</v>
      </c>
      <c r="AC104" s="2" t="s">
        <v>71</v>
      </c>
      <c r="AD104" s="2" t="s">
        <v>71</v>
      </c>
      <c r="AE104" s="2" t="s">
        <v>71</v>
      </c>
      <c r="AF104" s="2" t="s">
        <v>71</v>
      </c>
      <c r="AG104" s="2" t="s">
        <v>71</v>
      </c>
      <c r="AH104" s="2" t="s">
        <v>73</v>
      </c>
      <c r="AI104" s="2">
        <v>2</v>
      </c>
    </row>
    <row r="105" spans="1:35" ht="32" x14ac:dyDescent="0.2">
      <c r="A105" s="2">
        <v>32665786</v>
      </c>
      <c r="B105" s="2">
        <f>VLOOKUP(A105,[1]TRATAMIENTI!$A:$B,2,FALSE)</f>
        <v>104</v>
      </c>
      <c r="C105" t="s">
        <v>287</v>
      </c>
      <c r="D105" s="2">
        <v>0</v>
      </c>
      <c r="E105" s="2" t="s">
        <v>288</v>
      </c>
      <c r="F105" s="2" t="s">
        <v>68</v>
      </c>
      <c r="G105" s="2" t="str">
        <f t="shared" si="1"/>
        <v>ATLANTICO</v>
      </c>
      <c r="H105" s="2" t="s">
        <v>69</v>
      </c>
      <c r="I105" s="2" t="s">
        <v>70</v>
      </c>
      <c r="J105" s="2" t="s">
        <v>71</v>
      </c>
      <c r="K105" s="2" t="s">
        <v>76</v>
      </c>
      <c r="L105" s="2" t="s">
        <v>71</v>
      </c>
      <c r="M105" s="2" t="s">
        <v>71</v>
      </c>
      <c r="N105" s="2" t="s">
        <v>71</v>
      </c>
      <c r="O105" s="2" t="s">
        <v>76</v>
      </c>
      <c r="P105" s="2" t="s">
        <v>76</v>
      </c>
      <c r="Q105" s="2" t="s">
        <v>76</v>
      </c>
      <c r="R105" s="2" t="s">
        <v>71</v>
      </c>
      <c r="S105" s="2" t="s">
        <v>71</v>
      </c>
      <c r="T105" s="2" t="s">
        <v>76</v>
      </c>
      <c r="U105" s="2" t="s">
        <v>76</v>
      </c>
      <c r="V105" s="2" t="s">
        <v>71</v>
      </c>
      <c r="W105" s="2" t="s">
        <v>71</v>
      </c>
      <c r="X105" s="2" t="s">
        <v>71</v>
      </c>
      <c r="Y105" s="2" t="s">
        <v>71</v>
      </c>
      <c r="Z105" s="2" t="s">
        <v>71</v>
      </c>
      <c r="AA105" s="2" t="s">
        <v>71</v>
      </c>
      <c r="AB105" s="2" t="s">
        <v>71</v>
      </c>
      <c r="AC105" s="2" t="s">
        <v>71</v>
      </c>
      <c r="AD105" s="2" t="s">
        <v>71</v>
      </c>
      <c r="AE105" s="2" t="s">
        <v>71</v>
      </c>
      <c r="AF105" s="2" t="s">
        <v>76</v>
      </c>
      <c r="AG105" s="2" t="s">
        <v>76</v>
      </c>
      <c r="AH105" s="2" t="s">
        <v>77</v>
      </c>
      <c r="AI105" s="2">
        <v>2</v>
      </c>
    </row>
    <row r="106" spans="1:35" ht="32" x14ac:dyDescent="0.2">
      <c r="A106" s="2">
        <v>32673448</v>
      </c>
      <c r="B106" s="2">
        <f>VLOOKUP(A106,[1]TRATAMIENTI!$A:$B,2,FALSE)</f>
        <v>105</v>
      </c>
      <c r="C106" t="s">
        <v>289</v>
      </c>
      <c r="D106" s="2">
        <v>3105295934</v>
      </c>
      <c r="E106" t="s">
        <v>290</v>
      </c>
      <c r="F106" s="2" t="s">
        <v>68</v>
      </c>
      <c r="G106" s="2" t="str">
        <f t="shared" si="1"/>
        <v>ATLANTICO</v>
      </c>
      <c r="H106" s="2" t="s">
        <v>69</v>
      </c>
      <c r="I106" s="2" t="s">
        <v>70</v>
      </c>
      <c r="J106" s="2" t="s">
        <v>71</v>
      </c>
      <c r="K106" s="2" t="s">
        <v>76</v>
      </c>
      <c r="L106" s="2" t="s">
        <v>76</v>
      </c>
      <c r="M106" s="2" t="s">
        <v>76</v>
      </c>
      <c r="N106" s="2" t="s">
        <v>72</v>
      </c>
      <c r="O106" s="2" t="s">
        <v>76</v>
      </c>
      <c r="P106" s="2" t="s">
        <v>76</v>
      </c>
      <c r="Q106" s="2" t="s">
        <v>76</v>
      </c>
      <c r="R106" s="2" t="s">
        <v>71</v>
      </c>
      <c r="S106" s="2" t="s">
        <v>71</v>
      </c>
      <c r="T106" s="2" t="s">
        <v>76</v>
      </c>
      <c r="U106" s="2" t="s">
        <v>76</v>
      </c>
      <c r="V106" s="2" t="s">
        <v>71</v>
      </c>
      <c r="W106" s="2" t="s">
        <v>71</v>
      </c>
      <c r="X106" s="2" t="s">
        <v>71</v>
      </c>
      <c r="Y106" s="2" t="s">
        <v>71</v>
      </c>
      <c r="Z106" s="2" t="s">
        <v>71</v>
      </c>
      <c r="AA106" s="2" t="s">
        <v>71</v>
      </c>
      <c r="AB106" s="2" t="s">
        <v>71</v>
      </c>
      <c r="AC106" s="2" t="s">
        <v>71</v>
      </c>
      <c r="AD106" s="2" t="s">
        <v>71</v>
      </c>
      <c r="AE106" s="2" t="s">
        <v>71</v>
      </c>
      <c r="AF106" s="2" t="s">
        <v>76</v>
      </c>
      <c r="AG106" s="2" t="s">
        <v>76</v>
      </c>
      <c r="AH106" s="2" t="s">
        <v>91</v>
      </c>
      <c r="AI106" s="2">
        <v>2</v>
      </c>
    </row>
    <row r="107" spans="1:35" ht="32" x14ac:dyDescent="0.2">
      <c r="A107" s="2">
        <v>32674359</v>
      </c>
      <c r="B107" s="2">
        <f>VLOOKUP(A107,[1]TRATAMIENTI!$A:$B,2,FALSE)</f>
        <v>106</v>
      </c>
      <c r="C107" t="s">
        <v>291</v>
      </c>
      <c r="D107">
        <v>3148965066</v>
      </c>
      <c r="E107" s="2" t="s">
        <v>292</v>
      </c>
      <c r="F107" s="2" t="s">
        <v>68</v>
      </c>
      <c r="G107" s="2" t="str">
        <f t="shared" si="1"/>
        <v>ATLANTICO</v>
      </c>
      <c r="H107" s="2" t="s">
        <v>69</v>
      </c>
      <c r="I107" s="2" t="s">
        <v>70</v>
      </c>
      <c r="J107" s="2" t="s">
        <v>71</v>
      </c>
      <c r="K107" s="2" t="s">
        <v>71</v>
      </c>
      <c r="L107" s="2" t="s">
        <v>71</v>
      </c>
      <c r="M107" s="2" t="s">
        <v>71</v>
      </c>
      <c r="N107" s="2" t="s">
        <v>71</v>
      </c>
      <c r="O107" s="2" t="s">
        <v>76</v>
      </c>
      <c r="P107" s="2" t="s">
        <v>76</v>
      </c>
      <c r="Q107" s="2" t="s">
        <v>76</v>
      </c>
      <c r="R107" s="2" t="s">
        <v>71</v>
      </c>
      <c r="S107" s="2" t="s">
        <v>71</v>
      </c>
      <c r="T107" s="2" t="s">
        <v>76</v>
      </c>
      <c r="U107" s="2" t="s">
        <v>76</v>
      </c>
      <c r="V107" s="2" t="s">
        <v>71</v>
      </c>
      <c r="W107" s="2" t="s">
        <v>71</v>
      </c>
      <c r="X107" s="2" t="s">
        <v>71</v>
      </c>
      <c r="Y107" s="2" t="s">
        <v>71</v>
      </c>
      <c r="Z107" s="2" t="s">
        <v>71</v>
      </c>
      <c r="AA107" s="2" t="s">
        <v>71</v>
      </c>
      <c r="AB107" s="2" t="s">
        <v>71</v>
      </c>
      <c r="AC107" s="2" t="s">
        <v>71</v>
      </c>
      <c r="AD107" s="2" t="s">
        <v>71</v>
      </c>
      <c r="AE107" s="2" t="s">
        <v>71</v>
      </c>
      <c r="AF107" s="2" t="s">
        <v>76</v>
      </c>
      <c r="AG107" s="2" t="s">
        <v>76</v>
      </c>
      <c r="AH107" s="2" t="s">
        <v>179</v>
      </c>
      <c r="AI107" s="2">
        <v>3</v>
      </c>
    </row>
    <row r="108" spans="1:35" ht="32" x14ac:dyDescent="0.2">
      <c r="A108" s="2">
        <v>32674864</v>
      </c>
      <c r="B108" s="2">
        <f>VLOOKUP(A108,[1]TRATAMIENTI!$A:$B,2,FALSE)</f>
        <v>107</v>
      </c>
      <c r="C108" s="2" t="s">
        <v>293</v>
      </c>
      <c r="D108" s="2">
        <v>0</v>
      </c>
      <c r="E108" s="2">
        <v>0</v>
      </c>
      <c r="F108" s="2" t="s">
        <v>68</v>
      </c>
      <c r="G108" s="2" t="str">
        <f t="shared" si="1"/>
        <v>ATLANTICO</v>
      </c>
      <c r="H108" s="2" t="s">
        <v>69</v>
      </c>
      <c r="I108" s="2" t="s">
        <v>70</v>
      </c>
      <c r="J108" s="2" t="s">
        <v>71</v>
      </c>
      <c r="K108" s="2" t="s">
        <v>72</v>
      </c>
      <c r="L108" s="2" t="s">
        <v>71</v>
      </c>
      <c r="M108" s="2" t="s">
        <v>71</v>
      </c>
      <c r="N108" s="2" t="s">
        <v>71</v>
      </c>
      <c r="O108" s="2" t="s">
        <v>76</v>
      </c>
      <c r="P108" s="2" t="s">
        <v>76</v>
      </c>
      <c r="Q108" s="2" t="s">
        <v>76</v>
      </c>
      <c r="R108" s="2" t="s">
        <v>71</v>
      </c>
      <c r="S108" s="2" t="s">
        <v>71</v>
      </c>
      <c r="T108" s="2" t="s">
        <v>76</v>
      </c>
      <c r="U108" s="2" t="s">
        <v>76</v>
      </c>
      <c r="V108" s="2" t="s">
        <v>71</v>
      </c>
      <c r="W108" s="2" t="s">
        <v>71</v>
      </c>
      <c r="X108" s="2" t="s">
        <v>71</v>
      </c>
      <c r="Y108" s="2" t="s">
        <v>71</v>
      </c>
      <c r="Z108" s="2" t="s">
        <v>71</v>
      </c>
      <c r="AA108" s="2" t="s">
        <v>71</v>
      </c>
      <c r="AB108" s="2" t="s">
        <v>71</v>
      </c>
      <c r="AC108" s="2" t="s">
        <v>71</v>
      </c>
      <c r="AD108" s="2" t="s">
        <v>71</v>
      </c>
      <c r="AE108" s="2" t="s">
        <v>71</v>
      </c>
      <c r="AF108" s="2" t="s">
        <v>76</v>
      </c>
      <c r="AG108" s="2" t="s">
        <v>76</v>
      </c>
      <c r="AH108" s="2" t="s">
        <v>77</v>
      </c>
      <c r="AI108" s="2">
        <v>2</v>
      </c>
    </row>
    <row r="109" spans="1:35" ht="32" x14ac:dyDescent="0.2">
      <c r="A109" s="2">
        <v>32682939</v>
      </c>
      <c r="B109" s="2">
        <f>VLOOKUP(A109,[1]TRATAMIENTI!$A:$B,2,FALSE)</f>
        <v>108</v>
      </c>
      <c r="C109" t="s">
        <v>294</v>
      </c>
      <c r="D109" s="2">
        <v>0</v>
      </c>
      <c r="E109" t="s">
        <v>295</v>
      </c>
      <c r="F109" s="2" t="s">
        <v>68</v>
      </c>
      <c r="G109" s="2" t="str">
        <f t="shared" si="1"/>
        <v>ATLANTICO</v>
      </c>
      <c r="H109" s="2" t="s">
        <v>69</v>
      </c>
      <c r="I109" s="2" t="s">
        <v>70</v>
      </c>
      <c r="J109" s="2" t="s">
        <v>76</v>
      </c>
      <c r="K109" s="2" t="s">
        <v>72</v>
      </c>
      <c r="L109" s="2" t="s">
        <v>71</v>
      </c>
      <c r="M109" s="2" t="s">
        <v>71</v>
      </c>
      <c r="N109" s="2" t="s">
        <v>71</v>
      </c>
      <c r="O109" s="2" t="s">
        <v>71</v>
      </c>
      <c r="P109" s="2" t="s">
        <v>71</v>
      </c>
      <c r="Q109" s="2" t="s">
        <v>71</v>
      </c>
      <c r="R109" s="2" t="s">
        <v>71</v>
      </c>
      <c r="S109" s="2" t="s">
        <v>71</v>
      </c>
      <c r="T109" s="2" t="s">
        <v>71</v>
      </c>
      <c r="U109" s="2" t="s">
        <v>71</v>
      </c>
      <c r="V109" s="2" t="s">
        <v>71</v>
      </c>
      <c r="W109" s="2" t="s">
        <v>71</v>
      </c>
      <c r="X109" s="2" t="s">
        <v>71</v>
      </c>
      <c r="Y109" s="2" t="s">
        <v>71</v>
      </c>
      <c r="Z109" s="2" t="s">
        <v>71</v>
      </c>
      <c r="AA109" s="2" t="s">
        <v>71</v>
      </c>
      <c r="AB109" s="2" t="s">
        <v>71</v>
      </c>
      <c r="AC109" s="2" t="s">
        <v>71</v>
      </c>
      <c r="AD109" s="2" t="s">
        <v>71</v>
      </c>
      <c r="AE109" s="2" t="s">
        <v>71</v>
      </c>
      <c r="AF109" s="2" t="s">
        <v>71</v>
      </c>
      <c r="AG109" s="2" t="s">
        <v>71</v>
      </c>
      <c r="AH109" s="2" t="s">
        <v>73</v>
      </c>
      <c r="AI109" s="2">
        <v>2</v>
      </c>
    </row>
    <row r="110" spans="1:35" ht="32" x14ac:dyDescent="0.2">
      <c r="A110" s="2">
        <v>32688218</v>
      </c>
      <c r="B110" s="2">
        <f>VLOOKUP(A110,[1]TRATAMIENTI!$A:$B,2,FALSE)</f>
        <v>109</v>
      </c>
      <c r="C110" t="s">
        <v>296</v>
      </c>
      <c r="D110" s="2">
        <v>0</v>
      </c>
      <c r="E110" t="s">
        <v>297</v>
      </c>
      <c r="F110" s="2" t="s">
        <v>68</v>
      </c>
      <c r="G110" s="2" t="str">
        <f t="shared" si="1"/>
        <v>ATLANTICO</v>
      </c>
      <c r="H110" s="2" t="s">
        <v>69</v>
      </c>
      <c r="I110" s="2" t="s">
        <v>70</v>
      </c>
      <c r="J110" s="2" t="s">
        <v>71</v>
      </c>
      <c r="K110" s="2" t="s">
        <v>76</v>
      </c>
      <c r="L110" s="2" t="s">
        <v>76</v>
      </c>
      <c r="M110" s="2" t="s">
        <v>76</v>
      </c>
      <c r="N110" s="2" t="s">
        <v>76</v>
      </c>
      <c r="O110" s="2" t="s">
        <v>76</v>
      </c>
      <c r="P110" s="2" t="s">
        <v>76</v>
      </c>
      <c r="Q110" s="2" t="s">
        <v>76</v>
      </c>
      <c r="R110" s="2" t="s">
        <v>71</v>
      </c>
      <c r="S110" s="2" t="s">
        <v>71</v>
      </c>
      <c r="T110" s="2" t="s">
        <v>76</v>
      </c>
      <c r="U110" s="2" t="s">
        <v>76</v>
      </c>
      <c r="V110" s="2" t="s">
        <v>71</v>
      </c>
      <c r="W110" s="2" t="s">
        <v>71</v>
      </c>
      <c r="X110" s="2" t="s">
        <v>71</v>
      </c>
      <c r="Y110" s="2" t="s">
        <v>71</v>
      </c>
      <c r="Z110" s="2" t="s">
        <v>71</v>
      </c>
      <c r="AA110" s="2" t="s">
        <v>71</v>
      </c>
      <c r="AB110" s="2" t="s">
        <v>71</v>
      </c>
      <c r="AC110" s="2" t="s">
        <v>71</v>
      </c>
      <c r="AD110" s="2" t="s">
        <v>71</v>
      </c>
      <c r="AE110" s="2" t="s">
        <v>71</v>
      </c>
      <c r="AF110" s="2" t="s">
        <v>76</v>
      </c>
      <c r="AG110" s="2" t="s">
        <v>76</v>
      </c>
      <c r="AH110" s="2" t="s">
        <v>91</v>
      </c>
      <c r="AI110" s="2">
        <v>1</v>
      </c>
    </row>
    <row r="111" spans="1:35" ht="16" x14ac:dyDescent="0.2">
      <c r="A111" s="2">
        <v>32688521</v>
      </c>
      <c r="B111" s="2">
        <f>VLOOKUP(A111,[1]TRATAMIENTI!$A:$B,2,FALSE)</f>
        <v>110</v>
      </c>
      <c r="C111" t="s">
        <v>298</v>
      </c>
      <c r="D111" t="s">
        <v>299</v>
      </c>
      <c r="E111" s="2" t="s">
        <v>300</v>
      </c>
      <c r="F111" s="2" t="s">
        <v>68</v>
      </c>
      <c r="G111" s="2" t="str">
        <f t="shared" si="1"/>
        <v>ATLANTICO</v>
      </c>
      <c r="H111" s="2" t="s">
        <v>69</v>
      </c>
      <c r="I111" s="2" t="s">
        <v>70</v>
      </c>
      <c r="AH111" s="2" t="s">
        <v>85</v>
      </c>
      <c r="AI111" s="2">
        <v>2</v>
      </c>
    </row>
    <row r="112" spans="1:35" ht="32" x14ac:dyDescent="0.2">
      <c r="A112" s="2">
        <v>32690815</v>
      </c>
      <c r="B112" s="2">
        <f>VLOOKUP(A112,[1]TRATAMIENTI!$A:$B,2,FALSE)</f>
        <v>111</v>
      </c>
      <c r="C112" t="s">
        <v>301</v>
      </c>
      <c r="D112" s="2">
        <v>0</v>
      </c>
      <c r="E112" t="s">
        <v>302</v>
      </c>
      <c r="F112" s="2" t="s">
        <v>68</v>
      </c>
      <c r="G112" s="2" t="str">
        <f t="shared" si="1"/>
        <v>ATLANTICO</v>
      </c>
      <c r="H112" s="2" t="s">
        <v>69</v>
      </c>
      <c r="I112" s="2" t="s">
        <v>70</v>
      </c>
      <c r="J112" s="2" t="s">
        <v>71</v>
      </c>
      <c r="K112" s="2" t="s">
        <v>76</v>
      </c>
      <c r="L112" s="2" t="s">
        <v>76</v>
      </c>
      <c r="M112" s="2" t="s">
        <v>76</v>
      </c>
      <c r="N112" s="2" t="s">
        <v>72</v>
      </c>
      <c r="O112" s="2" t="s">
        <v>71</v>
      </c>
      <c r="P112" s="2" t="s">
        <v>71</v>
      </c>
      <c r="Q112" s="2" t="s">
        <v>71</v>
      </c>
      <c r="R112" s="2" t="s">
        <v>71</v>
      </c>
      <c r="S112" s="2" t="s">
        <v>71</v>
      </c>
      <c r="T112" s="2" t="s">
        <v>76</v>
      </c>
      <c r="U112" s="2" t="s">
        <v>76</v>
      </c>
      <c r="V112" s="2" t="s">
        <v>71</v>
      </c>
      <c r="W112" s="2" t="s">
        <v>71</v>
      </c>
      <c r="X112" s="2" t="s">
        <v>71</v>
      </c>
      <c r="Y112" s="2" t="s">
        <v>71</v>
      </c>
      <c r="Z112" s="2" t="s">
        <v>71</v>
      </c>
      <c r="AA112" s="2" t="s">
        <v>71</v>
      </c>
      <c r="AB112" s="2" t="s">
        <v>71</v>
      </c>
      <c r="AC112" s="2" t="s">
        <v>71</v>
      </c>
      <c r="AD112" s="2" t="s">
        <v>71</v>
      </c>
      <c r="AE112" s="2" t="s">
        <v>71</v>
      </c>
      <c r="AF112" s="2" t="s">
        <v>72</v>
      </c>
      <c r="AG112" s="2" t="s">
        <v>72</v>
      </c>
      <c r="AH112" s="2" t="s">
        <v>85</v>
      </c>
      <c r="AI112" s="2">
        <v>2</v>
      </c>
    </row>
    <row r="113" spans="1:35" ht="32" x14ac:dyDescent="0.2">
      <c r="A113" s="2">
        <v>32694200</v>
      </c>
      <c r="B113" s="2">
        <f>VLOOKUP(A113,[1]TRATAMIENTI!$A:$B,2,FALSE)</f>
        <v>112</v>
      </c>
      <c r="C113" t="s">
        <v>303</v>
      </c>
      <c r="D113" s="2">
        <v>0</v>
      </c>
      <c r="E113" t="s">
        <v>304</v>
      </c>
      <c r="F113" s="2" t="s">
        <v>68</v>
      </c>
      <c r="G113" s="2" t="str">
        <f t="shared" si="1"/>
        <v>ATLANTICO</v>
      </c>
      <c r="H113" s="2" t="s">
        <v>69</v>
      </c>
      <c r="I113" s="2" t="s">
        <v>70</v>
      </c>
      <c r="J113" s="2" t="s">
        <v>71</v>
      </c>
      <c r="K113" s="2" t="s">
        <v>72</v>
      </c>
      <c r="L113" s="2" t="s">
        <v>71</v>
      </c>
      <c r="M113" s="2" t="s">
        <v>71</v>
      </c>
      <c r="N113" s="2" t="s">
        <v>71</v>
      </c>
      <c r="O113" s="2" t="s">
        <v>76</v>
      </c>
      <c r="P113" s="2" t="s">
        <v>76</v>
      </c>
      <c r="Q113" s="2" t="s">
        <v>76</v>
      </c>
      <c r="R113" s="2" t="s">
        <v>71</v>
      </c>
      <c r="S113" s="2" t="s">
        <v>71</v>
      </c>
      <c r="T113" s="2" t="s">
        <v>76</v>
      </c>
      <c r="U113" s="2" t="s">
        <v>76</v>
      </c>
      <c r="V113" s="2" t="s">
        <v>71</v>
      </c>
      <c r="W113" s="2" t="s">
        <v>71</v>
      </c>
      <c r="X113" s="2" t="s">
        <v>71</v>
      </c>
      <c r="Y113" s="2" t="s">
        <v>71</v>
      </c>
      <c r="Z113" s="2" t="s">
        <v>71</v>
      </c>
      <c r="AA113" s="2" t="s">
        <v>71</v>
      </c>
      <c r="AB113" s="2" t="s">
        <v>71</v>
      </c>
      <c r="AC113" s="2" t="s">
        <v>71</v>
      </c>
      <c r="AD113" s="2" t="s">
        <v>71</v>
      </c>
      <c r="AE113" s="2" t="s">
        <v>71</v>
      </c>
      <c r="AF113" s="2" t="s">
        <v>76</v>
      </c>
      <c r="AG113" s="2" t="s">
        <v>76</v>
      </c>
      <c r="AH113" s="2" t="s">
        <v>77</v>
      </c>
      <c r="AI113" s="2">
        <v>2</v>
      </c>
    </row>
    <row r="114" spans="1:35" ht="32" x14ac:dyDescent="0.2">
      <c r="A114" s="2">
        <v>32707038</v>
      </c>
      <c r="B114" s="2">
        <f>VLOOKUP(A114,[1]TRATAMIENTI!$A:$B,2,FALSE)</f>
        <v>113</v>
      </c>
      <c r="C114" t="s">
        <v>305</v>
      </c>
      <c r="D114" s="2">
        <v>3005066545</v>
      </c>
      <c r="E114" s="2" t="s">
        <v>306</v>
      </c>
      <c r="F114" s="2" t="s">
        <v>68</v>
      </c>
      <c r="G114" s="2" t="str">
        <f t="shared" si="1"/>
        <v>ATLANTICO</v>
      </c>
      <c r="H114" s="2" t="s">
        <v>69</v>
      </c>
      <c r="I114" s="2" t="s">
        <v>70</v>
      </c>
      <c r="J114" s="2" t="s">
        <v>71</v>
      </c>
      <c r="K114" s="2" t="s">
        <v>72</v>
      </c>
      <c r="L114" s="2" t="s">
        <v>71</v>
      </c>
      <c r="M114" s="2" t="s">
        <v>71</v>
      </c>
      <c r="N114" s="2" t="s">
        <v>71</v>
      </c>
      <c r="O114" s="2" t="s">
        <v>76</v>
      </c>
      <c r="P114" s="2" t="s">
        <v>76</v>
      </c>
      <c r="Q114" s="2" t="s">
        <v>76</v>
      </c>
      <c r="R114" s="2" t="s">
        <v>71</v>
      </c>
      <c r="S114" s="2" t="s">
        <v>71</v>
      </c>
      <c r="T114" s="2" t="s">
        <v>76</v>
      </c>
      <c r="U114" s="2" t="s">
        <v>76</v>
      </c>
      <c r="V114" s="2" t="s">
        <v>71</v>
      </c>
      <c r="W114" s="2" t="s">
        <v>71</v>
      </c>
      <c r="X114" s="2" t="s">
        <v>71</v>
      </c>
      <c r="Y114" s="2" t="s">
        <v>71</v>
      </c>
      <c r="Z114" s="2" t="s">
        <v>71</v>
      </c>
      <c r="AA114" s="2" t="s">
        <v>71</v>
      </c>
      <c r="AB114" s="2" t="s">
        <v>71</v>
      </c>
      <c r="AC114" s="2" t="s">
        <v>71</v>
      </c>
      <c r="AD114" s="2" t="s">
        <v>71</v>
      </c>
      <c r="AE114" s="2" t="s">
        <v>71</v>
      </c>
      <c r="AF114" s="2" t="s">
        <v>76</v>
      </c>
      <c r="AG114" s="2" t="s">
        <v>76</v>
      </c>
      <c r="AH114" s="2" t="s">
        <v>77</v>
      </c>
      <c r="AI114" s="2">
        <v>1</v>
      </c>
    </row>
    <row r="115" spans="1:35" ht="32" x14ac:dyDescent="0.2">
      <c r="A115" s="2">
        <v>32708738</v>
      </c>
      <c r="B115" s="2">
        <f>VLOOKUP(A115,[1]TRATAMIENTI!$A:$B,2,FALSE)</f>
        <v>114</v>
      </c>
      <c r="C115" t="s">
        <v>307</v>
      </c>
      <c r="D115" s="2">
        <v>0</v>
      </c>
      <c r="E115" s="2" t="s">
        <v>308</v>
      </c>
      <c r="F115" s="2" t="s">
        <v>68</v>
      </c>
      <c r="G115" s="2" t="str">
        <f t="shared" si="1"/>
        <v>ATLANTICO</v>
      </c>
      <c r="H115" s="2" t="s">
        <v>69</v>
      </c>
      <c r="I115" s="2" t="s">
        <v>70</v>
      </c>
      <c r="J115" s="2" t="s">
        <v>71</v>
      </c>
      <c r="K115" s="2" t="s">
        <v>76</v>
      </c>
      <c r="L115" s="2" t="s">
        <v>71</v>
      </c>
      <c r="M115" s="2" t="s">
        <v>71</v>
      </c>
      <c r="N115" s="2" t="s">
        <v>71</v>
      </c>
      <c r="O115" s="2" t="s">
        <v>76</v>
      </c>
      <c r="P115" s="2" t="s">
        <v>76</v>
      </c>
      <c r="Q115" s="2" t="s">
        <v>76</v>
      </c>
      <c r="R115" s="2" t="s">
        <v>71</v>
      </c>
      <c r="S115" s="2" t="s">
        <v>71</v>
      </c>
      <c r="T115" s="2" t="s">
        <v>76</v>
      </c>
      <c r="U115" s="2" t="s">
        <v>76</v>
      </c>
      <c r="V115" s="2" t="s">
        <v>71</v>
      </c>
      <c r="W115" s="2" t="s">
        <v>71</v>
      </c>
      <c r="X115" s="2" t="s">
        <v>71</v>
      </c>
      <c r="Y115" s="2" t="s">
        <v>71</v>
      </c>
      <c r="Z115" s="2" t="s">
        <v>71</v>
      </c>
      <c r="AA115" s="2" t="s">
        <v>71</v>
      </c>
      <c r="AB115" s="2" t="s">
        <v>71</v>
      </c>
      <c r="AC115" s="2" t="s">
        <v>71</v>
      </c>
      <c r="AD115" s="2" t="s">
        <v>71</v>
      </c>
      <c r="AE115" s="2" t="s">
        <v>71</v>
      </c>
      <c r="AF115" s="2" t="s">
        <v>76</v>
      </c>
      <c r="AG115" s="2" t="s">
        <v>76</v>
      </c>
      <c r="AH115" s="2" t="s">
        <v>77</v>
      </c>
      <c r="AI115" s="2">
        <v>1</v>
      </c>
    </row>
    <row r="116" spans="1:35" ht="32" x14ac:dyDescent="0.2">
      <c r="A116" s="2">
        <v>32709507</v>
      </c>
      <c r="B116" s="2">
        <f>VLOOKUP(A116,[1]TRATAMIENTI!$A:$B,2,FALSE)</f>
        <v>115</v>
      </c>
      <c r="C116" t="s">
        <v>309</v>
      </c>
      <c r="D116">
        <v>3242463910</v>
      </c>
      <c r="E116" t="s">
        <v>310</v>
      </c>
      <c r="F116" s="2" t="s">
        <v>68</v>
      </c>
      <c r="G116" s="2" t="str">
        <f t="shared" si="1"/>
        <v>ATLANTICO</v>
      </c>
      <c r="H116" s="2" t="s">
        <v>69</v>
      </c>
      <c r="I116" s="2" t="s">
        <v>70</v>
      </c>
      <c r="J116" s="2" t="s">
        <v>71</v>
      </c>
      <c r="K116" s="2" t="s">
        <v>71</v>
      </c>
      <c r="L116" s="2" t="s">
        <v>71</v>
      </c>
      <c r="M116" s="2" t="s">
        <v>71</v>
      </c>
      <c r="N116" s="2" t="s">
        <v>71</v>
      </c>
      <c r="O116" s="2" t="s">
        <v>76</v>
      </c>
      <c r="P116" s="2" t="s">
        <v>76</v>
      </c>
      <c r="Q116" s="2" t="s">
        <v>76</v>
      </c>
      <c r="R116" s="2" t="s">
        <v>71</v>
      </c>
      <c r="S116" s="2" t="s">
        <v>71</v>
      </c>
      <c r="T116" s="2" t="s">
        <v>76</v>
      </c>
      <c r="U116" s="2" t="s">
        <v>76</v>
      </c>
      <c r="V116" s="2" t="s">
        <v>71</v>
      </c>
      <c r="W116" s="2" t="s">
        <v>71</v>
      </c>
      <c r="X116" s="2" t="s">
        <v>71</v>
      </c>
      <c r="Y116" s="2" t="s">
        <v>71</v>
      </c>
      <c r="Z116" s="2" t="s">
        <v>71</v>
      </c>
      <c r="AA116" s="2" t="s">
        <v>71</v>
      </c>
      <c r="AB116" s="2" t="s">
        <v>71</v>
      </c>
      <c r="AC116" s="2" t="s">
        <v>71</v>
      </c>
      <c r="AD116" s="2" t="s">
        <v>71</v>
      </c>
      <c r="AE116" s="2" t="s">
        <v>71</v>
      </c>
      <c r="AF116" s="2" t="s">
        <v>76</v>
      </c>
      <c r="AG116" s="2" t="s">
        <v>76</v>
      </c>
      <c r="AH116" s="2" t="s">
        <v>179</v>
      </c>
      <c r="AI116" s="2">
        <v>2</v>
      </c>
    </row>
    <row r="117" spans="1:35" ht="32" x14ac:dyDescent="0.2">
      <c r="A117" s="2">
        <v>32710701</v>
      </c>
      <c r="B117" s="2">
        <f>VLOOKUP(A117,[1]TRATAMIENTI!$A:$B,2,FALSE)</f>
        <v>116</v>
      </c>
      <c r="C117" t="s">
        <v>311</v>
      </c>
      <c r="D117">
        <v>3205488193</v>
      </c>
      <c r="E117" t="s">
        <v>312</v>
      </c>
      <c r="F117" s="2" t="s">
        <v>68</v>
      </c>
      <c r="G117" s="2" t="str">
        <f t="shared" si="1"/>
        <v>ATLANTICO</v>
      </c>
      <c r="H117" s="2" t="s">
        <v>69</v>
      </c>
      <c r="I117" s="2" t="s">
        <v>70</v>
      </c>
      <c r="J117" s="2" t="s">
        <v>72</v>
      </c>
      <c r="K117" s="2" t="s">
        <v>72</v>
      </c>
      <c r="L117" s="2" t="s">
        <v>71</v>
      </c>
      <c r="M117" s="2" t="s">
        <v>71</v>
      </c>
      <c r="N117" s="2" t="s">
        <v>71</v>
      </c>
      <c r="O117" s="2" t="s">
        <v>71</v>
      </c>
      <c r="P117" s="2" t="s">
        <v>71</v>
      </c>
      <c r="Q117" s="2" t="s">
        <v>71</v>
      </c>
      <c r="R117" s="2" t="s">
        <v>71</v>
      </c>
      <c r="S117" s="2" t="s">
        <v>71</v>
      </c>
      <c r="T117" s="2" t="s">
        <v>71</v>
      </c>
      <c r="U117" s="2" t="s">
        <v>71</v>
      </c>
      <c r="V117" s="2" t="s">
        <v>71</v>
      </c>
      <c r="W117" s="2" t="s">
        <v>71</v>
      </c>
      <c r="X117" s="2" t="s">
        <v>71</v>
      </c>
      <c r="Y117" s="2" t="s">
        <v>71</v>
      </c>
      <c r="Z117" s="2" t="s">
        <v>71</v>
      </c>
      <c r="AA117" s="2" t="s">
        <v>71</v>
      </c>
      <c r="AB117" s="2" t="s">
        <v>71</v>
      </c>
      <c r="AC117" s="2" t="s">
        <v>71</v>
      </c>
      <c r="AD117" s="2" t="s">
        <v>71</v>
      </c>
      <c r="AE117" s="2" t="s">
        <v>71</v>
      </c>
      <c r="AF117" s="2" t="s">
        <v>71</v>
      </c>
      <c r="AG117" s="2" t="s">
        <v>71</v>
      </c>
      <c r="AH117" s="2" t="s">
        <v>73</v>
      </c>
      <c r="AI117" s="2">
        <v>2</v>
      </c>
    </row>
    <row r="118" spans="1:35" ht="32" x14ac:dyDescent="0.2">
      <c r="A118" s="2">
        <v>32712481</v>
      </c>
      <c r="B118" s="2">
        <f>VLOOKUP(A118,[1]TRATAMIENTI!$A:$B,2,FALSE)</f>
        <v>117</v>
      </c>
      <c r="C118" t="s">
        <v>313</v>
      </c>
      <c r="D118" s="2">
        <v>0</v>
      </c>
      <c r="E118" t="s">
        <v>314</v>
      </c>
      <c r="F118" s="2" t="s">
        <v>68</v>
      </c>
      <c r="G118" s="2" t="str">
        <f t="shared" si="1"/>
        <v>ATLANTICO</v>
      </c>
      <c r="H118" s="2" t="s">
        <v>69</v>
      </c>
      <c r="I118" s="2" t="s">
        <v>70</v>
      </c>
      <c r="J118" s="2" t="s">
        <v>71</v>
      </c>
      <c r="K118" s="2" t="s">
        <v>76</v>
      </c>
      <c r="L118" s="2" t="s">
        <v>71</v>
      </c>
      <c r="M118" s="2" t="s">
        <v>76</v>
      </c>
      <c r="N118" s="2" t="s">
        <v>76</v>
      </c>
      <c r="O118" s="2" t="s">
        <v>76</v>
      </c>
      <c r="P118" s="2" t="s">
        <v>76</v>
      </c>
      <c r="Q118" s="2" t="s">
        <v>76</v>
      </c>
      <c r="R118" s="2" t="s">
        <v>71</v>
      </c>
      <c r="S118" s="2" t="s">
        <v>71</v>
      </c>
      <c r="T118" s="2" t="s">
        <v>76</v>
      </c>
      <c r="U118" s="2" t="s">
        <v>76</v>
      </c>
      <c r="V118" s="2" t="s">
        <v>71</v>
      </c>
      <c r="W118" s="2" t="s">
        <v>71</v>
      </c>
      <c r="X118" s="2" t="s">
        <v>71</v>
      </c>
      <c r="Y118" s="2" t="s">
        <v>71</v>
      </c>
      <c r="Z118" s="2" t="s">
        <v>71</v>
      </c>
      <c r="AA118" s="2" t="s">
        <v>71</v>
      </c>
      <c r="AB118" s="2" t="s">
        <v>71</v>
      </c>
      <c r="AC118" s="2" t="s">
        <v>71</v>
      </c>
      <c r="AD118" s="2" t="s">
        <v>71</v>
      </c>
      <c r="AE118" s="2" t="s">
        <v>71</v>
      </c>
      <c r="AF118" s="2" t="s">
        <v>76</v>
      </c>
      <c r="AG118" s="2" t="s">
        <v>76</v>
      </c>
      <c r="AH118" s="2" t="s">
        <v>91</v>
      </c>
      <c r="AI118" s="2">
        <v>2</v>
      </c>
    </row>
    <row r="119" spans="1:35" ht="32" x14ac:dyDescent="0.2">
      <c r="A119" s="2">
        <v>32716378</v>
      </c>
      <c r="B119" s="2">
        <f>VLOOKUP(A119,[1]TRATAMIENTI!$A:$B,2,FALSE)</f>
        <v>118</v>
      </c>
      <c r="C119" t="s">
        <v>315</v>
      </c>
      <c r="D119" t="s">
        <v>316</v>
      </c>
      <c r="E119" t="s">
        <v>317</v>
      </c>
      <c r="F119" s="2" t="s">
        <v>68</v>
      </c>
      <c r="G119" s="2" t="str">
        <f t="shared" si="1"/>
        <v>ATLANTICO</v>
      </c>
      <c r="H119" s="2" t="s">
        <v>69</v>
      </c>
      <c r="I119" s="2" t="s">
        <v>70</v>
      </c>
      <c r="J119" s="2" t="s">
        <v>76</v>
      </c>
      <c r="K119" s="2" t="s">
        <v>76</v>
      </c>
      <c r="L119" s="2" t="s">
        <v>71</v>
      </c>
      <c r="M119" s="2" t="s">
        <v>71</v>
      </c>
      <c r="N119" s="2" t="s">
        <v>71</v>
      </c>
      <c r="O119" s="2" t="s">
        <v>71</v>
      </c>
      <c r="P119" s="2" t="s">
        <v>71</v>
      </c>
      <c r="Q119" s="2" t="s">
        <v>71</v>
      </c>
      <c r="R119" s="2" t="s">
        <v>71</v>
      </c>
      <c r="S119" s="2" t="s">
        <v>71</v>
      </c>
      <c r="T119" s="2" t="s">
        <v>71</v>
      </c>
      <c r="U119" s="2" t="s">
        <v>71</v>
      </c>
      <c r="V119" s="2" t="s">
        <v>71</v>
      </c>
      <c r="W119" s="2" t="s">
        <v>71</v>
      </c>
      <c r="X119" s="2" t="s">
        <v>71</v>
      </c>
      <c r="Y119" s="2" t="s">
        <v>71</v>
      </c>
      <c r="Z119" s="2" t="s">
        <v>71</v>
      </c>
      <c r="AA119" s="2" t="s">
        <v>71</v>
      </c>
      <c r="AB119" s="2" t="s">
        <v>71</v>
      </c>
      <c r="AC119" s="2" t="s">
        <v>71</v>
      </c>
      <c r="AD119" s="2" t="s">
        <v>71</v>
      </c>
      <c r="AE119" s="2" t="s">
        <v>71</v>
      </c>
      <c r="AF119" s="2" t="s">
        <v>71</v>
      </c>
      <c r="AG119" s="2" t="s">
        <v>71</v>
      </c>
      <c r="AH119" s="2" t="s">
        <v>73</v>
      </c>
      <c r="AI119" s="2">
        <v>2</v>
      </c>
    </row>
    <row r="120" spans="1:35" ht="32" x14ac:dyDescent="0.2">
      <c r="A120" s="2">
        <v>32717266</v>
      </c>
      <c r="B120" s="2">
        <f>VLOOKUP(A120,[1]TRATAMIENTI!$A:$B,2,FALSE)</f>
        <v>119</v>
      </c>
      <c r="F120" s="2" t="s">
        <v>68</v>
      </c>
      <c r="G120" s="2" t="str">
        <f t="shared" si="1"/>
        <v>ATLANTICO</v>
      </c>
      <c r="H120" s="2" t="s">
        <v>69</v>
      </c>
      <c r="I120" s="2" t="s">
        <v>70</v>
      </c>
      <c r="J120" s="2" t="s">
        <v>71</v>
      </c>
      <c r="K120" s="2" t="s">
        <v>71</v>
      </c>
      <c r="L120" s="2" t="s">
        <v>71</v>
      </c>
      <c r="M120" s="2" t="s">
        <v>76</v>
      </c>
      <c r="N120" s="2" t="s">
        <v>76</v>
      </c>
      <c r="O120" s="2" t="s">
        <v>76</v>
      </c>
      <c r="P120" s="2" t="s">
        <v>76</v>
      </c>
      <c r="Q120" s="2" t="s">
        <v>76</v>
      </c>
      <c r="R120" s="2" t="s">
        <v>71</v>
      </c>
      <c r="S120" s="2" t="s">
        <v>71</v>
      </c>
      <c r="T120" s="2" t="s">
        <v>76</v>
      </c>
      <c r="U120" s="2" t="s">
        <v>76</v>
      </c>
      <c r="V120" s="2" t="s">
        <v>71</v>
      </c>
      <c r="W120" s="2" t="s">
        <v>71</v>
      </c>
      <c r="X120" s="2" t="s">
        <v>71</v>
      </c>
      <c r="Y120" s="2" t="s">
        <v>71</v>
      </c>
      <c r="Z120" s="2" t="s">
        <v>71</v>
      </c>
      <c r="AA120" s="2" t="s">
        <v>71</v>
      </c>
      <c r="AB120" s="2" t="s">
        <v>71</v>
      </c>
      <c r="AC120" s="2" t="s">
        <v>71</v>
      </c>
      <c r="AD120" s="2" t="s">
        <v>71</v>
      </c>
      <c r="AE120" s="2" t="s">
        <v>71</v>
      </c>
      <c r="AF120" s="2" t="s">
        <v>76</v>
      </c>
      <c r="AG120" s="2" t="s">
        <v>76</v>
      </c>
      <c r="AH120" s="2" t="s">
        <v>80</v>
      </c>
      <c r="AI120" s="2">
        <v>1</v>
      </c>
    </row>
    <row r="121" spans="1:35" ht="32" x14ac:dyDescent="0.2">
      <c r="A121" s="2">
        <v>32727855</v>
      </c>
      <c r="B121" s="2">
        <f>VLOOKUP(A121,[1]TRATAMIENTI!$A:$B,2,FALSE)</f>
        <v>120</v>
      </c>
      <c r="C121" t="s">
        <v>318</v>
      </c>
      <c r="D121" s="2">
        <v>0</v>
      </c>
      <c r="E121" s="2" t="s">
        <v>319</v>
      </c>
      <c r="F121" s="2" t="s">
        <v>68</v>
      </c>
      <c r="G121" s="2" t="str">
        <f t="shared" si="1"/>
        <v>ATLANTICO</v>
      </c>
      <c r="H121" s="2" t="s">
        <v>69</v>
      </c>
      <c r="I121" s="2" t="s">
        <v>70</v>
      </c>
      <c r="J121" s="2" t="s">
        <v>71</v>
      </c>
      <c r="K121" s="2" t="s">
        <v>71</v>
      </c>
      <c r="L121" s="2" t="s">
        <v>76</v>
      </c>
      <c r="M121" s="2" t="s">
        <v>76</v>
      </c>
      <c r="N121" s="2" t="s">
        <v>76</v>
      </c>
      <c r="O121" s="2" t="s">
        <v>76</v>
      </c>
      <c r="P121" s="2" t="s">
        <v>76</v>
      </c>
      <c r="Q121" s="2" t="s">
        <v>76</v>
      </c>
      <c r="R121" s="2" t="s">
        <v>71</v>
      </c>
      <c r="S121" s="2" t="s">
        <v>71</v>
      </c>
      <c r="T121" s="2" t="s">
        <v>76</v>
      </c>
      <c r="U121" s="2" t="s">
        <v>76</v>
      </c>
      <c r="V121" s="2" t="s">
        <v>71</v>
      </c>
      <c r="W121" s="2" t="s">
        <v>71</v>
      </c>
      <c r="X121" s="2" t="s">
        <v>71</v>
      </c>
      <c r="Y121" s="2" t="s">
        <v>71</v>
      </c>
      <c r="Z121" s="2" t="s">
        <v>71</v>
      </c>
      <c r="AA121" s="2" t="s">
        <v>71</v>
      </c>
      <c r="AB121" s="2" t="s">
        <v>71</v>
      </c>
      <c r="AC121" s="2" t="s">
        <v>71</v>
      </c>
      <c r="AD121" s="2" t="s">
        <v>71</v>
      </c>
      <c r="AE121" s="2" t="s">
        <v>71</v>
      </c>
      <c r="AF121" s="2" t="s">
        <v>76</v>
      </c>
      <c r="AG121" s="2" t="s">
        <v>76</v>
      </c>
      <c r="AH121" s="2" t="s">
        <v>80</v>
      </c>
      <c r="AI121" s="2">
        <v>1</v>
      </c>
    </row>
    <row r="122" spans="1:35" ht="32" x14ac:dyDescent="0.2">
      <c r="A122" s="2">
        <v>32733938</v>
      </c>
      <c r="B122" s="2">
        <f>VLOOKUP(A122,[1]TRATAMIENTI!$A:$B,2,FALSE)</f>
        <v>121</v>
      </c>
      <c r="C122" t="s">
        <v>320</v>
      </c>
      <c r="D122" s="2">
        <v>0</v>
      </c>
      <c r="E122" t="s">
        <v>321</v>
      </c>
      <c r="F122" s="2" t="s">
        <v>68</v>
      </c>
      <c r="G122" s="2" t="str">
        <f t="shared" si="1"/>
        <v>ATLANTICO</v>
      </c>
      <c r="H122" s="2" t="s">
        <v>69</v>
      </c>
      <c r="I122" s="2" t="s">
        <v>70</v>
      </c>
      <c r="J122" s="2" t="s">
        <v>71</v>
      </c>
      <c r="K122" s="2" t="s">
        <v>71</v>
      </c>
      <c r="L122" s="2" t="s">
        <v>76</v>
      </c>
      <c r="M122" s="2" t="s">
        <v>76</v>
      </c>
      <c r="N122" s="2" t="s">
        <v>76</v>
      </c>
      <c r="O122" s="2" t="s">
        <v>76</v>
      </c>
      <c r="P122" s="2" t="s">
        <v>76</v>
      </c>
      <c r="Q122" s="2" t="s">
        <v>76</v>
      </c>
      <c r="R122" s="2" t="s">
        <v>71</v>
      </c>
      <c r="S122" s="2" t="s">
        <v>71</v>
      </c>
      <c r="T122" s="2" t="s">
        <v>76</v>
      </c>
      <c r="U122" s="2" t="s">
        <v>76</v>
      </c>
      <c r="V122" s="2" t="s">
        <v>71</v>
      </c>
      <c r="W122" s="2" t="s">
        <v>71</v>
      </c>
      <c r="X122" s="2" t="s">
        <v>71</v>
      </c>
      <c r="Y122" s="2" t="s">
        <v>71</v>
      </c>
      <c r="Z122" s="2" t="s">
        <v>71</v>
      </c>
      <c r="AA122" s="2" t="s">
        <v>71</v>
      </c>
      <c r="AB122" s="2" t="s">
        <v>71</v>
      </c>
      <c r="AC122" s="2" t="s">
        <v>71</v>
      </c>
      <c r="AD122" s="2" t="s">
        <v>71</v>
      </c>
      <c r="AE122" s="2" t="s">
        <v>71</v>
      </c>
      <c r="AF122" s="2" t="s">
        <v>76</v>
      </c>
      <c r="AG122" s="2" t="s">
        <v>76</v>
      </c>
      <c r="AH122" s="2" t="s">
        <v>80</v>
      </c>
      <c r="AI122" s="2">
        <v>2</v>
      </c>
    </row>
    <row r="123" spans="1:35" ht="32" x14ac:dyDescent="0.2">
      <c r="A123" s="2">
        <v>32734044</v>
      </c>
      <c r="B123" s="2">
        <f>VLOOKUP(A123,[1]TRATAMIENTI!$A:$B,2,FALSE)</f>
        <v>122</v>
      </c>
      <c r="C123" t="s">
        <v>322</v>
      </c>
      <c r="D123">
        <v>3023493434</v>
      </c>
      <c r="E123" t="s">
        <v>264</v>
      </c>
      <c r="F123" s="2" t="s">
        <v>68</v>
      </c>
      <c r="G123" s="2" t="str">
        <f t="shared" si="1"/>
        <v>ATLANTICO</v>
      </c>
      <c r="H123" s="2" t="s">
        <v>69</v>
      </c>
      <c r="I123" s="2" t="s">
        <v>70</v>
      </c>
      <c r="J123" s="2" t="s">
        <v>71</v>
      </c>
      <c r="K123" s="2" t="s">
        <v>71</v>
      </c>
      <c r="L123" s="2" t="s">
        <v>76</v>
      </c>
      <c r="M123" s="2" t="s">
        <v>76</v>
      </c>
      <c r="N123" s="2" t="s">
        <v>76</v>
      </c>
      <c r="O123" s="2" t="s">
        <v>76</v>
      </c>
      <c r="P123" s="2" t="s">
        <v>76</v>
      </c>
      <c r="Q123" s="2" t="s">
        <v>76</v>
      </c>
      <c r="R123" s="2" t="s">
        <v>71</v>
      </c>
      <c r="S123" s="2" t="s">
        <v>71</v>
      </c>
      <c r="T123" s="2" t="s">
        <v>76</v>
      </c>
      <c r="U123" s="2" t="s">
        <v>76</v>
      </c>
      <c r="V123" s="2" t="s">
        <v>71</v>
      </c>
      <c r="W123" s="2" t="s">
        <v>71</v>
      </c>
      <c r="X123" s="2" t="s">
        <v>71</v>
      </c>
      <c r="Y123" s="2" t="s">
        <v>71</v>
      </c>
      <c r="Z123" s="2" t="s">
        <v>71</v>
      </c>
      <c r="AA123" s="2" t="s">
        <v>71</v>
      </c>
      <c r="AB123" s="2" t="s">
        <v>71</v>
      </c>
      <c r="AC123" s="2" t="s">
        <v>71</v>
      </c>
      <c r="AD123" s="2" t="s">
        <v>71</v>
      </c>
      <c r="AE123" s="2" t="s">
        <v>71</v>
      </c>
      <c r="AF123" s="2" t="s">
        <v>72</v>
      </c>
      <c r="AG123" s="2" t="s">
        <v>72</v>
      </c>
      <c r="AH123" s="2" t="s">
        <v>80</v>
      </c>
      <c r="AI123" s="2">
        <v>2</v>
      </c>
    </row>
    <row r="124" spans="1:35" ht="32" x14ac:dyDescent="0.2">
      <c r="A124" s="2">
        <v>32736975</v>
      </c>
      <c r="B124" s="2">
        <f>VLOOKUP(A124,[1]TRATAMIENTI!$A:$B,2,FALSE)</f>
        <v>123</v>
      </c>
      <c r="F124" s="2" t="s">
        <v>68</v>
      </c>
      <c r="G124" s="2" t="str">
        <f t="shared" si="1"/>
        <v>ATLANTICO</v>
      </c>
      <c r="H124" s="2" t="s">
        <v>69</v>
      </c>
      <c r="I124" s="2" t="s">
        <v>70</v>
      </c>
      <c r="J124" s="2" t="s">
        <v>71</v>
      </c>
      <c r="K124" s="2" t="s">
        <v>72</v>
      </c>
      <c r="L124" s="2" t="s">
        <v>76</v>
      </c>
      <c r="M124" s="2" t="s">
        <v>76</v>
      </c>
      <c r="N124" s="2" t="s">
        <v>76</v>
      </c>
      <c r="O124" s="2" t="s">
        <v>76</v>
      </c>
      <c r="P124" s="2" t="s">
        <v>76</v>
      </c>
      <c r="Q124" s="2" t="s">
        <v>76</v>
      </c>
      <c r="R124" s="2" t="s">
        <v>71</v>
      </c>
      <c r="S124" s="2" t="s">
        <v>71</v>
      </c>
      <c r="T124" s="2" t="s">
        <v>76</v>
      </c>
      <c r="U124" s="2" t="s">
        <v>76</v>
      </c>
      <c r="V124" s="2" t="s">
        <v>71</v>
      </c>
      <c r="W124" s="2" t="s">
        <v>71</v>
      </c>
      <c r="X124" s="2" t="s">
        <v>71</v>
      </c>
      <c r="Y124" s="2" t="s">
        <v>71</v>
      </c>
      <c r="Z124" s="2" t="s">
        <v>71</v>
      </c>
      <c r="AA124" s="2" t="s">
        <v>71</v>
      </c>
      <c r="AB124" s="2" t="s">
        <v>71</v>
      </c>
      <c r="AC124" s="2" t="s">
        <v>71</v>
      </c>
      <c r="AD124" s="2" t="s">
        <v>71</v>
      </c>
      <c r="AE124" s="2" t="s">
        <v>71</v>
      </c>
      <c r="AF124" s="2" t="s">
        <v>76</v>
      </c>
      <c r="AG124" s="2" t="s">
        <v>76</v>
      </c>
      <c r="AH124" s="2" t="s">
        <v>91</v>
      </c>
      <c r="AI124" s="2">
        <v>2</v>
      </c>
    </row>
    <row r="125" spans="1:35" ht="32" x14ac:dyDescent="0.2">
      <c r="A125" s="2">
        <v>32740221</v>
      </c>
      <c r="B125" s="2">
        <f>VLOOKUP(A125,[1]TRATAMIENTI!$A:$B,2,FALSE)</f>
        <v>124</v>
      </c>
      <c r="C125" t="s">
        <v>323</v>
      </c>
      <c r="D125" s="2">
        <v>0</v>
      </c>
      <c r="E125" s="2" t="s">
        <v>324</v>
      </c>
      <c r="F125" s="2" t="s">
        <v>68</v>
      </c>
      <c r="G125" s="2" t="str">
        <f t="shared" si="1"/>
        <v>ATLANTICO</v>
      </c>
      <c r="H125" s="2" t="s">
        <v>69</v>
      </c>
      <c r="I125" s="2" t="s">
        <v>70</v>
      </c>
      <c r="J125" s="2" t="s">
        <v>71</v>
      </c>
      <c r="K125" s="2" t="s">
        <v>71</v>
      </c>
      <c r="L125" s="2" t="s">
        <v>71</v>
      </c>
      <c r="M125" s="2" t="s">
        <v>71</v>
      </c>
      <c r="N125" s="2" t="s">
        <v>71</v>
      </c>
      <c r="O125" s="2" t="s">
        <v>76</v>
      </c>
      <c r="P125" s="2" t="s">
        <v>76</v>
      </c>
      <c r="Q125" s="2" t="s">
        <v>76</v>
      </c>
      <c r="R125" s="2" t="s">
        <v>71</v>
      </c>
      <c r="S125" s="2" t="s">
        <v>71</v>
      </c>
      <c r="T125" s="2" t="s">
        <v>76</v>
      </c>
      <c r="U125" s="2" t="s">
        <v>76</v>
      </c>
      <c r="V125" s="2" t="s">
        <v>71</v>
      </c>
      <c r="W125" s="2" t="s">
        <v>71</v>
      </c>
      <c r="X125" s="2" t="s">
        <v>71</v>
      </c>
      <c r="Y125" s="2" t="s">
        <v>71</v>
      </c>
      <c r="Z125" s="2" t="s">
        <v>71</v>
      </c>
      <c r="AA125" s="2" t="s">
        <v>71</v>
      </c>
      <c r="AB125" s="2" t="s">
        <v>71</v>
      </c>
      <c r="AC125" s="2" t="s">
        <v>71</v>
      </c>
      <c r="AD125" s="2" t="s">
        <v>71</v>
      </c>
      <c r="AE125" s="2" t="s">
        <v>71</v>
      </c>
      <c r="AF125" s="2" t="s">
        <v>76</v>
      </c>
      <c r="AG125" s="2" t="s">
        <v>76</v>
      </c>
      <c r="AH125" s="2" t="s">
        <v>179</v>
      </c>
      <c r="AI125" s="2">
        <v>3</v>
      </c>
    </row>
    <row r="126" spans="1:35" ht="32" x14ac:dyDescent="0.2">
      <c r="A126" s="2">
        <v>32740999</v>
      </c>
      <c r="B126" s="2">
        <f>VLOOKUP(A126,[1]TRATAMIENTI!$A:$B,2,FALSE)</f>
        <v>125</v>
      </c>
      <c r="C126" t="s">
        <v>325</v>
      </c>
      <c r="D126" t="s">
        <v>326</v>
      </c>
      <c r="E126" s="2" t="s">
        <v>327</v>
      </c>
      <c r="F126" s="2" t="s">
        <v>68</v>
      </c>
      <c r="G126" s="2" t="str">
        <f t="shared" si="1"/>
        <v>ATLANTICO</v>
      </c>
      <c r="H126" s="2" t="s">
        <v>69</v>
      </c>
      <c r="I126" s="2" t="s">
        <v>70</v>
      </c>
      <c r="J126" s="2" t="s">
        <v>71</v>
      </c>
      <c r="K126" s="2" t="s">
        <v>72</v>
      </c>
      <c r="L126" s="2" t="s">
        <v>71</v>
      </c>
      <c r="M126" s="2" t="s">
        <v>71</v>
      </c>
      <c r="N126" s="2" t="s">
        <v>71</v>
      </c>
      <c r="O126" s="2" t="s">
        <v>76</v>
      </c>
      <c r="P126" s="2" t="s">
        <v>76</v>
      </c>
      <c r="Q126" s="2" t="s">
        <v>76</v>
      </c>
      <c r="R126" s="2" t="s">
        <v>71</v>
      </c>
      <c r="S126" s="2" t="s">
        <v>71</v>
      </c>
      <c r="T126" s="2" t="s">
        <v>76</v>
      </c>
      <c r="U126" s="2" t="s">
        <v>76</v>
      </c>
      <c r="V126" s="2" t="s">
        <v>71</v>
      </c>
      <c r="W126" s="2" t="s">
        <v>71</v>
      </c>
      <c r="X126" s="2" t="s">
        <v>71</v>
      </c>
      <c r="Y126" s="2" t="s">
        <v>71</v>
      </c>
      <c r="Z126" s="2" t="s">
        <v>71</v>
      </c>
      <c r="AA126" s="2" t="s">
        <v>71</v>
      </c>
      <c r="AB126" s="2" t="s">
        <v>71</v>
      </c>
      <c r="AC126" s="2" t="s">
        <v>71</v>
      </c>
      <c r="AD126" s="2" t="s">
        <v>71</v>
      </c>
      <c r="AE126" s="2" t="s">
        <v>71</v>
      </c>
      <c r="AF126" s="2" t="s">
        <v>72</v>
      </c>
      <c r="AG126" s="2" t="s">
        <v>72</v>
      </c>
      <c r="AH126" s="2" t="s">
        <v>77</v>
      </c>
      <c r="AI126" s="2">
        <v>2</v>
      </c>
    </row>
    <row r="127" spans="1:35" ht="32" x14ac:dyDescent="0.2">
      <c r="A127" s="2">
        <v>32741994</v>
      </c>
      <c r="B127" s="2">
        <f>VLOOKUP(A127,[1]TRATAMIENTI!$A:$B,2,FALSE)</f>
        <v>126</v>
      </c>
      <c r="C127" t="s">
        <v>328</v>
      </c>
      <c r="D127">
        <v>3012528443</v>
      </c>
      <c r="E127" t="s">
        <v>329</v>
      </c>
      <c r="F127" s="2" t="s">
        <v>68</v>
      </c>
      <c r="G127" s="2" t="str">
        <f t="shared" si="1"/>
        <v>ATLANTICO</v>
      </c>
      <c r="H127" s="2" t="s">
        <v>69</v>
      </c>
      <c r="I127" s="2" t="s">
        <v>70</v>
      </c>
      <c r="J127" s="2" t="s">
        <v>76</v>
      </c>
      <c r="K127" s="2" t="s">
        <v>76</v>
      </c>
      <c r="L127" s="2" t="s">
        <v>71</v>
      </c>
      <c r="M127" s="2" t="s">
        <v>71</v>
      </c>
      <c r="N127" s="2" t="s">
        <v>71</v>
      </c>
      <c r="O127" s="2" t="s">
        <v>71</v>
      </c>
      <c r="P127" s="2" t="s">
        <v>76</v>
      </c>
      <c r="Q127" s="2" t="s">
        <v>71</v>
      </c>
      <c r="R127" s="2" t="s">
        <v>71</v>
      </c>
      <c r="S127" s="2" t="s">
        <v>71</v>
      </c>
      <c r="T127" s="2" t="s">
        <v>71</v>
      </c>
      <c r="U127" s="2" t="s">
        <v>76</v>
      </c>
      <c r="V127" s="2" t="s">
        <v>71</v>
      </c>
      <c r="W127" s="2" t="s">
        <v>71</v>
      </c>
      <c r="X127" s="2" t="s">
        <v>71</v>
      </c>
      <c r="Y127" s="2" t="s">
        <v>71</v>
      </c>
      <c r="Z127" s="2" t="s">
        <v>71</v>
      </c>
      <c r="AA127" s="2" t="s">
        <v>71</v>
      </c>
      <c r="AB127" s="2" t="s">
        <v>71</v>
      </c>
      <c r="AC127" s="2" t="s">
        <v>71</v>
      </c>
      <c r="AD127" s="2" t="s">
        <v>71</v>
      </c>
      <c r="AE127" s="2" t="s">
        <v>71</v>
      </c>
      <c r="AF127" s="2" t="s">
        <v>71</v>
      </c>
      <c r="AG127" s="2" t="s">
        <v>71</v>
      </c>
      <c r="AH127" s="2" t="s">
        <v>77</v>
      </c>
      <c r="AI127" s="2">
        <v>2</v>
      </c>
    </row>
    <row r="128" spans="1:35" ht="32" x14ac:dyDescent="0.2">
      <c r="A128" s="2">
        <v>32744428</v>
      </c>
      <c r="B128" s="2">
        <f>VLOOKUP(A128,[1]TRATAMIENTI!$A:$B,2,FALSE)</f>
        <v>127</v>
      </c>
      <c r="C128" t="s">
        <v>330</v>
      </c>
      <c r="D128" s="2">
        <v>0</v>
      </c>
      <c r="E128" s="2">
        <v>0</v>
      </c>
      <c r="F128" s="2" t="s">
        <v>68</v>
      </c>
      <c r="G128" s="2" t="str">
        <f t="shared" si="1"/>
        <v>ATLANTICO</v>
      </c>
      <c r="H128" s="2" t="s">
        <v>69</v>
      </c>
      <c r="I128" s="2" t="s">
        <v>70</v>
      </c>
      <c r="J128" s="2" t="s">
        <v>71</v>
      </c>
      <c r="K128" s="2" t="s">
        <v>76</v>
      </c>
      <c r="L128" s="2" t="s">
        <v>71</v>
      </c>
      <c r="M128" s="2" t="s">
        <v>76</v>
      </c>
      <c r="N128" s="2" t="s">
        <v>76</v>
      </c>
      <c r="O128" s="2" t="s">
        <v>71</v>
      </c>
      <c r="P128" s="2" t="s">
        <v>76</v>
      </c>
      <c r="Q128" s="2" t="s">
        <v>71</v>
      </c>
      <c r="R128" s="2" t="s">
        <v>71</v>
      </c>
      <c r="S128" s="2" t="s">
        <v>71</v>
      </c>
      <c r="T128" s="2" t="s">
        <v>76</v>
      </c>
      <c r="U128" s="2" t="s">
        <v>76</v>
      </c>
      <c r="V128" s="2" t="s">
        <v>71</v>
      </c>
      <c r="W128" s="2" t="s">
        <v>71</v>
      </c>
      <c r="X128" s="2" t="s">
        <v>71</v>
      </c>
      <c r="Y128" s="2" t="s">
        <v>71</v>
      </c>
      <c r="Z128" s="2" t="s">
        <v>71</v>
      </c>
      <c r="AA128" s="2" t="s">
        <v>71</v>
      </c>
      <c r="AB128" s="2" t="s">
        <v>71</v>
      </c>
      <c r="AC128" s="2" t="s">
        <v>71</v>
      </c>
      <c r="AD128" s="2" t="s">
        <v>71</v>
      </c>
      <c r="AE128" s="2" t="s">
        <v>71</v>
      </c>
      <c r="AF128" s="2" t="s">
        <v>76</v>
      </c>
      <c r="AG128" s="2" t="s">
        <v>76</v>
      </c>
      <c r="AH128" s="2" t="s">
        <v>91</v>
      </c>
      <c r="AI128" s="2">
        <v>2</v>
      </c>
    </row>
    <row r="129" spans="1:35" ht="16" x14ac:dyDescent="0.2">
      <c r="A129" s="2">
        <v>32752555</v>
      </c>
      <c r="B129" s="2">
        <f>VLOOKUP(A129,[1]TRATAMIENTI!$A:$B,2,FALSE)</f>
        <v>128</v>
      </c>
      <c r="C129" t="s">
        <v>331</v>
      </c>
      <c r="D129" s="2">
        <v>0</v>
      </c>
      <c r="E129" s="2" t="s">
        <v>332</v>
      </c>
      <c r="F129" s="2" t="s">
        <v>68</v>
      </c>
      <c r="G129" s="2" t="str">
        <f t="shared" si="1"/>
        <v>ATLANTICO</v>
      </c>
      <c r="H129" s="2" t="s">
        <v>69</v>
      </c>
      <c r="I129" s="2" t="s">
        <v>70</v>
      </c>
      <c r="AH129" s="2" t="s">
        <v>73</v>
      </c>
      <c r="AI129" s="2">
        <v>1</v>
      </c>
    </row>
    <row r="130" spans="1:35" ht="32" x14ac:dyDescent="0.2">
      <c r="A130" s="2">
        <v>32764598</v>
      </c>
      <c r="B130" s="2">
        <f>VLOOKUP(A130,[1]TRATAMIENTI!$A:$B,2,FALSE)</f>
        <v>129</v>
      </c>
      <c r="C130" t="s">
        <v>333</v>
      </c>
      <c r="D130" s="2">
        <v>0</v>
      </c>
      <c r="E130" s="2" t="s">
        <v>334</v>
      </c>
      <c r="F130" s="2" t="s">
        <v>68</v>
      </c>
      <c r="G130" s="2" t="str">
        <f t="shared" ref="G130:G193" si="2">IF(H130="CALI","VALLE DEL CAUCA",IF(H130="MEDELLIN","ANTIOQUIA",IF(H130="BARRANQUILLA","ATLANTICO","NO")))</f>
        <v>ATLANTICO</v>
      </c>
      <c r="H130" s="2" t="s">
        <v>69</v>
      </c>
      <c r="I130" s="2" t="s">
        <v>70</v>
      </c>
      <c r="J130" s="2" t="s">
        <v>71</v>
      </c>
      <c r="K130" s="2" t="s">
        <v>72</v>
      </c>
      <c r="L130" s="2" t="s">
        <v>71</v>
      </c>
      <c r="M130" s="2" t="s">
        <v>71</v>
      </c>
      <c r="N130" s="2" t="s">
        <v>71</v>
      </c>
      <c r="O130" s="2" t="s">
        <v>76</v>
      </c>
      <c r="P130" s="2" t="s">
        <v>76</v>
      </c>
      <c r="Q130" s="2" t="s">
        <v>76</v>
      </c>
      <c r="R130" s="2" t="s">
        <v>71</v>
      </c>
      <c r="S130" s="2" t="s">
        <v>71</v>
      </c>
      <c r="T130" s="2" t="s">
        <v>76</v>
      </c>
      <c r="U130" s="2" t="s">
        <v>76</v>
      </c>
      <c r="V130" s="2" t="s">
        <v>71</v>
      </c>
      <c r="W130" s="2" t="s">
        <v>71</v>
      </c>
      <c r="X130" s="2" t="s">
        <v>71</v>
      </c>
      <c r="Y130" s="2" t="s">
        <v>71</v>
      </c>
      <c r="Z130" s="2" t="s">
        <v>71</v>
      </c>
      <c r="AA130" s="2" t="s">
        <v>71</v>
      </c>
      <c r="AB130" s="2" t="s">
        <v>71</v>
      </c>
      <c r="AC130" s="2" t="s">
        <v>71</v>
      </c>
      <c r="AD130" s="2" t="s">
        <v>71</v>
      </c>
      <c r="AE130" s="2" t="s">
        <v>71</v>
      </c>
      <c r="AF130" s="2" t="s">
        <v>76</v>
      </c>
      <c r="AG130" s="2" t="s">
        <v>76</v>
      </c>
      <c r="AH130" s="2" t="s">
        <v>77</v>
      </c>
      <c r="AI130" s="2">
        <v>1</v>
      </c>
    </row>
    <row r="131" spans="1:35" ht="32" x14ac:dyDescent="0.2">
      <c r="A131" s="2">
        <v>32772911</v>
      </c>
      <c r="B131" s="2">
        <f>VLOOKUP(A131,[1]TRATAMIENTI!$A:$B,2,FALSE)</f>
        <v>130</v>
      </c>
      <c r="C131" t="s">
        <v>335</v>
      </c>
      <c r="D131">
        <v>3045478656</v>
      </c>
      <c r="E131" t="s">
        <v>336</v>
      </c>
      <c r="F131" s="2" t="s">
        <v>68</v>
      </c>
      <c r="G131" s="2" t="str">
        <f t="shared" si="2"/>
        <v>ATLANTICO</v>
      </c>
      <c r="H131" s="2" t="s">
        <v>69</v>
      </c>
      <c r="I131" s="2" t="s">
        <v>70</v>
      </c>
      <c r="J131" s="2" t="s">
        <v>71</v>
      </c>
      <c r="K131" s="2" t="s">
        <v>72</v>
      </c>
      <c r="L131" s="2" t="s">
        <v>71</v>
      </c>
      <c r="M131" s="2" t="s">
        <v>71</v>
      </c>
      <c r="N131" s="2" t="s">
        <v>71</v>
      </c>
      <c r="O131" s="2" t="s">
        <v>76</v>
      </c>
      <c r="P131" s="2" t="s">
        <v>76</v>
      </c>
      <c r="Q131" s="2" t="s">
        <v>76</v>
      </c>
      <c r="R131" s="2" t="s">
        <v>71</v>
      </c>
      <c r="S131" s="2" t="s">
        <v>71</v>
      </c>
      <c r="T131" s="2" t="s">
        <v>76</v>
      </c>
      <c r="U131" s="2" t="s">
        <v>76</v>
      </c>
      <c r="V131" s="2" t="s">
        <v>71</v>
      </c>
      <c r="W131" s="2" t="s">
        <v>71</v>
      </c>
      <c r="X131" s="2" t="s">
        <v>71</v>
      </c>
      <c r="Y131" s="2" t="s">
        <v>71</v>
      </c>
      <c r="Z131" s="2" t="s">
        <v>71</v>
      </c>
      <c r="AA131" s="2" t="s">
        <v>71</v>
      </c>
      <c r="AB131" s="2" t="s">
        <v>71</v>
      </c>
      <c r="AC131" s="2" t="s">
        <v>71</v>
      </c>
      <c r="AD131" s="2" t="s">
        <v>71</v>
      </c>
      <c r="AE131" s="2" t="s">
        <v>71</v>
      </c>
      <c r="AF131" s="2" t="s">
        <v>76</v>
      </c>
      <c r="AG131" s="2" t="s">
        <v>76</v>
      </c>
      <c r="AH131" s="2" t="s">
        <v>77</v>
      </c>
      <c r="AI131" s="2">
        <v>2</v>
      </c>
    </row>
    <row r="132" spans="1:35" ht="32" x14ac:dyDescent="0.2">
      <c r="A132" s="2">
        <v>32778590</v>
      </c>
      <c r="B132" s="2">
        <f>VLOOKUP(A132,[1]TRATAMIENTI!$A:$B,2,FALSE)</f>
        <v>131</v>
      </c>
      <c r="C132" t="s">
        <v>337</v>
      </c>
      <c r="D132">
        <v>3008877568</v>
      </c>
      <c r="E132" s="2" t="s">
        <v>338</v>
      </c>
      <c r="F132" s="2" t="s">
        <v>68</v>
      </c>
      <c r="G132" s="2" t="str">
        <f t="shared" si="2"/>
        <v>ATLANTICO</v>
      </c>
      <c r="H132" s="2" t="s">
        <v>69</v>
      </c>
      <c r="I132" s="2" t="s">
        <v>70</v>
      </c>
      <c r="J132" s="2" t="s">
        <v>71</v>
      </c>
      <c r="K132" s="2" t="s">
        <v>71</v>
      </c>
      <c r="L132" s="2" t="s">
        <v>76</v>
      </c>
      <c r="M132" s="2" t="s">
        <v>76</v>
      </c>
      <c r="N132" s="2" t="s">
        <v>72</v>
      </c>
      <c r="O132" s="2" t="s">
        <v>71</v>
      </c>
      <c r="P132" s="2" t="s">
        <v>71</v>
      </c>
      <c r="Q132" s="2" t="s">
        <v>71</v>
      </c>
      <c r="R132" s="2" t="s">
        <v>71</v>
      </c>
      <c r="S132" s="2" t="s">
        <v>71</v>
      </c>
      <c r="T132" s="2" t="s">
        <v>76</v>
      </c>
      <c r="U132" s="2" t="s">
        <v>76</v>
      </c>
      <c r="V132" s="2" t="s">
        <v>71</v>
      </c>
      <c r="W132" s="2" t="s">
        <v>71</v>
      </c>
      <c r="X132" s="2" t="s">
        <v>71</v>
      </c>
      <c r="Y132" s="2" t="s">
        <v>71</v>
      </c>
      <c r="Z132" s="2" t="s">
        <v>71</v>
      </c>
      <c r="AA132" s="2" t="s">
        <v>71</v>
      </c>
      <c r="AB132" s="2" t="s">
        <v>71</v>
      </c>
      <c r="AC132" s="2" t="s">
        <v>71</v>
      </c>
      <c r="AD132" s="2" t="s">
        <v>71</v>
      </c>
      <c r="AE132" s="2" t="s">
        <v>71</v>
      </c>
      <c r="AF132" s="2" t="s">
        <v>76</v>
      </c>
      <c r="AG132" s="2" t="s">
        <v>76</v>
      </c>
      <c r="AH132" s="2" t="s">
        <v>256</v>
      </c>
      <c r="AI132" s="2">
        <v>2</v>
      </c>
    </row>
    <row r="133" spans="1:35" ht="32" x14ac:dyDescent="0.2">
      <c r="A133" s="2">
        <v>32779874</v>
      </c>
      <c r="B133" s="2">
        <f>VLOOKUP(A133,[1]TRATAMIENTI!$A:$B,2,FALSE)</f>
        <v>132</v>
      </c>
      <c r="C133" t="s">
        <v>339</v>
      </c>
      <c r="D133" s="2">
        <v>0</v>
      </c>
      <c r="E133" t="s">
        <v>340</v>
      </c>
      <c r="F133" s="2" t="s">
        <v>68</v>
      </c>
      <c r="G133" s="2" t="str">
        <f t="shared" si="2"/>
        <v>ATLANTICO</v>
      </c>
      <c r="H133" s="2" t="s">
        <v>69</v>
      </c>
      <c r="I133" s="2" t="s">
        <v>70</v>
      </c>
      <c r="J133" s="2" t="s">
        <v>71</v>
      </c>
      <c r="K133" s="2" t="s">
        <v>76</v>
      </c>
      <c r="L133" s="2" t="s">
        <v>71</v>
      </c>
      <c r="M133" s="2" t="s">
        <v>71</v>
      </c>
      <c r="N133" s="2" t="s">
        <v>71</v>
      </c>
      <c r="O133" s="2" t="s">
        <v>76</v>
      </c>
      <c r="P133" s="2" t="s">
        <v>76</v>
      </c>
      <c r="Q133" s="2" t="s">
        <v>76</v>
      </c>
      <c r="R133" s="2" t="s">
        <v>71</v>
      </c>
      <c r="S133" s="2" t="s">
        <v>71</v>
      </c>
      <c r="T133" s="2" t="s">
        <v>76</v>
      </c>
      <c r="U133" s="2" t="s">
        <v>76</v>
      </c>
      <c r="V133" s="2" t="s">
        <v>71</v>
      </c>
      <c r="W133" s="2" t="s">
        <v>71</v>
      </c>
      <c r="X133" s="2" t="s">
        <v>71</v>
      </c>
      <c r="Y133" s="2" t="s">
        <v>71</v>
      </c>
      <c r="Z133" s="2" t="s">
        <v>71</v>
      </c>
      <c r="AA133" s="2" t="s">
        <v>71</v>
      </c>
      <c r="AB133" s="2" t="s">
        <v>71</v>
      </c>
      <c r="AC133" s="2" t="s">
        <v>71</v>
      </c>
      <c r="AD133" s="2" t="s">
        <v>71</v>
      </c>
      <c r="AE133" s="2" t="s">
        <v>71</v>
      </c>
      <c r="AF133" s="2" t="s">
        <v>76</v>
      </c>
      <c r="AG133" s="2" t="s">
        <v>76</v>
      </c>
      <c r="AH133" s="2" t="s">
        <v>77</v>
      </c>
      <c r="AI133" s="2">
        <v>2</v>
      </c>
    </row>
    <row r="134" spans="1:35" ht="32" x14ac:dyDescent="0.2">
      <c r="A134" s="2">
        <v>32783129</v>
      </c>
      <c r="B134" s="2">
        <f>VLOOKUP(A134,[1]TRATAMIENTI!$A:$B,2,FALSE)</f>
        <v>133</v>
      </c>
      <c r="C134" t="s">
        <v>341</v>
      </c>
      <c r="D134">
        <v>3022953937</v>
      </c>
      <c r="E134" t="s">
        <v>342</v>
      </c>
      <c r="F134" s="2" t="s">
        <v>68</v>
      </c>
      <c r="G134" s="2" t="str">
        <f t="shared" si="2"/>
        <v>ATLANTICO</v>
      </c>
      <c r="H134" s="2" t="s">
        <v>69</v>
      </c>
      <c r="I134" s="2" t="s">
        <v>70</v>
      </c>
      <c r="J134" s="2" t="s">
        <v>76</v>
      </c>
      <c r="K134" s="2" t="s">
        <v>76</v>
      </c>
      <c r="L134" s="2" t="s">
        <v>71</v>
      </c>
      <c r="M134" s="2" t="s">
        <v>71</v>
      </c>
      <c r="N134" s="2" t="s">
        <v>71</v>
      </c>
      <c r="O134" s="2" t="s">
        <v>71</v>
      </c>
      <c r="P134" s="2" t="s">
        <v>71</v>
      </c>
      <c r="Q134" s="2" t="s">
        <v>71</v>
      </c>
      <c r="R134" s="2" t="s">
        <v>71</v>
      </c>
      <c r="S134" s="2" t="s">
        <v>71</v>
      </c>
      <c r="T134" s="2" t="s">
        <v>71</v>
      </c>
      <c r="U134" s="2" t="s">
        <v>71</v>
      </c>
      <c r="V134" s="2" t="s">
        <v>71</v>
      </c>
      <c r="W134" s="2" t="s">
        <v>71</v>
      </c>
      <c r="X134" s="2" t="s">
        <v>71</v>
      </c>
      <c r="Y134" s="2" t="s">
        <v>71</v>
      </c>
      <c r="Z134" s="2" t="s">
        <v>71</v>
      </c>
      <c r="AA134" s="2" t="s">
        <v>71</v>
      </c>
      <c r="AB134" s="2" t="s">
        <v>71</v>
      </c>
      <c r="AC134" s="2" t="s">
        <v>71</v>
      </c>
      <c r="AD134" s="2" t="s">
        <v>71</v>
      </c>
      <c r="AE134" s="2" t="s">
        <v>71</v>
      </c>
      <c r="AF134" s="2" t="s">
        <v>71</v>
      </c>
      <c r="AG134" s="2" t="s">
        <v>71</v>
      </c>
      <c r="AH134" s="2" t="s">
        <v>73</v>
      </c>
      <c r="AI134" s="2">
        <v>2</v>
      </c>
    </row>
    <row r="135" spans="1:35" ht="32" x14ac:dyDescent="0.2">
      <c r="A135" s="2">
        <v>32783797</v>
      </c>
      <c r="B135" s="2">
        <f>VLOOKUP(A135,[1]TRATAMIENTI!$A:$B,2,FALSE)</f>
        <v>134</v>
      </c>
      <c r="C135" t="s">
        <v>343</v>
      </c>
      <c r="D135">
        <v>3043045595</v>
      </c>
      <c r="E135" s="2" t="s">
        <v>344</v>
      </c>
      <c r="F135" s="2" t="s">
        <v>68</v>
      </c>
      <c r="G135" s="2" t="str">
        <f t="shared" si="2"/>
        <v>ATLANTICO</v>
      </c>
      <c r="H135" s="2" t="s">
        <v>69</v>
      </c>
      <c r="I135" s="2" t="s">
        <v>70</v>
      </c>
      <c r="J135" s="2" t="s">
        <v>71</v>
      </c>
      <c r="K135" s="2" t="s">
        <v>76</v>
      </c>
      <c r="L135" s="2" t="s">
        <v>71</v>
      </c>
      <c r="M135" s="2" t="s">
        <v>71</v>
      </c>
      <c r="N135" s="2" t="s">
        <v>71</v>
      </c>
      <c r="O135" s="2" t="s">
        <v>76</v>
      </c>
      <c r="P135" s="2" t="s">
        <v>76</v>
      </c>
      <c r="Q135" s="2" t="s">
        <v>76</v>
      </c>
      <c r="R135" s="2" t="s">
        <v>71</v>
      </c>
      <c r="S135" s="2" t="s">
        <v>71</v>
      </c>
      <c r="T135" s="2" t="s">
        <v>76</v>
      </c>
      <c r="U135" s="2" t="s">
        <v>76</v>
      </c>
      <c r="V135" s="2" t="s">
        <v>71</v>
      </c>
      <c r="W135" s="2" t="s">
        <v>71</v>
      </c>
      <c r="X135" s="2" t="s">
        <v>71</v>
      </c>
      <c r="Y135" s="2" t="s">
        <v>71</v>
      </c>
      <c r="Z135" s="2" t="s">
        <v>71</v>
      </c>
      <c r="AA135" s="2" t="s">
        <v>71</v>
      </c>
      <c r="AB135" s="2" t="s">
        <v>71</v>
      </c>
      <c r="AC135" s="2" t="s">
        <v>71</v>
      </c>
      <c r="AD135" s="2" t="s">
        <v>71</v>
      </c>
      <c r="AE135" s="2" t="s">
        <v>71</v>
      </c>
      <c r="AF135" s="2" t="s">
        <v>76</v>
      </c>
      <c r="AG135" s="2" t="s">
        <v>76</v>
      </c>
      <c r="AH135" s="2" t="s">
        <v>77</v>
      </c>
      <c r="AI135" s="2">
        <v>2</v>
      </c>
    </row>
    <row r="136" spans="1:35" ht="32" x14ac:dyDescent="0.2">
      <c r="A136" s="2">
        <v>32785097</v>
      </c>
      <c r="B136" s="2">
        <f>VLOOKUP(A136,[1]TRATAMIENTI!$A:$B,2,FALSE)</f>
        <v>135</v>
      </c>
      <c r="C136" s="2" t="s">
        <v>345</v>
      </c>
      <c r="D136" s="2">
        <v>0</v>
      </c>
      <c r="E136" s="2">
        <v>0</v>
      </c>
      <c r="F136" s="2" t="s">
        <v>68</v>
      </c>
      <c r="G136" s="2" t="str">
        <f t="shared" si="2"/>
        <v>ATLANTICO</v>
      </c>
      <c r="H136" s="2" t="s">
        <v>69</v>
      </c>
      <c r="I136" s="2" t="s">
        <v>70</v>
      </c>
      <c r="J136" s="2" t="s">
        <v>71</v>
      </c>
      <c r="K136" s="2" t="s">
        <v>76</v>
      </c>
      <c r="L136" s="2" t="s">
        <v>71</v>
      </c>
      <c r="M136" s="2" t="s">
        <v>76</v>
      </c>
      <c r="N136" s="2" t="s">
        <v>76</v>
      </c>
      <c r="O136" s="2" t="s">
        <v>71</v>
      </c>
      <c r="P136" s="2" t="s">
        <v>71</v>
      </c>
      <c r="Q136" s="2" t="s">
        <v>71</v>
      </c>
      <c r="R136" s="2" t="s">
        <v>71</v>
      </c>
      <c r="S136" s="2" t="s">
        <v>71</v>
      </c>
      <c r="T136" s="2" t="s">
        <v>71</v>
      </c>
      <c r="U136" s="2" t="s">
        <v>76</v>
      </c>
      <c r="V136" s="2" t="s">
        <v>71</v>
      </c>
      <c r="W136" s="2" t="s">
        <v>71</v>
      </c>
      <c r="X136" s="2" t="s">
        <v>71</v>
      </c>
      <c r="Y136" s="2" t="s">
        <v>71</v>
      </c>
      <c r="Z136" s="2" t="s">
        <v>71</v>
      </c>
      <c r="AA136" s="2" t="s">
        <v>71</v>
      </c>
      <c r="AB136" s="2" t="s">
        <v>71</v>
      </c>
      <c r="AC136" s="2" t="s">
        <v>71</v>
      </c>
      <c r="AD136" s="2" t="s">
        <v>71</v>
      </c>
      <c r="AE136" s="2" t="s">
        <v>71</v>
      </c>
      <c r="AF136" s="2" t="s">
        <v>76</v>
      </c>
      <c r="AG136" s="2" t="s">
        <v>76</v>
      </c>
      <c r="AH136" s="2" t="s">
        <v>85</v>
      </c>
      <c r="AI136" s="2">
        <v>2</v>
      </c>
    </row>
    <row r="137" spans="1:35" ht="32" x14ac:dyDescent="0.2">
      <c r="A137" s="2">
        <v>32790051</v>
      </c>
      <c r="B137" s="2">
        <f>VLOOKUP(A137,[1]TRATAMIENTI!$A:$B,2,FALSE)</f>
        <v>136</v>
      </c>
      <c r="C137" t="s">
        <v>346</v>
      </c>
      <c r="D137">
        <v>3007037012</v>
      </c>
      <c r="E137" s="2" t="s">
        <v>347</v>
      </c>
      <c r="F137" s="2" t="s">
        <v>68</v>
      </c>
      <c r="G137" s="2" t="str">
        <f t="shared" si="2"/>
        <v>ATLANTICO</v>
      </c>
      <c r="H137" s="2" t="s">
        <v>69</v>
      </c>
      <c r="I137" s="2" t="s">
        <v>70</v>
      </c>
      <c r="J137" s="2" t="s">
        <v>76</v>
      </c>
      <c r="K137" s="2" t="s">
        <v>76</v>
      </c>
      <c r="L137" s="2" t="s">
        <v>76</v>
      </c>
      <c r="M137" s="2" t="s">
        <v>76</v>
      </c>
      <c r="N137" s="2" t="s">
        <v>76</v>
      </c>
      <c r="O137" s="2" t="s">
        <v>76</v>
      </c>
      <c r="P137" s="2" t="s">
        <v>76</v>
      </c>
      <c r="Q137" s="2" t="s">
        <v>76</v>
      </c>
      <c r="R137" s="2" t="s">
        <v>71</v>
      </c>
      <c r="S137" s="2" t="s">
        <v>71</v>
      </c>
      <c r="T137" s="2" t="s">
        <v>76</v>
      </c>
      <c r="U137" s="2" t="s">
        <v>76</v>
      </c>
      <c r="V137" s="2" t="s">
        <v>71</v>
      </c>
      <c r="W137" s="2" t="s">
        <v>71</v>
      </c>
      <c r="X137" s="2" t="s">
        <v>71</v>
      </c>
      <c r="Y137" s="2" t="s">
        <v>71</v>
      </c>
      <c r="Z137" s="2" t="s">
        <v>71</v>
      </c>
      <c r="AA137" s="2" t="s">
        <v>71</v>
      </c>
      <c r="AB137" s="2" t="s">
        <v>71</v>
      </c>
      <c r="AC137" s="2" t="s">
        <v>71</v>
      </c>
      <c r="AD137" s="2" t="s">
        <v>71</v>
      </c>
      <c r="AE137" s="2" t="s">
        <v>71</v>
      </c>
      <c r="AF137" s="2" t="s">
        <v>76</v>
      </c>
      <c r="AG137" s="2" t="s">
        <v>76</v>
      </c>
      <c r="AH137" s="2" t="s">
        <v>91</v>
      </c>
      <c r="AI137" s="2">
        <v>2</v>
      </c>
    </row>
    <row r="138" spans="1:35" ht="32" x14ac:dyDescent="0.2">
      <c r="A138" s="2">
        <v>32796944</v>
      </c>
      <c r="B138" s="2">
        <f>VLOOKUP(A138,[1]TRATAMIENTI!$A:$B,2,FALSE)</f>
        <v>137</v>
      </c>
      <c r="C138" t="s">
        <v>348</v>
      </c>
      <c r="D138" s="2">
        <v>3008249098</v>
      </c>
      <c r="E138" t="s">
        <v>349</v>
      </c>
      <c r="F138" s="2" t="s">
        <v>68</v>
      </c>
      <c r="G138" s="2" t="str">
        <f t="shared" si="2"/>
        <v>ATLANTICO</v>
      </c>
      <c r="H138" s="2" t="s">
        <v>69</v>
      </c>
      <c r="I138" s="2" t="s">
        <v>70</v>
      </c>
      <c r="J138" s="2" t="s">
        <v>76</v>
      </c>
      <c r="K138" s="2" t="s">
        <v>76</v>
      </c>
      <c r="L138" s="2" t="s">
        <v>71</v>
      </c>
      <c r="M138" s="2" t="s">
        <v>71</v>
      </c>
      <c r="O138" s="2" t="s">
        <v>71</v>
      </c>
      <c r="P138" s="2" t="s">
        <v>71</v>
      </c>
      <c r="Q138" s="2" t="s">
        <v>71</v>
      </c>
      <c r="R138" s="2" t="s">
        <v>71</v>
      </c>
      <c r="S138" s="2" t="s">
        <v>71</v>
      </c>
      <c r="T138" s="2" t="s">
        <v>71</v>
      </c>
      <c r="U138" s="2" t="s">
        <v>71</v>
      </c>
      <c r="V138" s="2" t="s">
        <v>71</v>
      </c>
      <c r="W138" s="2" t="s">
        <v>71</v>
      </c>
      <c r="X138" s="2" t="s">
        <v>71</v>
      </c>
      <c r="Y138" s="2" t="s">
        <v>71</v>
      </c>
      <c r="Z138" s="2" t="s">
        <v>71</v>
      </c>
      <c r="AA138" s="2" t="s">
        <v>71</v>
      </c>
      <c r="AB138" s="2" t="s">
        <v>71</v>
      </c>
      <c r="AC138" s="2" t="s">
        <v>71</v>
      </c>
      <c r="AD138" s="2" t="s">
        <v>71</v>
      </c>
      <c r="AE138" s="2" t="s">
        <v>71</v>
      </c>
      <c r="AF138" s="2" t="s">
        <v>71</v>
      </c>
      <c r="AG138" s="2" t="s">
        <v>71</v>
      </c>
      <c r="AH138" s="2" t="s">
        <v>73</v>
      </c>
      <c r="AI138" s="2">
        <v>2</v>
      </c>
    </row>
    <row r="139" spans="1:35" ht="32" x14ac:dyDescent="0.2">
      <c r="A139" s="2">
        <v>32797627</v>
      </c>
      <c r="B139" s="2">
        <f>VLOOKUP(A139,[1]TRATAMIENTI!$A:$B,2,FALSE)</f>
        <v>138</v>
      </c>
      <c r="C139" t="s">
        <v>350</v>
      </c>
      <c r="D139">
        <v>3246530407</v>
      </c>
      <c r="E139" t="s">
        <v>351</v>
      </c>
      <c r="F139" s="2" t="s">
        <v>68</v>
      </c>
      <c r="G139" s="2" t="str">
        <f t="shared" si="2"/>
        <v>ATLANTICO</v>
      </c>
      <c r="H139" s="2" t="s">
        <v>69</v>
      </c>
      <c r="I139" s="2" t="s">
        <v>70</v>
      </c>
      <c r="J139" s="2" t="s">
        <v>71</v>
      </c>
      <c r="K139" s="2" t="s">
        <v>76</v>
      </c>
      <c r="L139" s="2" t="s">
        <v>71</v>
      </c>
      <c r="M139" s="2" t="s">
        <v>71</v>
      </c>
      <c r="N139" s="2" t="s">
        <v>71</v>
      </c>
      <c r="O139" s="2" t="s">
        <v>76</v>
      </c>
      <c r="P139" s="2" t="s">
        <v>76</v>
      </c>
      <c r="Q139" s="2" t="s">
        <v>76</v>
      </c>
      <c r="R139" s="2" t="s">
        <v>71</v>
      </c>
      <c r="S139" s="2" t="s">
        <v>71</v>
      </c>
      <c r="T139" s="2" t="s">
        <v>76</v>
      </c>
      <c r="U139" s="2" t="s">
        <v>76</v>
      </c>
      <c r="V139" s="2" t="s">
        <v>71</v>
      </c>
      <c r="W139" s="2" t="s">
        <v>71</v>
      </c>
      <c r="X139" s="2" t="s">
        <v>71</v>
      </c>
      <c r="Y139" s="2" t="s">
        <v>71</v>
      </c>
      <c r="Z139" s="2" t="s">
        <v>71</v>
      </c>
      <c r="AA139" s="2" t="s">
        <v>71</v>
      </c>
      <c r="AB139" s="2" t="s">
        <v>71</v>
      </c>
      <c r="AC139" s="2" t="s">
        <v>71</v>
      </c>
      <c r="AD139" s="2" t="s">
        <v>71</v>
      </c>
      <c r="AE139" s="2" t="s">
        <v>71</v>
      </c>
      <c r="AF139" s="2" t="s">
        <v>76</v>
      </c>
      <c r="AG139" s="2" t="s">
        <v>76</v>
      </c>
      <c r="AH139" s="2" t="s">
        <v>77</v>
      </c>
      <c r="AI139" s="2">
        <v>2</v>
      </c>
    </row>
    <row r="140" spans="1:35" ht="32" x14ac:dyDescent="0.2">
      <c r="A140" s="2">
        <v>32800662</v>
      </c>
      <c r="B140" s="2">
        <f>VLOOKUP(A140,[1]TRATAMIENTI!$A:$B,2,FALSE)</f>
        <v>139</v>
      </c>
      <c r="C140" t="s">
        <v>352</v>
      </c>
      <c r="D140" s="2">
        <v>0</v>
      </c>
      <c r="E140" s="2">
        <v>0</v>
      </c>
      <c r="F140" s="2" t="s">
        <v>68</v>
      </c>
      <c r="G140" s="2" t="str">
        <f t="shared" si="2"/>
        <v>ATLANTICO</v>
      </c>
      <c r="H140" s="2" t="s">
        <v>69</v>
      </c>
      <c r="I140" s="2" t="s">
        <v>70</v>
      </c>
      <c r="J140" s="2" t="s">
        <v>71</v>
      </c>
      <c r="K140" s="2" t="s">
        <v>72</v>
      </c>
      <c r="L140" s="2" t="s">
        <v>71</v>
      </c>
      <c r="M140" s="2" t="s">
        <v>71</v>
      </c>
      <c r="N140" s="2" t="s">
        <v>71</v>
      </c>
      <c r="O140" s="2" t="s">
        <v>76</v>
      </c>
      <c r="P140" s="2" t="s">
        <v>76</v>
      </c>
      <c r="Q140" s="2" t="s">
        <v>76</v>
      </c>
      <c r="R140" s="2" t="s">
        <v>71</v>
      </c>
      <c r="S140" s="2" t="s">
        <v>71</v>
      </c>
      <c r="T140" s="2" t="s">
        <v>76</v>
      </c>
      <c r="U140" s="2" t="s">
        <v>76</v>
      </c>
      <c r="V140" s="2" t="s">
        <v>71</v>
      </c>
      <c r="W140" s="2" t="s">
        <v>71</v>
      </c>
      <c r="X140" s="2" t="s">
        <v>71</v>
      </c>
      <c r="Y140" s="2" t="s">
        <v>71</v>
      </c>
      <c r="Z140" s="2" t="s">
        <v>71</v>
      </c>
      <c r="AA140" s="2" t="s">
        <v>71</v>
      </c>
      <c r="AB140" s="2" t="s">
        <v>71</v>
      </c>
      <c r="AC140" s="2" t="s">
        <v>71</v>
      </c>
      <c r="AD140" s="2" t="s">
        <v>71</v>
      </c>
      <c r="AE140" s="2" t="s">
        <v>71</v>
      </c>
      <c r="AF140" s="2" t="s">
        <v>76</v>
      </c>
      <c r="AG140" s="2" t="s">
        <v>76</v>
      </c>
      <c r="AH140" s="2" t="s">
        <v>77</v>
      </c>
      <c r="AI140" s="2">
        <v>2</v>
      </c>
    </row>
    <row r="141" spans="1:35" ht="32" x14ac:dyDescent="0.2">
      <c r="A141" s="2">
        <v>32802610</v>
      </c>
      <c r="B141" s="2">
        <f>VLOOKUP(A141,[1]TRATAMIENTI!$A:$B,2,FALSE)</f>
        <v>140</v>
      </c>
      <c r="C141" t="s">
        <v>353</v>
      </c>
      <c r="D141" s="2">
        <v>0</v>
      </c>
      <c r="E141" s="2" t="s">
        <v>354</v>
      </c>
      <c r="F141" s="2" t="s">
        <v>68</v>
      </c>
      <c r="G141" s="2" t="str">
        <f t="shared" si="2"/>
        <v>ATLANTICO</v>
      </c>
      <c r="H141" s="2" t="s">
        <v>69</v>
      </c>
      <c r="I141" s="2" t="s">
        <v>70</v>
      </c>
      <c r="J141" s="2" t="s">
        <v>71</v>
      </c>
      <c r="K141" s="2" t="s">
        <v>76</v>
      </c>
      <c r="L141" s="2" t="s">
        <v>71</v>
      </c>
      <c r="M141" s="2" t="s">
        <v>76</v>
      </c>
      <c r="N141" s="2" t="s">
        <v>72</v>
      </c>
      <c r="O141" s="2" t="s">
        <v>76</v>
      </c>
      <c r="P141" s="2" t="s">
        <v>76</v>
      </c>
      <c r="Q141" s="2" t="s">
        <v>76</v>
      </c>
      <c r="R141" s="2" t="s">
        <v>71</v>
      </c>
      <c r="S141" s="2" t="s">
        <v>71</v>
      </c>
      <c r="T141" s="2" t="s">
        <v>76</v>
      </c>
      <c r="U141" s="2" t="s">
        <v>76</v>
      </c>
      <c r="V141" s="2" t="s">
        <v>71</v>
      </c>
      <c r="W141" s="2" t="s">
        <v>71</v>
      </c>
      <c r="X141" s="2" t="s">
        <v>71</v>
      </c>
      <c r="Y141" s="2" t="s">
        <v>71</v>
      </c>
      <c r="Z141" s="2" t="s">
        <v>71</v>
      </c>
      <c r="AA141" s="2" t="s">
        <v>71</v>
      </c>
      <c r="AB141" s="2" t="s">
        <v>71</v>
      </c>
      <c r="AC141" s="2" t="s">
        <v>71</v>
      </c>
      <c r="AD141" s="2" t="s">
        <v>71</v>
      </c>
      <c r="AE141" s="2" t="s">
        <v>71</v>
      </c>
      <c r="AF141" s="2" t="s">
        <v>76</v>
      </c>
      <c r="AG141" s="2" t="s">
        <v>76</v>
      </c>
      <c r="AH141" s="2" t="s">
        <v>91</v>
      </c>
      <c r="AI141" s="2">
        <v>2</v>
      </c>
    </row>
    <row r="142" spans="1:35" ht="32" x14ac:dyDescent="0.2">
      <c r="A142" s="2">
        <v>32803448</v>
      </c>
      <c r="B142" s="2">
        <f>VLOOKUP(A142,[1]TRATAMIENTI!$A:$B,2,FALSE)</f>
        <v>141</v>
      </c>
      <c r="C142" t="s">
        <v>355</v>
      </c>
      <c r="D142" s="2">
        <v>0</v>
      </c>
      <c r="E142" t="s">
        <v>356</v>
      </c>
      <c r="F142" s="2" t="s">
        <v>68</v>
      </c>
      <c r="G142" s="2" t="str">
        <f t="shared" si="2"/>
        <v>ATLANTICO</v>
      </c>
      <c r="H142" s="2" t="s">
        <v>69</v>
      </c>
      <c r="I142" s="2" t="s">
        <v>70</v>
      </c>
      <c r="J142" s="2" t="s">
        <v>71</v>
      </c>
      <c r="K142" s="2" t="s">
        <v>71</v>
      </c>
      <c r="L142" s="2" t="s">
        <v>71</v>
      </c>
      <c r="M142" s="2" t="s">
        <v>71</v>
      </c>
      <c r="N142" s="2" t="s">
        <v>71</v>
      </c>
      <c r="O142" s="2" t="s">
        <v>76</v>
      </c>
      <c r="P142" s="2" t="s">
        <v>76</v>
      </c>
      <c r="Q142" s="2" t="s">
        <v>76</v>
      </c>
      <c r="R142" s="2" t="s">
        <v>71</v>
      </c>
      <c r="S142" s="2" t="s">
        <v>71</v>
      </c>
      <c r="T142" s="2" t="s">
        <v>76</v>
      </c>
      <c r="U142" s="2" t="s">
        <v>76</v>
      </c>
      <c r="V142" s="2" t="s">
        <v>71</v>
      </c>
      <c r="W142" s="2" t="s">
        <v>71</v>
      </c>
      <c r="X142" s="2" t="s">
        <v>71</v>
      </c>
      <c r="Y142" s="2" t="s">
        <v>71</v>
      </c>
      <c r="Z142" s="2" t="s">
        <v>71</v>
      </c>
      <c r="AA142" s="2" t="s">
        <v>71</v>
      </c>
      <c r="AB142" s="2" t="s">
        <v>71</v>
      </c>
      <c r="AC142" s="2" t="s">
        <v>71</v>
      </c>
      <c r="AD142" s="2" t="s">
        <v>71</v>
      </c>
      <c r="AE142" s="2" t="s">
        <v>71</v>
      </c>
      <c r="AF142" s="2" t="s">
        <v>76</v>
      </c>
      <c r="AG142" s="2" t="s">
        <v>76</v>
      </c>
      <c r="AH142" s="2" t="s">
        <v>179</v>
      </c>
      <c r="AI142" s="2">
        <v>3</v>
      </c>
    </row>
    <row r="143" spans="1:35" ht="32" x14ac:dyDescent="0.2">
      <c r="A143" s="2">
        <v>32803484</v>
      </c>
      <c r="B143" s="2">
        <f>VLOOKUP(A143,[1]TRATAMIENTI!$A:$B,2,FALSE)</f>
        <v>142</v>
      </c>
      <c r="C143" t="s">
        <v>357</v>
      </c>
      <c r="D143">
        <v>3042107244</v>
      </c>
      <c r="E143" t="s">
        <v>358</v>
      </c>
      <c r="F143" s="2" t="s">
        <v>68</v>
      </c>
      <c r="G143" s="2" t="str">
        <f t="shared" si="2"/>
        <v>ATLANTICO</v>
      </c>
      <c r="H143" s="2" t="s">
        <v>69</v>
      </c>
      <c r="I143" s="2" t="s">
        <v>70</v>
      </c>
      <c r="J143" s="2" t="s">
        <v>71</v>
      </c>
      <c r="K143" s="2" t="s">
        <v>76</v>
      </c>
      <c r="L143" s="2" t="s">
        <v>71</v>
      </c>
      <c r="M143" s="2" t="s">
        <v>76</v>
      </c>
      <c r="N143" s="2" t="s">
        <v>76</v>
      </c>
      <c r="O143" s="2" t="s">
        <v>76</v>
      </c>
      <c r="P143" s="2" t="s">
        <v>71</v>
      </c>
      <c r="Q143" s="2" t="s">
        <v>76</v>
      </c>
      <c r="R143" s="2" t="s">
        <v>71</v>
      </c>
      <c r="S143" s="2" t="s">
        <v>71</v>
      </c>
      <c r="T143" s="2" t="s">
        <v>76</v>
      </c>
      <c r="U143" s="2" t="s">
        <v>76</v>
      </c>
      <c r="V143" s="2" t="s">
        <v>71</v>
      </c>
      <c r="W143" s="2" t="s">
        <v>71</v>
      </c>
      <c r="X143" s="2" t="s">
        <v>71</v>
      </c>
      <c r="Y143" s="2" t="s">
        <v>71</v>
      </c>
      <c r="Z143" s="2" t="s">
        <v>71</v>
      </c>
      <c r="AA143" s="2" t="s">
        <v>71</v>
      </c>
      <c r="AB143" s="2" t="s">
        <v>71</v>
      </c>
      <c r="AC143" s="2" t="s">
        <v>71</v>
      </c>
      <c r="AD143" s="2" t="s">
        <v>71</v>
      </c>
      <c r="AE143" s="2" t="s">
        <v>71</v>
      </c>
      <c r="AF143" s="2" t="s">
        <v>76</v>
      </c>
      <c r="AG143" s="2" t="s">
        <v>76</v>
      </c>
      <c r="AH143" s="2" t="s">
        <v>91</v>
      </c>
      <c r="AI143" s="2">
        <v>2</v>
      </c>
    </row>
    <row r="144" spans="1:35" ht="32" x14ac:dyDescent="0.2">
      <c r="A144" s="2">
        <v>32810131</v>
      </c>
      <c r="B144" s="2">
        <f>VLOOKUP(A144,[1]TRATAMIENTI!$A:$B,2,FALSE)</f>
        <v>143</v>
      </c>
      <c r="C144" t="s">
        <v>359</v>
      </c>
      <c r="D144" s="2">
        <v>0</v>
      </c>
      <c r="E144" t="s">
        <v>360</v>
      </c>
      <c r="F144" s="2" t="s">
        <v>68</v>
      </c>
      <c r="G144" s="2" t="str">
        <f t="shared" si="2"/>
        <v>ATLANTICO</v>
      </c>
      <c r="H144" s="2" t="s">
        <v>69</v>
      </c>
      <c r="I144" s="2" t="s">
        <v>70</v>
      </c>
      <c r="J144" s="2" t="s">
        <v>71</v>
      </c>
      <c r="K144" s="2" t="s">
        <v>76</v>
      </c>
      <c r="L144" s="2" t="s">
        <v>71</v>
      </c>
      <c r="M144" s="2" t="s">
        <v>71</v>
      </c>
      <c r="N144" s="2" t="s">
        <v>71</v>
      </c>
      <c r="O144" s="2" t="s">
        <v>76</v>
      </c>
      <c r="P144" s="2" t="s">
        <v>76</v>
      </c>
      <c r="Q144" s="2" t="s">
        <v>76</v>
      </c>
      <c r="R144" s="2" t="s">
        <v>71</v>
      </c>
      <c r="S144" s="2" t="s">
        <v>71</v>
      </c>
      <c r="T144" s="2" t="s">
        <v>76</v>
      </c>
      <c r="U144" s="2" t="s">
        <v>76</v>
      </c>
      <c r="V144" s="2" t="s">
        <v>71</v>
      </c>
      <c r="W144" s="2" t="s">
        <v>71</v>
      </c>
      <c r="X144" s="2" t="s">
        <v>71</v>
      </c>
      <c r="Y144" s="2" t="s">
        <v>71</v>
      </c>
      <c r="Z144" s="2" t="s">
        <v>71</v>
      </c>
      <c r="AA144" s="2" t="s">
        <v>71</v>
      </c>
      <c r="AB144" s="2" t="s">
        <v>71</v>
      </c>
      <c r="AC144" s="2" t="s">
        <v>71</v>
      </c>
      <c r="AD144" s="2" t="s">
        <v>71</v>
      </c>
      <c r="AE144" s="2" t="s">
        <v>71</v>
      </c>
      <c r="AF144" s="2" t="s">
        <v>76</v>
      </c>
      <c r="AG144" s="2" t="s">
        <v>76</v>
      </c>
      <c r="AH144" s="2" t="s">
        <v>77</v>
      </c>
      <c r="AI144" s="2">
        <v>1</v>
      </c>
    </row>
    <row r="145" spans="1:35" ht="32" x14ac:dyDescent="0.2">
      <c r="A145" s="2">
        <v>32812129</v>
      </c>
      <c r="B145" s="2">
        <f>VLOOKUP(A145,[1]TRATAMIENTI!$A:$B,2,FALSE)</f>
        <v>144</v>
      </c>
      <c r="C145" t="s">
        <v>361</v>
      </c>
      <c r="D145" s="2">
        <v>0</v>
      </c>
      <c r="E145" t="s">
        <v>362</v>
      </c>
      <c r="F145" s="2" t="s">
        <v>68</v>
      </c>
      <c r="G145" s="2" t="str">
        <f t="shared" si="2"/>
        <v>ATLANTICO</v>
      </c>
      <c r="H145" s="2" t="s">
        <v>69</v>
      </c>
      <c r="I145" s="2" t="s">
        <v>70</v>
      </c>
      <c r="J145" s="2" t="s">
        <v>71</v>
      </c>
      <c r="K145" s="2" t="s">
        <v>76</v>
      </c>
      <c r="L145" s="2" t="s">
        <v>71</v>
      </c>
      <c r="M145" s="2" t="s">
        <v>71</v>
      </c>
      <c r="N145" s="2" t="s">
        <v>71</v>
      </c>
      <c r="O145" s="2" t="s">
        <v>76</v>
      </c>
      <c r="P145" s="2" t="s">
        <v>76</v>
      </c>
      <c r="Q145" s="2" t="s">
        <v>76</v>
      </c>
      <c r="R145" s="2" t="s">
        <v>71</v>
      </c>
      <c r="S145" s="2" t="s">
        <v>71</v>
      </c>
      <c r="T145" s="2" t="s">
        <v>76</v>
      </c>
      <c r="U145" s="2" t="s">
        <v>76</v>
      </c>
      <c r="V145" s="2" t="s">
        <v>71</v>
      </c>
      <c r="W145" s="2" t="s">
        <v>71</v>
      </c>
      <c r="X145" s="2" t="s">
        <v>71</v>
      </c>
      <c r="Y145" s="2" t="s">
        <v>71</v>
      </c>
      <c r="Z145" s="2" t="s">
        <v>71</v>
      </c>
      <c r="AA145" s="2" t="s">
        <v>71</v>
      </c>
      <c r="AB145" s="2" t="s">
        <v>71</v>
      </c>
      <c r="AC145" s="2" t="s">
        <v>71</v>
      </c>
      <c r="AD145" s="2" t="s">
        <v>71</v>
      </c>
      <c r="AE145" s="2" t="s">
        <v>71</v>
      </c>
      <c r="AF145" s="2" t="s">
        <v>76</v>
      </c>
      <c r="AG145" s="2" t="s">
        <v>76</v>
      </c>
      <c r="AH145" s="2" t="s">
        <v>77</v>
      </c>
      <c r="AI145" s="2">
        <v>2</v>
      </c>
    </row>
    <row r="146" spans="1:35" ht="32" x14ac:dyDescent="0.2">
      <c r="A146" s="2">
        <v>32812890</v>
      </c>
      <c r="B146" s="2">
        <f>VLOOKUP(A146,[1]TRATAMIENTI!$A:$B,2,FALSE)</f>
        <v>145</v>
      </c>
      <c r="C146" t="s">
        <v>363</v>
      </c>
      <c r="D146">
        <v>3162794624</v>
      </c>
      <c r="E146" s="2" t="s">
        <v>364</v>
      </c>
      <c r="F146" s="2" t="s">
        <v>68</v>
      </c>
      <c r="G146" s="2" t="str">
        <f t="shared" si="2"/>
        <v>ATLANTICO</v>
      </c>
      <c r="H146" s="2" t="s">
        <v>69</v>
      </c>
      <c r="I146" s="2" t="s">
        <v>70</v>
      </c>
      <c r="J146" s="2" t="s">
        <v>71</v>
      </c>
      <c r="K146" s="2" t="s">
        <v>71</v>
      </c>
      <c r="L146" s="2" t="s">
        <v>76</v>
      </c>
      <c r="M146" s="2" t="s">
        <v>76</v>
      </c>
      <c r="N146" s="2" t="s">
        <v>72</v>
      </c>
      <c r="O146" s="2" t="s">
        <v>76</v>
      </c>
      <c r="P146" s="2" t="s">
        <v>76</v>
      </c>
      <c r="Q146" s="2" t="s">
        <v>76</v>
      </c>
      <c r="R146" s="2" t="s">
        <v>71</v>
      </c>
      <c r="S146" s="2" t="s">
        <v>71</v>
      </c>
      <c r="T146" s="2" t="s">
        <v>76</v>
      </c>
      <c r="U146" s="2" t="s">
        <v>76</v>
      </c>
      <c r="V146" s="2" t="s">
        <v>71</v>
      </c>
      <c r="W146" s="2" t="s">
        <v>71</v>
      </c>
      <c r="X146" s="2" t="s">
        <v>71</v>
      </c>
      <c r="Y146" s="2" t="s">
        <v>71</v>
      </c>
      <c r="Z146" s="2" t="s">
        <v>71</v>
      </c>
      <c r="AA146" s="2" t="s">
        <v>71</v>
      </c>
      <c r="AB146" s="2" t="s">
        <v>71</v>
      </c>
      <c r="AC146" s="2" t="s">
        <v>71</v>
      </c>
      <c r="AD146" s="2" t="s">
        <v>71</v>
      </c>
      <c r="AE146" s="2" t="s">
        <v>71</v>
      </c>
      <c r="AF146" s="2" t="s">
        <v>76</v>
      </c>
      <c r="AG146" s="2" t="s">
        <v>76</v>
      </c>
      <c r="AH146" s="2" t="s">
        <v>80</v>
      </c>
      <c r="AI146" s="2">
        <v>1</v>
      </c>
    </row>
    <row r="147" spans="1:35" ht="32" x14ac:dyDescent="0.2">
      <c r="A147" s="2">
        <v>32840396</v>
      </c>
      <c r="B147" s="2">
        <f>VLOOKUP(A147,[1]TRATAMIENTI!$A:$B,2,FALSE)</f>
        <v>146</v>
      </c>
      <c r="C147" t="s">
        <v>365</v>
      </c>
      <c r="D147">
        <v>3027293679</v>
      </c>
      <c r="E147" s="2" t="s">
        <v>366</v>
      </c>
      <c r="F147" s="2" t="s">
        <v>68</v>
      </c>
      <c r="G147" s="2" t="str">
        <f t="shared" si="2"/>
        <v>ATLANTICO</v>
      </c>
      <c r="H147" s="2" t="s">
        <v>69</v>
      </c>
      <c r="I147" s="2" t="s">
        <v>70</v>
      </c>
      <c r="J147" s="2" t="s">
        <v>71</v>
      </c>
      <c r="K147" s="2" t="s">
        <v>71</v>
      </c>
      <c r="L147" s="2" t="s">
        <v>71</v>
      </c>
      <c r="M147" s="2" t="s">
        <v>76</v>
      </c>
      <c r="N147" s="2" t="s">
        <v>72</v>
      </c>
      <c r="O147" s="2" t="s">
        <v>76</v>
      </c>
      <c r="P147" s="2" t="s">
        <v>76</v>
      </c>
      <c r="Q147" s="2" t="s">
        <v>76</v>
      </c>
      <c r="R147" s="2" t="s">
        <v>71</v>
      </c>
      <c r="S147" s="2" t="s">
        <v>71</v>
      </c>
      <c r="T147" s="2" t="s">
        <v>76</v>
      </c>
      <c r="U147" s="2" t="s">
        <v>76</v>
      </c>
      <c r="V147" s="2" t="s">
        <v>71</v>
      </c>
      <c r="W147" s="2" t="s">
        <v>71</v>
      </c>
      <c r="X147" s="2" t="s">
        <v>71</v>
      </c>
      <c r="Y147" s="2" t="s">
        <v>71</v>
      </c>
      <c r="Z147" s="2" t="s">
        <v>71</v>
      </c>
      <c r="AA147" s="2" t="s">
        <v>71</v>
      </c>
      <c r="AB147" s="2" t="s">
        <v>71</v>
      </c>
      <c r="AC147" s="2" t="s">
        <v>71</v>
      </c>
      <c r="AD147" s="2" t="s">
        <v>71</v>
      </c>
      <c r="AE147" s="2" t="s">
        <v>71</v>
      </c>
      <c r="AF147" s="2" t="s">
        <v>76</v>
      </c>
      <c r="AG147" s="2" t="s">
        <v>76</v>
      </c>
      <c r="AH147" s="2" t="s">
        <v>80</v>
      </c>
      <c r="AI147" s="2">
        <v>1</v>
      </c>
    </row>
    <row r="148" spans="1:35" ht="32" x14ac:dyDescent="0.2">
      <c r="A148" s="2">
        <v>32843980</v>
      </c>
      <c r="B148" s="2">
        <f>VLOOKUP(A148,[1]TRATAMIENTI!$A:$B,2,FALSE)</f>
        <v>147</v>
      </c>
      <c r="C148" t="s">
        <v>367</v>
      </c>
      <c r="D148" s="2">
        <v>0</v>
      </c>
      <c r="E148" s="2" t="s">
        <v>368</v>
      </c>
      <c r="F148" s="2" t="s">
        <v>68</v>
      </c>
      <c r="G148" s="2" t="str">
        <f t="shared" si="2"/>
        <v>ATLANTICO</v>
      </c>
      <c r="H148" s="2" t="s">
        <v>69</v>
      </c>
      <c r="I148" s="2" t="s">
        <v>70</v>
      </c>
      <c r="J148" s="2" t="s">
        <v>71</v>
      </c>
      <c r="K148" s="2" t="s">
        <v>76</v>
      </c>
      <c r="L148" s="2" t="s">
        <v>76</v>
      </c>
      <c r="M148" s="2" t="s">
        <v>76</v>
      </c>
      <c r="N148" s="2" t="s">
        <v>76</v>
      </c>
      <c r="O148" s="2" t="s">
        <v>71</v>
      </c>
      <c r="P148" s="2" t="s">
        <v>71</v>
      </c>
      <c r="Q148" s="2" t="s">
        <v>71</v>
      </c>
      <c r="R148" s="2" t="s">
        <v>71</v>
      </c>
      <c r="S148" s="2" t="s">
        <v>71</v>
      </c>
      <c r="T148" s="2" t="s">
        <v>76</v>
      </c>
      <c r="U148" s="2" t="s">
        <v>76</v>
      </c>
      <c r="V148" s="2" t="s">
        <v>71</v>
      </c>
      <c r="W148" s="2" t="s">
        <v>71</v>
      </c>
      <c r="X148" s="2" t="s">
        <v>71</v>
      </c>
      <c r="Y148" s="2" t="s">
        <v>71</v>
      </c>
      <c r="Z148" s="2" t="s">
        <v>71</v>
      </c>
      <c r="AA148" s="2" t="s">
        <v>71</v>
      </c>
      <c r="AB148" s="2" t="s">
        <v>71</v>
      </c>
      <c r="AC148" s="2" t="s">
        <v>71</v>
      </c>
      <c r="AD148" s="2" t="s">
        <v>71</v>
      </c>
      <c r="AE148" s="2" t="s">
        <v>71</v>
      </c>
      <c r="AF148" s="2" t="s">
        <v>76</v>
      </c>
      <c r="AG148" s="2" t="s">
        <v>76</v>
      </c>
      <c r="AH148" s="2" t="s">
        <v>85</v>
      </c>
      <c r="AI148" s="2">
        <v>1</v>
      </c>
    </row>
    <row r="149" spans="1:35" ht="32" x14ac:dyDescent="0.2">
      <c r="A149" s="2">
        <v>32850495</v>
      </c>
      <c r="B149" s="2">
        <f>VLOOKUP(A149,[1]TRATAMIENTI!$A:$B,2,FALSE)</f>
        <v>148</v>
      </c>
      <c r="C149" s="2" t="s">
        <v>369</v>
      </c>
      <c r="F149" s="2" t="s">
        <v>68</v>
      </c>
      <c r="G149" s="2" t="str">
        <f t="shared" si="2"/>
        <v>ATLANTICO</v>
      </c>
      <c r="H149" s="2" t="s">
        <v>69</v>
      </c>
      <c r="I149" s="2" t="s">
        <v>70</v>
      </c>
      <c r="J149" s="2" t="s">
        <v>71</v>
      </c>
      <c r="K149" s="2" t="s">
        <v>76</v>
      </c>
      <c r="L149" s="2" t="s">
        <v>71</v>
      </c>
      <c r="M149" s="2" t="s">
        <v>71</v>
      </c>
      <c r="N149" s="2" t="s">
        <v>71</v>
      </c>
      <c r="O149" s="2" t="s">
        <v>76</v>
      </c>
      <c r="P149" s="2" t="s">
        <v>76</v>
      </c>
      <c r="Q149" s="2" t="s">
        <v>76</v>
      </c>
      <c r="R149" s="2" t="s">
        <v>71</v>
      </c>
      <c r="S149" s="2" t="s">
        <v>71</v>
      </c>
      <c r="T149" s="2" t="s">
        <v>76</v>
      </c>
      <c r="U149" s="2" t="s">
        <v>76</v>
      </c>
      <c r="V149" s="2" t="s">
        <v>71</v>
      </c>
      <c r="W149" s="2" t="s">
        <v>71</v>
      </c>
      <c r="X149" s="2" t="s">
        <v>71</v>
      </c>
      <c r="Y149" s="2" t="s">
        <v>71</v>
      </c>
      <c r="Z149" s="2" t="s">
        <v>71</v>
      </c>
      <c r="AA149" s="2" t="s">
        <v>71</v>
      </c>
      <c r="AB149" s="2" t="s">
        <v>71</v>
      </c>
      <c r="AC149" s="2" t="s">
        <v>71</v>
      </c>
      <c r="AD149" s="2" t="s">
        <v>71</v>
      </c>
      <c r="AE149" s="2" t="s">
        <v>71</v>
      </c>
      <c r="AF149" s="2" t="s">
        <v>71</v>
      </c>
      <c r="AG149" s="2" t="s">
        <v>71</v>
      </c>
      <c r="AH149" s="2" t="s">
        <v>77</v>
      </c>
      <c r="AI149" s="2">
        <v>2</v>
      </c>
    </row>
    <row r="150" spans="1:35" ht="32" x14ac:dyDescent="0.2">
      <c r="A150" s="2">
        <v>32884029</v>
      </c>
      <c r="B150" s="2">
        <f>VLOOKUP(A150,[1]TRATAMIENTI!$A:$B,2,FALSE)</f>
        <v>149</v>
      </c>
      <c r="C150" t="s">
        <v>370</v>
      </c>
      <c r="D150" s="2">
        <v>0</v>
      </c>
      <c r="E150" s="2" t="s">
        <v>371</v>
      </c>
      <c r="F150" s="2" t="s">
        <v>68</v>
      </c>
      <c r="G150" s="2" t="str">
        <f t="shared" si="2"/>
        <v>ATLANTICO</v>
      </c>
      <c r="H150" s="2" t="s">
        <v>69</v>
      </c>
      <c r="I150" s="2" t="s">
        <v>70</v>
      </c>
      <c r="J150" s="2" t="s">
        <v>71</v>
      </c>
      <c r="K150" s="2" t="s">
        <v>71</v>
      </c>
      <c r="L150" s="2" t="s">
        <v>71</v>
      </c>
      <c r="M150" s="2" t="s">
        <v>76</v>
      </c>
      <c r="N150" s="2" t="s">
        <v>76</v>
      </c>
      <c r="O150" s="2" t="s">
        <v>76</v>
      </c>
      <c r="P150" s="2" t="s">
        <v>76</v>
      </c>
      <c r="Q150" s="2" t="s">
        <v>76</v>
      </c>
      <c r="R150" s="2" t="s">
        <v>71</v>
      </c>
      <c r="S150" s="2" t="s">
        <v>71</v>
      </c>
      <c r="T150" s="2" t="s">
        <v>76</v>
      </c>
      <c r="U150" s="2" t="s">
        <v>76</v>
      </c>
      <c r="V150" s="2" t="s">
        <v>71</v>
      </c>
      <c r="W150" s="2" t="s">
        <v>71</v>
      </c>
      <c r="X150" s="2" t="s">
        <v>71</v>
      </c>
      <c r="Y150" s="2" t="s">
        <v>71</v>
      </c>
      <c r="Z150" s="2" t="s">
        <v>71</v>
      </c>
      <c r="AA150" s="2" t="s">
        <v>71</v>
      </c>
      <c r="AB150" s="2" t="s">
        <v>71</v>
      </c>
      <c r="AC150" s="2" t="s">
        <v>71</v>
      </c>
      <c r="AD150" s="2" t="s">
        <v>71</v>
      </c>
      <c r="AE150" s="2" t="s">
        <v>71</v>
      </c>
      <c r="AF150" s="2" t="s">
        <v>72</v>
      </c>
      <c r="AG150" s="2" t="s">
        <v>72</v>
      </c>
      <c r="AH150" s="2" t="s">
        <v>179</v>
      </c>
      <c r="AI150" s="2">
        <v>2</v>
      </c>
    </row>
    <row r="151" spans="1:35" ht="32" x14ac:dyDescent="0.2">
      <c r="A151" s="2">
        <v>32884556</v>
      </c>
      <c r="B151" s="2">
        <f>VLOOKUP(A151,[1]TRATAMIENTI!$A:$B,2,FALSE)</f>
        <v>150</v>
      </c>
      <c r="C151" t="s">
        <v>372</v>
      </c>
      <c r="D151" t="s">
        <v>373</v>
      </c>
      <c r="E151" s="2" t="s">
        <v>374</v>
      </c>
      <c r="F151" s="2" t="s">
        <v>68</v>
      </c>
      <c r="G151" s="2" t="str">
        <f t="shared" si="2"/>
        <v>ATLANTICO</v>
      </c>
      <c r="H151" s="2" t="s">
        <v>69</v>
      </c>
      <c r="I151" s="2" t="s">
        <v>70</v>
      </c>
      <c r="J151" s="2" t="s">
        <v>76</v>
      </c>
      <c r="K151" s="2" t="s">
        <v>76</v>
      </c>
      <c r="L151" s="2" t="s">
        <v>76</v>
      </c>
      <c r="M151" s="2" t="s">
        <v>76</v>
      </c>
      <c r="N151" s="2" t="s">
        <v>76</v>
      </c>
      <c r="O151" s="2" t="s">
        <v>76</v>
      </c>
      <c r="P151" s="2" t="s">
        <v>76</v>
      </c>
      <c r="Q151" s="2" t="s">
        <v>76</v>
      </c>
      <c r="R151" s="2" t="s">
        <v>71</v>
      </c>
      <c r="S151" s="2" t="s">
        <v>71</v>
      </c>
      <c r="T151" s="2" t="s">
        <v>76</v>
      </c>
      <c r="U151" s="2" t="s">
        <v>76</v>
      </c>
      <c r="V151" s="2" t="s">
        <v>71</v>
      </c>
      <c r="W151" s="2" t="s">
        <v>71</v>
      </c>
      <c r="X151" s="2" t="s">
        <v>71</v>
      </c>
      <c r="Y151" s="2" t="s">
        <v>71</v>
      </c>
      <c r="Z151" s="2" t="s">
        <v>71</v>
      </c>
      <c r="AA151" s="2" t="s">
        <v>71</v>
      </c>
      <c r="AB151" s="2" t="s">
        <v>71</v>
      </c>
      <c r="AC151" s="2" t="s">
        <v>71</v>
      </c>
      <c r="AD151" s="2" t="s">
        <v>71</v>
      </c>
      <c r="AE151" s="2" t="s">
        <v>71</v>
      </c>
      <c r="AF151" s="2" t="s">
        <v>76</v>
      </c>
      <c r="AG151" s="2" t="s">
        <v>76</v>
      </c>
      <c r="AH151" s="2" t="s">
        <v>91</v>
      </c>
      <c r="AI151" s="2">
        <v>1</v>
      </c>
    </row>
    <row r="152" spans="1:35" ht="16" x14ac:dyDescent="0.2">
      <c r="A152" s="2">
        <v>32884723</v>
      </c>
      <c r="B152" s="2">
        <f>VLOOKUP(A152,[1]TRATAMIENTI!$A:$B,2,FALSE)</f>
        <v>151</v>
      </c>
      <c r="C152" t="s">
        <v>375</v>
      </c>
      <c r="D152">
        <v>3026350603</v>
      </c>
      <c r="E152" t="s">
        <v>376</v>
      </c>
      <c r="F152" s="2" t="s">
        <v>68</v>
      </c>
      <c r="G152" s="2" t="str">
        <f t="shared" si="2"/>
        <v>ATLANTICO</v>
      </c>
      <c r="H152" s="2" t="s">
        <v>69</v>
      </c>
      <c r="I152" s="2" t="s">
        <v>70</v>
      </c>
      <c r="AH152" s="2" t="s">
        <v>73</v>
      </c>
      <c r="AI152" s="2">
        <v>2</v>
      </c>
    </row>
    <row r="153" spans="1:35" ht="32" x14ac:dyDescent="0.2">
      <c r="A153" s="2">
        <v>32893688</v>
      </c>
      <c r="B153" s="2">
        <f>VLOOKUP(A153,[1]TRATAMIENTI!$A:$B,2,FALSE)</f>
        <v>152</v>
      </c>
      <c r="C153" t="s">
        <v>377</v>
      </c>
      <c r="D153">
        <v>3009411182</v>
      </c>
      <c r="E153" t="s">
        <v>378</v>
      </c>
      <c r="F153" s="2" t="s">
        <v>68</v>
      </c>
      <c r="G153" s="2" t="str">
        <f t="shared" si="2"/>
        <v>ATLANTICO</v>
      </c>
      <c r="H153" s="2" t="s">
        <v>69</v>
      </c>
      <c r="I153" s="2" t="s">
        <v>70</v>
      </c>
      <c r="J153" s="2" t="s">
        <v>71</v>
      </c>
      <c r="K153" s="2" t="s">
        <v>72</v>
      </c>
      <c r="L153" s="2" t="s">
        <v>71</v>
      </c>
      <c r="M153" s="2" t="s">
        <v>71</v>
      </c>
      <c r="N153" s="2" t="s">
        <v>71</v>
      </c>
      <c r="O153" s="2" t="s">
        <v>76</v>
      </c>
      <c r="P153" s="2" t="s">
        <v>76</v>
      </c>
      <c r="Q153" s="2" t="s">
        <v>76</v>
      </c>
      <c r="R153" s="2" t="s">
        <v>71</v>
      </c>
      <c r="S153" s="2" t="s">
        <v>71</v>
      </c>
      <c r="T153" s="2" t="s">
        <v>76</v>
      </c>
      <c r="U153" s="2" t="s">
        <v>76</v>
      </c>
      <c r="V153" s="2" t="s">
        <v>71</v>
      </c>
      <c r="W153" s="2" t="s">
        <v>71</v>
      </c>
      <c r="X153" s="2" t="s">
        <v>71</v>
      </c>
      <c r="Y153" s="2" t="s">
        <v>71</v>
      </c>
      <c r="Z153" s="2" t="s">
        <v>71</v>
      </c>
      <c r="AA153" s="2" t="s">
        <v>71</v>
      </c>
      <c r="AB153" s="2" t="s">
        <v>71</v>
      </c>
      <c r="AC153" s="2" t="s">
        <v>71</v>
      </c>
      <c r="AD153" s="2" t="s">
        <v>71</v>
      </c>
      <c r="AE153" s="2" t="s">
        <v>71</v>
      </c>
      <c r="AF153" s="2" t="s">
        <v>72</v>
      </c>
      <c r="AG153" s="2" t="s">
        <v>76</v>
      </c>
      <c r="AH153" s="2" t="s">
        <v>77</v>
      </c>
      <c r="AI153" s="2">
        <v>1</v>
      </c>
    </row>
    <row r="154" spans="1:35" ht="32" x14ac:dyDescent="0.2">
      <c r="A154" s="2">
        <v>32894006</v>
      </c>
      <c r="B154" s="2">
        <f>VLOOKUP(A154,[1]TRATAMIENTI!$A:$B,2,FALSE)</f>
        <v>153</v>
      </c>
      <c r="C154" t="s">
        <v>379</v>
      </c>
      <c r="D154" s="2">
        <v>0</v>
      </c>
      <c r="E154" t="s">
        <v>380</v>
      </c>
      <c r="F154" s="2" t="s">
        <v>68</v>
      </c>
      <c r="G154" s="2" t="str">
        <f t="shared" si="2"/>
        <v>ATLANTICO</v>
      </c>
      <c r="H154" s="2" t="s">
        <v>69</v>
      </c>
      <c r="I154" s="2" t="s">
        <v>70</v>
      </c>
      <c r="J154" s="2" t="s">
        <v>71</v>
      </c>
      <c r="K154" s="2" t="s">
        <v>76</v>
      </c>
      <c r="L154" s="2" t="s">
        <v>76</v>
      </c>
      <c r="M154" s="2" t="s">
        <v>76</v>
      </c>
      <c r="N154" s="2" t="s">
        <v>76</v>
      </c>
      <c r="O154" s="2" t="s">
        <v>76</v>
      </c>
      <c r="P154" s="2" t="s">
        <v>76</v>
      </c>
      <c r="Q154" s="2" t="s">
        <v>76</v>
      </c>
      <c r="R154" s="2" t="s">
        <v>71</v>
      </c>
      <c r="S154" s="2" t="s">
        <v>71</v>
      </c>
      <c r="T154" s="2" t="s">
        <v>76</v>
      </c>
      <c r="U154" s="2" t="s">
        <v>76</v>
      </c>
      <c r="V154" s="2" t="s">
        <v>71</v>
      </c>
      <c r="W154" s="2" t="s">
        <v>71</v>
      </c>
      <c r="X154" s="2" t="s">
        <v>71</v>
      </c>
      <c r="Y154" s="2" t="s">
        <v>71</v>
      </c>
      <c r="Z154" s="2" t="s">
        <v>71</v>
      </c>
      <c r="AA154" s="2" t="s">
        <v>71</v>
      </c>
      <c r="AB154" s="2" t="s">
        <v>71</v>
      </c>
      <c r="AC154" s="2" t="s">
        <v>71</v>
      </c>
      <c r="AD154" s="2" t="s">
        <v>71</v>
      </c>
      <c r="AE154" s="2" t="s">
        <v>71</v>
      </c>
      <c r="AF154" s="2" t="s">
        <v>76</v>
      </c>
      <c r="AG154" s="2" t="s">
        <v>76</v>
      </c>
      <c r="AH154" s="2" t="s">
        <v>91</v>
      </c>
      <c r="AI154" s="2">
        <v>1</v>
      </c>
    </row>
    <row r="155" spans="1:35" ht="32" x14ac:dyDescent="0.2">
      <c r="A155" s="2">
        <v>34977363</v>
      </c>
      <c r="B155" s="2">
        <f>VLOOKUP(A155,[1]TRATAMIENTI!$A:$B,2,FALSE)</f>
        <v>154</v>
      </c>
      <c r="C155" t="s">
        <v>381</v>
      </c>
      <c r="D155" s="2">
        <v>0</v>
      </c>
      <c r="E155" t="s">
        <v>382</v>
      </c>
      <c r="F155" s="2" t="s">
        <v>68</v>
      </c>
      <c r="G155" s="2" t="str">
        <f t="shared" si="2"/>
        <v>ATLANTICO</v>
      </c>
      <c r="H155" s="2" t="s">
        <v>69</v>
      </c>
      <c r="I155" s="2" t="s">
        <v>70</v>
      </c>
      <c r="J155" s="2" t="s">
        <v>71</v>
      </c>
      <c r="K155" s="2" t="s">
        <v>71</v>
      </c>
      <c r="L155" s="2" t="s">
        <v>76</v>
      </c>
      <c r="M155" s="2" t="s">
        <v>76</v>
      </c>
      <c r="N155" s="2" t="s">
        <v>76</v>
      </c>
      <c r="O155" s="2" t="s">
        <v>76</v>
      </c>
      <c r="P155" s="2" t="s">
        <v>76</v>
      </c>
      <c r="Q155" s="2" t="s">
        <v>76</v>
      </c>
      <c r="R155" s="2" t="s">
        <v>71</v>
      </c>
      <c r="S155" s="2" t="s">
        <v>71</v>
      </c>
      <c r="T155" s="2" t="s">
        <v>76</v>
      </c>
      <c r="U155" s="2" t="s">
        <v>76</v>
      </c>
      <c r="V155" s="2" t="s">
        <v>71</v>
      </c>
      <c r="W155" s="2" t="s">
        <v>71</v>
      </c>
      <c r="X155" s="2" t="s">
        <v>71</v>
      </c>
      <c r="Y155" s="2" t="s">
        <v>71</v>
      </c>
      <c r="Z155" s="2" t="s">
        <v>71</v>
      </c>
      <c r="AA155" s="2" t="s">
        <v>71</v>
      </c>
      <c r="AB155" s="2" t="s">
        <v>71</v>
      </c>
      <c r="AC155" s="2" t="s">
        <v>71</v>
      </c>
      <c r="AD155" s="2" t="s">
        <v>71</v>
      </c>
      <c r="AE155" s="2" t="s">
        <v>71</v>
      </c>
      <c r="AF155" s="2" t="s">
        <v>76</v>
      </c>
      <c r="AG155" s="2" t="s">
        <v>76</v>
      </c>
      <c r="AH155" s="2" t="s">
        <v>80</v>
      </c>
      <c r="AI155" s="2">
        <v>2</v>
      </c>
    </row>
    <row r="156" spans="1:35" ht="32" x14ac:dyDescent="0.2">
      <c r="A156" s="2">
        <v>37926108</v>
      </c>
      <c r="B156" s="2">
        <f>VLOOKUP(A156,[1]TRATAMIENTI!$A:$B,2,FALSE)</f>
        <v>155</v>
      </c>
      <c r="C156" t="s">
        <v>383</v>
      </c>
      <c r="D156">
        <v>3153940354</v>
      </c>
      <c r="E156" s="2" t="s">
        <v>384</v>
      </c>
      <c r="F156" s="2" t="s">
        <v>68</v>
      </c>
      <c r="G156" s="2" t="str">
        <f t="shared" si="2"/>
        <v>ATLANTICO</v>
      </c>
      <c r="H156" s="2" t="s">
        <v>69</v>
      </c>
      <c r="I156" s="2" t="s">
        <v>70</v>
      </c>
      <c r="J156" s="2" t="s">
        <v>71</v>
      </c>
      <c r="K156" s="2" t="s">
        <v>76</v>
      </c>
      <c r="L156" s="2" t="s">
        <v>71</v>
      </c>
      <c r="M156" s="2" t="s">
        <v>76</v>
      </c>
      <c r="N156" s="2" t="s">
        <v>76</v>
      </c>
      <c r="O156" s="2" t="s">
        <v>76</v>
      </c>
      <c r="P156" s="2" t="s">
        <v>76</v>
      </c>
      <c r="Q156" s="2" t="s">
        <v>76</v>
      </c>
      <c r="R156" s="2" t="s">
        <v>71</v>
      </c>
      <c r="S156" s="2" t="s">
        <v>71</v>
      </c>
      <c r="T156" s="2" t="s">
        <v>76</v>
      </c>
      <c r="U156" s="2" t="s">
        <v>76</v>
      </c>
      <c r="V156" s="2" t="s">
        <v>71</v>
      </c>
      <c r="W156" s="2" t="s">
        <v>71</v>
      </c>
      <c r="X156" s="2" t="s">
        <v>71</v>
      </c>
      <c r="Y156" s="2" t="s">
        <v>71</v>
      </c>
      <c r="Z156" s="2" t="s">
        <v>71</v>
      </c>
      <c r="AA156" s="2" t="s">
        <v>71</v>
      </c>
      <c r="AB156" s="2" t="s">
        <v>71</v>
      </c>
      <c r="AC156" s="2" t="s">
        <v>71</v>
      </c>
      <c r="AD156" s="2" t="s">
        <v>71</v>
      </c>
      <c r="AE156" s="2" t="s">
        <v>71</v>
      </c>
      <c r="AF156" s="2" t="s">
        <v>76</v>
      </c>
      <c r="AG156" s="2" t="s">
        <v>76</v>
      </c>
      <c r="AH156" s="2" t="s">
        <v>91</v>
      </c>
      <c r="AI156" s="2">
        <v>2</v>
      </c>
    </row>
    <row r="157" spans="1:35" ht="32" x14ac:dyDescent="0.2">
      <c r="A157" s="2">
        <v>42271248</v>
      </c>
      <c r="B157" s="2">
        <f>VLOOKUP(A157,[1]TRATAMIENTI!$A:$B,2,FALSE)</f>
        <v>156</v>
      </c>
      <c r="C157" t="s">
        <v>385</v>
      </c>
      <c r="D157" t="s">
        <v>386</v>
      </c>
      <c r="E157" t="s">
        <v>387</v>
      </c>
      <c r="F157" s="2" t="s">
        <v>68</v>
      </c>
      <c r="G157" s="2" t="str">
        <f t="shared" si="2"/>
        <v>ATLANTICO</v>
      </c>
      <c r="H157" s="2" t="s">
        <v>69</v>
      </c>
      <c r="I157" s="2" t="s">
        <v>70</v>
      </c>
      <c r="J157" s="2" t="s">
        <v>71</v>
      </c>
      <c r="K157" s="2" t="s">
        <v>76</v>
      </c>
      <c r="L157" s="2" t="s">
        <v>76</v>
      </c>
      <c r="M157" s="2" t="s">
        <v>76</v>
      </c>
      <c r="N157" s="2" t="s">
        <v>76</v>
      </c>
      <c r="O157" s="2" t="s">
        <v>76</v>
      </c>
      <c r="P157" s="2" t="s">
        <v>76</v>
      </c>
      <c r="Q157" s="2" t="s">
        <v>76</v>
      </c>
      <c r="R157" s="2" t="s">
        <v>71</v>
      </c>
      <c r="S157" s="2" t="s">
        <v>71</v>
      </c>
      <c r="T157" s="2" t="s">
        <v>76</v>
      </c>
      <c r="U157" s="2" t="s">
        <v>76</v>
      </c>
      <c r="V157" s="2" t="s">
        <v>71</v>
      </c>
      <c r="W157" s="2" t="s">
        <v>71</v>
      </c>
      <c r="X157" s="2" t="s">
        <v>71</v>
      </c>
      <c r="Y157" s="2" t="s">
        <v>71</v>
      </c>
      <c r="Z157" s="2" t="s">
        <v>71</v>
      </c>
      <c r="AA157" s="2" t="s">
        <v>71</v>
      </c>
      <c r="AB157" s="2" t="s">
        <v>71</v>
      </c>
      <c r="AC157" s="2" t="s">
        <v>71</v>
      </c>
      <c r="AD157" s="2" t="s">
        <v>71</v>
      </c>
      <c r="AE157" s="2" t="s">
        <v>71</v>
      </c>
      <c r="AF157" s="2" t="s">
        <v>76</v>
      </c>
      <c r="AG157" s="2" t="s">
        <v>76</v>
      </c>
      <c r="AH157" s="2" t="s">
        <v>91</v>
      </c>
      <c r="AI157" s="2">
        <v>2</v>
      </c>
    </row>
    <row r="158" spans="1:35" ht="32" x14ac:dyDescent="0.2">
      <c r="A158" s="2">
        <v>45578869</v>
      </c>
      <c r="B158" s="2">
        <f>VLOOKUP(A158,[1]TRATAMIENTI!$A:$B,2,FALSE)</f>
        <v>157</v>
      </c>
      <c r="C158" t="s">
        <v>388</v>
      </c>
      <c r="D158" s="2">
        <v>0</v>
      </c>
      <c r="E158" t="s">
        <v>389</v>
      </c>
      <c r="F158" s="2" t="s">
        <v>68</v>
      </c>
      <c r="G158" s="2" t="str">
        <f t="shared" si="2"/>
        <v>ATLANTICO</v>
      </c>
      <c r="H158" s="2" t="s">
        <v>69</v>
      </c>
      <c r="I158" s="2" t="s">
        <v>70</v>
      </c>
      <c r="J158" s="2" t="s">
        <v>71</v>
      </c>
      <c r="K158" s="2" t="s">
        <v>71</v>
      </c>
      <c r="L158" s="2" t="s">
        <v>76</v>
      </c>
      <c r="M158" s="2" t="s">
        <v>76</v>
      </c>
      <c r="N158" s="2" t="s">
        <v>76</v>
      </c>
      <c r="O158" s="2" t="s">
        <v>76</v>
      </c>
      <c r="P158" s="2" t="s">
        <v>76</v>
      </c>
      <c r="Q158" s="2" t="s">
        <v>76</v>
      </c>
      <c r="R158" s="2" t="s">
        <v>71</v>
      </c>
      <c r="S158" s="2" t="s">
        <v>71</v>
      </c>
      <c r="T158" s="2" t="s">
        <v>76</v>
      </c>
      <c r="U158" s="2" t="s">
        <v>76</v>
      </c>
      <c r="V158" s="2" t="s">
        <v>71</v>
      </c>
      <c r="W158" s="2" t="s">
        <v>71</v>
      </c>
      <c r="X158" s="2" t="s">
        <v>71</v>
      </c>
      <c r="Y158" s="2" t="s">
        <v>71</v>
      </c>
      <c r="Z158" s="2" t="s">
        <v>71</v>
      </c>
      <c r="AA158" s="2" t="s">
        <v>71</v>
      </c>
      <c r="AB158" s="2" t="s">
        <v>71</v>
      </c>
      <c r="AC158" s="2" t="s">
        <v>71</v>
      </c>
      <c r="AD158" s="2" t="s">
        <v>71</v>
      </c>
      <c r="AE158" s="2" t="s">
        <v>71</v>
      </c>
      <c r="AF158" s="2" t="s">
        <v>76</v>
      </c>
      <c r="AG158" s="2" t="s">
        <v>76</v>
      </c>
      <c r="AH158" s="2" t="s">
        <v>80</v>
      </c>
      <c r="AI158" s="2">
        <v>1</v>
      </c>
    </row>
    <row r="159" spans="1:35" ht="32" x14ac:dyDescent="0.2">
      <c r="A159" s="2">
        <v>45584758</v>
      </c>
      <c r="B159" s="2">
        <f>VLOOKUP(A159,[1]TRATAMIENTI!$A:$B,2,FALSE)</f>
        <v>158</v>
      </c>
      <c r="C159" s="2" t="s">
        <v>390</v>
      </c>
      <c r="D159" s="2">
        <v>0</v>
      </c>
      <c r="E159" s="2" t="s">
        <v>391</v>
      </c>
      <c r="F159" s="2" t="s">
        <v>68</v>
      </c>
      <c r="G159" s="2" t="str">
        <f t="shared" si="2"/>
        <v>ATLANTICO</v>
      </c>
      <c r="H159" s="2" t="s">
        <v>69</v>
      </c>
      <c r="I159" s="2" t="s">
        <v>70</v>
      </c>
      <c r="J159" s="2" t="s">
        <v>71</v>
      </c>
      <c r="K159" s="2" t="s">
        <v>76</v>
      </c>
      <c r="L159" s="2" t="s">
        <v>71</v>
      </c>
      <c r="M159" s="2" t="s">
        <v>76</v>
      </c>
      <c r="N159" s="2" t="s">
        <v>76</v>
      </c>
      <c r="O159" s="2" t="s">
        <v>76</v>
      </c>
      <c r="P159" s="2" t="s">
        <v>76</v>
      </c>
      <c r="Q159" s="2" t="s">
        <v>76</v>
      </c>
      <c r="R159" s="2" t="s">
        <v>71</v>
      </c>
      <c r="S159" s="2" t="s">
        <v>71</v>
      </c>
      <c r="T159" s="2" t="s">
        <v>76</v>
      </c>
      <c r="U159" s="2" t="s">
        <v>76</v>
      </c>
      <c r="V159" s="2" t="s">
        <v>71</v>
      </c>
      <c r="W159" s="2" t="s">
        <v>71</v>
      </c>
      <c r="X159" s="2" t="s">
        <v>71</v>
      </c>
      <c r="Y159" s="2" t="s">
        <v>71</v>
      </c>
      <c r="Z159" s="2" t="s">
        <v>71</v>
      </c>
      <c r="AA159" s="2" t="s">
        <v>71</v>
      </c>
      <c r="AB159" s="2" t="s">
        <v>71</v>
      </c>
      <c r="AC159" s="2" t="s">
        <v>71</v>
      </c>
      <c r="AD159" s="2" t="s">
        <v>71</v>
      </c>
      <c r="AE159" s="2" t="s">
        <v>71</v>
      </c>
      <c r="AF159" s="2" t="s">
        <v>76</v>
      </c>
      <c r="AG159" s="2" t="s">
        <v>76</v>
      </c>
      <c r="AH159" s="2" t="s">
        <v>91</v>
      </c>
      <c r="AI159" s="2">
        <v>1</v>
      </c>
    </row>
    <row r="160" spans="1:35" ht="32" x14ac:dyDescent="0.2">
      <c r="A160" s="2">
        <v>5122512</v>
      </c>
      <c r="B160" s="2">
        <f>VLOOKUP(A160,[1]TRATAMIENTI!$A:$B,2,FALSE)</f>
        <v>159</v>
      </c>
      <c r="C160" t="s">
        <v>392</v>
      </c>
      <c r="D160">
        <v>3004745168</v>
      </c>
      <c r="E160" s="2" t="s">
        <v>393</v>
      </c>
      <c r="F160" s="2" t="s">
        <v>68</v>
      </c>
      <c r="G160" s="2" t="str">
        <f t="shared" si="2"/>
        <v>ATLANTICO</v>
      </c>
      <c r="H160" s="2" t="s">
        <v>69</v>
      </c>
      <c r="I160" s="2" t="s">
        <v>70</v>
      </c>
      <c r="J160" s="2" t="s">
        <v>71</v>
      </c>
      <c r="K160" s="2" t="s">
        <v>76</v>
      </c>
      <c r="L160" s="2" t="s">
        <v>76</v>
      </c>
      <c r="M160" s="2" t="s">
        <v>76</v>
      </c>
      <c r="N160" s="2" t="s">
        <v>76</v>
      </c>
      <c r="O160" s="2" t="s">
        <v>76</v>
      </c>
      <c r="P160" s="2" t="s">
        <v>76</v>
      </c>
      <c r="Q160" s="2" t="s">
        <v>76</v>
      </c>
      <c r="R160" s="2" t="s">
        <v>71</v>
      </c>
      <c r="S160" s="2" t="s">
        <v>71</v>
      </c>
      <c r="T160" s="2" t="s">
        <v>76</v>
      </c>
      <c r="U160" s="2" t="s">
        <v>76</v>
      </c>
      <c r="V160" s="2" t="s">
        <v>71</v>
      </c>
      <c r="W160" s="2" t="s">
        <v>71</v>
      </c>
      <c r="X160" s="2" t="s">
        <v>71</v>
      </c>
      <c r="Y160" s="2" t="s">
        <v>71</v>
      </c>
      <c r="Z160" s="2" t="s">
        <v>71</v>
      </c>
      <c r="AA160" s="2" t="s">
        <v>71</v>
      </c>
      <c r="AB160" s="2" t="s">
        <v>71</v>
      </c>
      <c r="AC160" s="2" t="s">
        <v>71</v>
      </c>
      <c r="AD160" s="2" t="s">
        <v>71</v>
      </c>
      <c r="AE160" s="2" t="s">
        <v>71</v>
      </c>
      <c r="AF160" s="2" t="s">
        <v>76</v>
      </c>
      <c r="AG160" s="2" t="s">
        <v>76</v>
      </c>
      <c r="AH160" s="2" t="s">
        <v>91</v>
      </c>
      <c r="AI160" s="2">
        <v>2</v>
      </c>
    </row>
    <row r="161" spans="1:35" ht="32" x14ac:dyDescent="0.2">
      <c r="A161" s="2">
        <v>52136819</v>
      </c>
      <c r="B161" s="2">
        <f>VLOOKUP(A161,[1]TRATAMIENTI!$A:$B,2,FALSE)</f>
        <v>160</v>
      </c>
      <c r="C161" s="2" t="s">
        <v>394</v>
      </c>
      <c r="F161" s="2" t="s">
        <v>68</v>
      </c>
      <c r="G161" s="2" t="str">
        <f t="shared" si="2"/>
        <v>ATLANTICO</v>
      </c>
      <c r="H161" s="2" t="s">
        <v>69</v>
      </c>
      <c r="I161" s="2" t="s">
        <v>70</v>
      </c>
      <c r="J161" s="2" t="s">
        <v>71</v>
      </c>
      <c r="K161" s="2" t="s">
        <v>76</v>
      </c>
      <c r="L161" s="2" t="s">
        <v>76</v>
      </c>
      <c r="M161" s="2" t="s">
        <v>76</v>
      </c>
      <c r="N161" s="2" t="s">
        <v>76</v>
      </c>
      <c r="O161" s="2" t="s">
        <v>76</v>
      </c>
      <c r="P161" s="2" t="s">
        <v>76</v>
      </c>
      <c r="Q161" s="2" t="s">
        <v>71</v>
      </c>
      <c r="R161" s="2" t="s">
        <v>71</v>
      </c>
      <c r="S161" s="2" t="s">
        <v>71</v>
      </c>
      <c r="T161" s="2" t="s">
        <v>76</v>
      </c>
      <c r="U161" s="2" t="s">
        <v>76</v>
      </c>
      <c r="V161" s="2" t="s">
        <v>71</v>
      </c>
      <c r="W161" s="2" t="s">
        <v>71</v>
      </c>
      <c r="X161" s="2" t="s">
        <v>71</v>
      </c>
      <c r="Y161" s="2" t="s">
        <v>71</v>
      </c>
      <c r="Z161" s="2" t="s">
        <v>71</v>
      </c>
      <c r="AA161" s="2" t="s">
        <v>71</v>
      </c>
      <c r="AB161" s="2" t="s">
        <v>71</v>
      </c>
      <c r="AC161" s="2" t="s">
        <v>71</v>
      </c>
      <c r="AD161" s="2" t="s">
        <v>71</v>
      </c>
      <c r="AE161" s="2" t="s">
        <v>71</v>
      </c>
      <c r="AF161" s="2" t="s">
        <v>76</v>
      </c>
      <c r="AG161" s="2" t="s">
        <v>76</v>
      </c>
      <c r="AH161" s="2" t="s">
        <v>91</v>
      </c>
      <c r="AI161" s="2">
        <v>1</v>
      </c>
    </row>
    <row r="162" spans="1:35" ht="32" x14ac:dyDescent="0.2">
      <c r="A162" s="2">
        <v>55231073</v>
      </c>
      <c r="B162" s="2">
        <f>VLOOKUP(A162,[1]TRATAMIENTI!$A:$B,2,FALSE)</f>
        <v>161</v>
      </c>
      <c r="C162" t="s">
        <v>395</v>
      </c>
      <c r="D162">
        <v>3014305103</v>
      </c>
      <c r="E162" t="s">
        <v>396</v>
      </c>
      <c r="F162" s="2" t="s">
        <v>68</v>
      </c>
      <c r="G162" s="2" t="str">
        <f t="shared" si="2"/>
        <v>ATLANTICO</v>
      </c>
      <c r="H162" s="2" t="s">
        <v>69</v>
      </c>
      <c r="I162" s="2" t="s">
        <v>70</v>
      </c>
      <c r="J162" s="2" t="s">
        <v>71</v>
      </c>
      <c r="K162" s="2" t="s">
        <v>71</v>
      </c>
      <c r="L162" s="2" t="s">
        <v>76</v>
      </c>
      <c r="M162" s="2" t="s">
        <v>76</v>
      </c>
      <c r="N162" s="2" t="s">
        <v>76</v>
      </c>
      <c r="O162" s="2" t="s">
        <v>76</v>
      </c>
      <c r="P162" s="2" t="s">
        <v>76</v>
      </c>
      <c r="Q162" s="2" t="s">
        <v>71</v>
      </c>
      <c r="R162" s="2" t="s">
        <v>71</v>
      </c>
      <c r="S162" s="2" t="s">
        <v>71</v>
      </c>
      <c r="T162" s="2" t="s">
        <v>76</v>
      </c>
      <c r="U162" s="2" t="s">
        <v>76</v>
      </c>
      <c r="V162" s="2" t="s">
        <v>71</v>
      </c>
      <c r="W162" s="2" t="s">
        <v>71</v>
      </c>
      <c r="X162" s="2" t="s">
        <v>71</v>
      </c>
      <c r="Y162" s="2" t="s">
        <v>71</v>
      </c>
      <c r="Z162" s="2" t="s">
        <v>71</v>
      </c>
      <c r="AA162" s="2" t="s">
        <v>71</v>
      </c>
      <c r="AB162" s="2" t="s">
        <v>71</v>
      </c>
      <c r="AC162" s="2" t="s">
        <v>71</v>
      </c>
      <c r="AD162" s="2" t="s">
        <v>71</v>
      </c>
      <c r="AE162" s="2" t="s">
        <v>71</v>
      </c>
      <c r="AF162" s="2" t="s">
        <v>76</v>
      </c>
      <c r="AG162" s="2" t="s">
        <v>76</v>
      </c>
      <c r="AH162" s="2" t="s">
        <v>80</v>
      </c>
      <c r="AI162" s="2">
        <v>2</v>
      </c>
    </row>
    <row r="163" spans="1:35" ht="32" x14ac:dyDescent="0.2">
      <c r="A163" s="2">
        <v>55232316</v>
      </c>
      <c r="B163" s="2">
        <f>VLOOKUP(A163,[1]TRATAMIENTI!$A:$B,2,FALSE)</f>
        <v>162</v>
      </c>
      <c r="C163" t="s">
        <v>397</v>
      </c>
      <c r="D163">
        <v>3227311256</v>
      </c>
      <c r="E163" t="s">
        <v>398</v>
      </c>
      <c r="F163" s="2" t="s">
        <v>68</v>
      </c>
      <c r="G163" s="2" t="str">
        <f t="shared" si="2"/>
        <v>ATLANTICO</v>
      </c>
      <c r="H163" s="2" t="s">
        <v>69</v>
      </c>
      <c r="I163" s="2" t="s">
        <v>70</v>
      </c>
      <c r="J163" s="2" t="s">
        <v>71</v>
      </c>
      <c r="K163" s="2" t="s">
        <v>71</v>
      </c>
      <c r="L163" s="2" t="s">
        <v>71</v>
      </c>
      <c r="M163" s="2" t="s">
        <v>76</v>
      </c>
      <c r="N163" s="2" t="s">
        <v>76</v>
      </c>
      <c r="O163" s="2" t="s">
        <v>71</v>
      </c>
      <c r="P163" s="2" t="s">
        <v>76</v>
      </c>
      <c r="Q163" s="2" t="s">
        <v>71</v>
      </c>
      <c r="R163" s="2" t="s">
        <v>71</v>
      </c>
      <c r="S163" s="2" t="s">
        <v>71</v>
      </c>
      <c r="T163" s="2" t="s">
        <v>71</v>
      </c>
      <c r="U163" s="2" t="s">
        <v>76</v>
      </c>
      <c r="V163" s="2" t="s">
        <v>71</v>
      </c>
      <c r="W163" s="2" t="s">
        <v>71</v>
      </c>
      <c r="X163" s="2" t="s">
        <v>71</v>
      </c>
      <c r="Y163" s="2" t="s">
        <v>71</v>
      </c>
      <c r="Z163" s="2" t="s">
        <v>71</v>
      </c>
      <c r="AA163" s="2" t="s">
        <v>71</v>
      </c>
      <c r="AB163" s="2" t="s">
        <v>71</v>
      </c>
      <c r="AC163" s="2" t="s">
        <v>71</v>
      </c>
      <c r="AD163" s="2" t="s">
        <v>71</v>
      </c>
      <c r="AE163" s="2" t="s">
        <v>71</v>
      </c>
      <c r="AF163" s="2" t="s">
        <v>76</v>
      </c>
      <c r="AG163" s="2" t="s">
        <v>76</v>
      </c>
      <c r="AH163" s="2" t="s">
        <v>80</v>
      </c>
      <c r="AI163" s="2">
        <v>2</v>
      </c>
    </row>
    <row r="164" spans="1:35" ht="32" x14ac:dyDescent="0.2">
      <c r="A164" s="2">
        <v>57304740</v>
      </c>
      <c r="B164" s="2">
        <f>VLOOKUP(A164,[1]TRATAMIENTI!$A:$B,2,FALSE)</f>
        <v>163</v>
      </c>
      <c r="C164" s="2" t="s">
        <v>399</v>
      </c>
      <c r="D164" s="2">
        <v>0</v>
      </c>
      <c r="E164" s="2">
        <v>0</v>
      </c>
      <c r="F164" s="2" t="s">
        <v>68</v>
      </c>
      <c r="G164" s="2" t="str">
        <f t="shared" si="2"/>
        <v>ATLANTICO</v>
      </c>
      <c r="H164" s="2" t="s">
        <v>69</v>
      </c>
      <c r="I164" s="2" t="s">
        <v>70</v>
      </c>
      <c r="J164" s="2" t="s">
        <v>71</v>
      </c>
      <c r="K164" s="2" t="s">
        <v>72</v>
      </c>
      <c r="L164" s="2" t="s">
        <v>71</v>
      </c>
      <c r="M164" s="2" t="s">
        <v>71</v>
      </c>
      <c r="N164" s="2" t="s">
        <v>71</v>
      </c>
      <c r="O164" s="2" t="s">
        <v>76</v>
      </c>
      <c r="P164" s="2" t="s">
        <v>76</v>
      </c>
      <c r="Q164" s="2" t="s">
        <v>76</v>
      </c>
      <c r="R164" s="2" t="s">
        <v>71</v>
      </c>
      <c r="S164" s="2" t="s">
        <v>71</v>
      </c>
      <c r="T164" s="2" t="s">
        <v>76</v>
      </c>
      <c r="U164" s="2" t="s">
        <v>76</v>
      </c>
      <c r="V164" s="2" t="s">
        <v>71</v>
      </c>
      <c r="W164" s="2" t="s">
        <v>71</v>
      </c>
      <c r="X164" s="2" t="s">
        <v>71</v>
      </c>
      <c r="Y164" s="2" t="s">
        <v>71</v>
      </c>
      <c r="Z164" s="2" t="s">
        <v>71</v>
      </c>
      <c r="AA164" s="2" t="s">
        <v>71</v>
      </c>
      <c r="AB164" s="2" t="s">
        <v>71</v>
      </c>
      <c r="AC164" s="2" t="s">
        <v>71</v>
      </c>
      <c r="AD164" s="2" t="s">
        <v>71</v>
      </c>
      <c r="AE164" s="2" t="s">
        <v>71</v>
      </c>
      <c r="AF164" s="2" t="s">
        <v>76</v>
      </c>
      <c r="AG164" s="2" t="s">
        <v>76</v>
      </c>
      <c r="AH164" s="2" t="s">
        <v>77</v>
      </c>
      <c r="AI164" s="2">
        <v>3</v>
      </c>
    </row>
    <row r="165" spans="1:35" ht="32" x14ac:dyDescent="0.2">
      <c r="A165" s="2">
        <v>64558825</v>
      </c>
      <c r="B165" s="2">
        <f>VLOOKUP(A165,[1]TRATAMIENTI!$A:$B,2,FALSE)</f>
        <v>164</v>
      </c>
      <c r="C165" s="2" t="s">
        <v>400</v>
      </c>
      <c r="D165" s="2">
        <v>0</v>
      </c>
      <c r="E165" s="2" t="s">
        <v>401</v>
      </c>
      <c r="F165" s="2" t="s">
        <v>68</v>
      </c>
      <c r="G165" s="2" t="str">
        <f t="shared" si="2"/>
        <v>ATLANTICO</v>
      </c>
      <c r="H165" s="2" t="s">
        <v>69</v>
      </c>
      <c r="I165" s="2" t="s">
        <v>70</v>
      </c>
      <c r="J165" s="2" t="s">
        <v>71</v>
      </c>
      <c r="K165" s="2" t="s">
        <v>71</v>
      </c>
      <c r="L165" s="2" t="s">
        <v>76</v>
      </c>
      <c r="M165" s="2" t="s">
        <v>76</v>
      </c>
      <c r="N165" s="2" t="s">
        <v>76</v>
      </c>
      <c r="O165" s="2" t="s">
        <v>76</v>
      </c>
      <c r="P165" s="2" t="s">
        <v>76</v>
      </c>
      <c r="Q165" s="2" t="s">
        <v>76</v>
      </c>
      <c r="R165" s="2" t="s">
        <v>71</v>
      </c>
      <c r="S165" s="2" t="s">
        <v>71</v>
      </c>
      <c r="T165" s="2" t="s">
        <v>76</v>
      </c>
      <c r="U165" s="2" t="s">
        <v>76</v>
      </c>
      <c r="V165" s="2" t="s">
        <v>71</v>
      </c>
      <c r="W165" s="2" t="s">
        <v>71</v>
      </c>
      <c r="X165" s="2" t="s">
        <v>71</v>
      </c>
      <c r="Y165" s="2" t="s">
        <v>71</v>
      </c>
      <c r="Z165" s="2" t="s">
        <v>71</v>
      </c>
      <c r="AA165" s="2" t="s">
        <v>71</v>
      </c>
      <c r="AB165" s="2" t="s">
        <v>71</v>
      </c>
      <c r="AC165" s="2" t="s">
        <v>71</v>
      </c>
      <c r="AD165" s="2" t="s">
        <v>71</v>
      </c>
      <c r="AE165" s="2" t="s">
        <v>71</v>
      </c>
      <c r="AF165" s="2" t="s">
        <v>76</v>
      </c>
      <c r="AG165" s="2" t="s">
        <v>76</v>
      </c>
      <c r="AH165" s="2" t="s">
        <v>80</v>
      </c>
      <c r="AI165" s="2">
        <v>2</v>
      </c>
    </row>
    <row r="166" spans="1:35" ht="32" x14ac:dyDescent="0.2">
      <c r="A166" s="2">
        <v>72042663</v>
      </c>
      <c r="B166" s="2">
        <f>VLOOKUP(A166,[1]TRATAMIENTI!$A:$B,2,FALSE)</f>
        <v>165</v>
      </c>
      <c r="C166" t="s">
        <v>402</v>
      </c>
      <c r="D166">
        <v>3236354482</v>
      </c>
      <c r="E166" t="s">
        <v>403</v>
      </c>
      <c r="F166" s="2" t="s">
        <v>68</v>
      </c>
      <c r="G166" s="2" t="str">
        <f t="shared" si="2"/>
        <v>ATLANTICO</v>
      </c>
      <c r="H166" s="2" t="s">
        <v>69</v>
      </c>
      <c r="I166" s="2" t="s">
        <v>70</v>
      </c>
      <c r="J166" s="2" t="s">
        <v>71</v>
      </c>
      <c r="K166" s="2" t="s">
        <v>76</v>
      </c>
      <c r="L166" s="2" t="s">
        <v>76</v>
      </c>
      <c r="M166" s="2" t="s">
        <v>76</v>
      </c>
      <c r="N166" s="2" t="s">
        <v>72</v>
      </c>
      <c r="O166" s="2" t="s">
        <v>76</v>
      </c>
      <c r="P166" s="2" t="s">
        <v>76</v>
      </c>
      <c r="Q166" s="2" t="s">
        <v>71</v>
      </c>
      <c r="R166" s="2" t="s">
        <v>71</v>
      </c>
      <c r="S166" s="2" t="s">
        <v>71</v>
      </c>
      <c r="T166" s="2" t="s">
        <v>76</v>
      </c>
      <c r="U166" s="2" t="s">
        <v>76</v>
      </c>
      <c r="V166" s="2" t="s">
        <v>71</v>
      </c>
      <c r="W166" s="2" t="s">
        <v>71</v>
      </c>
      <c r="X166" s="2" t="s">
        <v>71</v>
      </c>
      <c r="Y166" s="2" t="s">
        <v>71</v>
      </c>
      <c r="Z166" s="2" t="s">
        <v>71</v>
      </c>
      <c r="AA166" s="2" t="s">
        <v>71</v>
      </c>
      <c r="AB166" s="2" t="s">
        <v>71</v>
      </c>
      <c r="AC166" s="2" t="s">
        <v>71</v>
      </c>
      <c r="AD166" s="2" t="s">
        <v>71</v>
      </c>
      <c r="AE166" s="2" t="s">
        <v>71</v>
      </c>
      <c r="AF166" s="2" t="s">
        <v>76</v>
      </c>
      <c r="AG166" s="2" t="s">
        <v>76</v>
      </c>
      <c r="AH166" s="2" t="s">
        <v>80</v>
      </c>
      <c r="AI166" s="2">
        <v>2</v>
      </c>
    </row>
    <row r="167" spans="1:35" ht="32" x14ac:dyDescent="0.2">
      <c r="A167" s="2">
        <v>72129785</v>
      </c>
      <c r="B167" s="2">
        <f>VLOOKUP(A167,[1]TRATAMIENTI!$A:$B,2,FALSE)</f>
        <v>166</v>
      </c>
      <c r="C167" s="2" t="s">
        <v>404</v>
      </c>
      <c r="D167" s="2">
        <v>3243850758</v>
      </c>
      <c r="E167" s="2" t="s">
        <v>405</v>
      </c>
      <c r="F167" s="2" t="s">
        <v>68</v>
      </c>
      <c r="G167" s="2" t="str">
        <f t="shared" si="2"/>
        <v>ATLANTICO</v>
      </c>
      <c r="H167" s="2" t="s">
        <v>69</v>
      </c>
      <c r="I167" s="2" t="s">
        <v>70</v>
      </c>
      <c r="J167" s="2" t="s">
        <v>71</v>
      </c>
      <c r="K167" s="2" t="s">
        <v>76</v>
      </c>
      <c r="L167" s="2" t="s">
        <v>76</v>
      </c>
      <c r="M167" s="2" t="s">
        <v>76</v>
      </c>
      <c r="N167" s="2" t="s">
        <v>76</v>
      </c>
      <c r="O167" s="2" t="s">
        <v>76</v>
      </c>
      <c r="P167" s="2" t="s">
        <v>76</v>
      </c>
      <c r="Q167" s="2" t="s">
        <v>76</v>
      </c>
      <c r="R167" s="2" t="s">
        <v>71</v>
      </c>
      <c r="S167" s="2" t="s">
        <v>71</v>
      </c>
      <c r="T167" s="2" t="s">
        <v>76</v>
      </c>
      <c r="U167" s="2" t="s">
        <v>76</v>
      </c>
      <c r="V167" s="2" t="s">
        <v>71</v>
      </c>
      <c r="W167" s="2" t="s">
        <v>71</v>
      </c>
      <c r="X167" s="2" t="s">
        <v>71</v>
      </c>
      <c r="Y167" s="2" t="s">
        <v>71</v>
      </c>
      <c r="Z167" s="2" t="s">
        <v>71</v>
      </c>
      <c r="AA167" s="2" t="s">
        <v>71</v>
      </c>
      <c r="AB167" s="2" t="s">
        <v>71</v>
      </c>
      <c r="AC167" s="2" t="s">
        <v>71</v>
      </c>
      <c r="AD167" s="2" t="s">
        <v>71</v>
      </c>
      <c r="AE167" s="2" t="s">
        <v>71</v>
      </c>
      <c r="AF167" s="2" t="s">
        <v>76</v>
      </c>
      <c r="AG167" s="2" t="s">
        <v>76</v>
      </c>
      <c r="AH167" s="2" t="s">
        <v>91</v>
      </c>
      <c r="AI167" s="2">
        <v>2</v>
      </c>
    </row>
    <row r="168" spans="1:35" ht="32" x14ac:dyDescent="0.2">
      <c r="A168" s="2">
        <v>72132483</v>
      </c>
      <c r="B168" s="2">
        <f>VLOOKUP(A168,[1]TRATAMIENTI!$A:$B,2,FALSE)</f>
        <v>167</v>
      </c>
      <c r="C168" s="2" t="s">
        <v>406</v>
      </c>
      <c r="D168" s="2">
        <v>3172162206</v>
      </c>
      <c r="E168" s="2" t="s">
        <v>407</v>
      </c>
      <c r="F168" s="2" t="s">
        <v>68</v>
      </c>
      <c r="G168" s="2" t="str">
        <f t="shared" si="2"/>
        <v>ATLANTICO</v>
      </c>
      <c r="H168" s="2" t="s">
        <v>69</v>
      </c>
      <c r="I168" s="2" t="s">
        <v>70</v>
      </c>
      <c r="J168" s="2" t="s">
        <v>71</v>
      </c>
      <c r="K168" s="2" t="s">
        <v>71</v>
      </c>
      <c r="L168" s="2" t="s">
        <v>76</v>
      </c>
      <c r="M168" s="2" t="s">
        <v>76</v>
      </c>
      <c r="N168" s="2" t="s">
        <v>76</v>
      </c>
      <c r="O168" s="2" t="s">
        <v>76</v>
      </c>
      <c r="P168" s="2" t="s">
        <v>76</v>
      </c>
      <c r="Q168" s="2" t="s">
        <v>76</v>
      </c>
      <c r="R168" s="2" t="s">
        <v>71</v>
      </c>
      <c r="S168" s="2" t="s">
        <v>71</v>
      </c>
      <c r="T168" s="2" t="s">
        <v>76</v>
      </c>
      <c r="U168" s="2" t="s">
        <v>76</v>
      </c>
      <c r="V168" s="2" t="s">
        <v>71</v>
      </c>
      <c r="W168" s="2" t="s">
        <v>71</v>
      </c>
      <c r="X168" s="2" t="s">
        <v>71</v>
      </c>
      <c r="Y168" s="2" t="s">
        <v>71</v>
      </c>
      <c r="Z168" s="2" t="s">
        <v>71</v>
      </c>
      <c r="AA168" s="2" t="s">
        <v>71</v>
      </c>
      <c r="AB168" s="2" t="s">
        <v>71</v>
      </c>
      <c r="AC168" s="2" t="s">
        <v>71</v>
      </c>
      <c r="AD168" s="2" t="s">
        <v>71</v>
      </c>
      <c r="AE168" s="2" t="s">
        <v>71</v>
      </c>
      <c r="AF168" s="2" t="s">
        <v>76</v>
      </c>
      <c r="AG168" s="2" t="s">
        <v>76</v>
      </c>
      <c r="AH168" s="2" t="s">
        <v>80</v>
      </c>
      <c r="AI168" s="2">
        <v>2</v>
      </c>
    </row>
    <row r="169" spans="1:35" ht="32" x14ac:dyDescent="0.2">
      <c r="A169" s="2">
        <v>72144157</v>
      </c>
      <c r="B169" s="2">
        <f>VLOOKUP(A169,[1]TRATAMIENTI!$A:$B,2,FALSE)</f>
        <v>168</v>
      </c>
      <c r="C169" t="s">
        <v>408</v>
      </c>
      <c r="D169" s="2">
        <v>0</v>
      </c>
      <c r="E169" s="2">
        <v>0</v>
      </c>
      <c r="F169" s="2" t="s">
        <v>68</v>
      </c>
      <c r="G169" s="2" t="str">
        <f t="shared" si="2"/>
        <v>ATLANTICO</v>
      </c>
      <c r="H169" s="2" t="s">
        <v>69</v>
      </c>
      <c r="I169" s="2" t="s">
        <v>70</v>
      </c>
      <c r="J169" s="2" t="s">
        <v>71</v>
      </c>
      <c r="K169" s="2" t="s">
        <v>72</v>
      </c>
      <c r="L169" s="2" t="s">
        <v>71</v>
      </c>
      <c r="M169" s="2" t="s">
        <v>71</v>
      </c>
      <c r="N169" s="2" t="s">
        <v>71</v>
      </c>
      <c r="O169" s="2" t="s">
        <v>76</v>
      </c>
      <c r="P169" s="2" t="s">
        <v>76</v>
      </c>
      <c r="Q169" s="2" t="s">
        <v>76</v>
      </c>
      <c r="R169" s="2" t="s">
        <v>71</v>
      </c>
      <c r="S169" s="2" t="s">
        <v>71</v>
      </c>
      <c r="T169" s="2" t="s">
        <v>76</v>
      </c>
      <c r="U169" s="2" t="s">
        <v>76</v>
      </c>
      <c r="V169" s="2" t="s">
        <v>71</v>
      </c>
      <c r="W169" s="2" t="s">
        <v>71</v>
      </c>
      <c r="X169" s="2" t="s">
        <v>71</v>
      </c>
      <c r="Y169" s="2" t="s">
        <v>71</v>
      </c>
      <c r="Z169" s="2" t="s">
        <v>71</v>
      </c>
      <c r="AA169" s="2" t="s">
        <v>71</v>
      </c>
      <c r="AB169" s="2" t="s">
        <v>71</v>
      </c>
      <c r="AC169" s="2" t="s">
        <v>71</v>
      </c>
      <c r="AD169" s="2" t="s">
        <v>71</v>
      </c>
      <c r="AE169" s="2" t="s">
        <v>71</v>
      </c>
      <c r="AF169" s="2" t="s">
        <v>72</v>
      </c>
      <c r="AG169" s="2" t="s">
        <v>72</v>
      </c>
      <c r="AH169" s="2" t="s">
        <v>77</v>
      </c>
      <c r="AI169" s="2">
        <v>1</v>
      </c>
    </row>
    <row r="170" spans="1:35" ht="32" x14ac:dyDescent="0.2">
      <c r="A170" s="2">
        <v>72145817</v>
      </c>
      <c r="B170" s="2">
        <f>VLOOKUP(A170,[1]TRATAMIENTI!$A:$B,2,FALSE)</f>
        <v>169</v>
      </c>
      <c r="C170" t="s">
        <v>409</v>
      </c>
      <c r="D170" s="2">
        <v>0</v>
      </c>
      <c r="E170" s="2" t="s">
        <v>410</v>
      </c>
      <c r="F170" s="2" t="s">
        <v>68</v>
      </c>
      <c r="G170" s="2" t="str">
        <f t="shared" si="2"/>
        <v>ATLANTICO</v>
      </c>
      <c r="H170" s="2" t="s">
        <v>69</v>
      </c>
      <c r="I170" s="2" t="s">
        <v>70</v>
      </c>
      <c r="J170" s="2" t="s">
        <v>71</v>
      </c>
      <c r="K170" s="2" t="s">
        <v>72</v>
      </c>
      <c r="L170" s="2" t="s">
        <v>71</v>
      </c>
      <c r="M170" s="2" t="s">
        <v>71</v>
      </c>
      <c r="N170" s="2" t="s">
        <v>71</v>
      </c>
      <c r="O170" s="2" t="s">
        <v>76</v>
      </c>
      <c r="P170" s="2" t="s">
        <v>76</v>
      </c>
      <c r="Q170" s="2" t="s">
        <v>76</v>
      </c>
      <c r="R170" s="2" t="s">
        <v>71</v>
      </c>
      <c r="S170" s="2" t="s">
        <v>71</v>
      </c>
      <c r="T170" s="2" t="s">
        <v>76</v>
      </c>
      <c r="U170" s="2" t="s">
        <v>76</v>
      </c>
      <c r="V170" s="2" t="s">
        <v>71</v>
      </c>
      <c r="W170" s="2" t="s">
        <v>71</v>
      </c>
      <c r="X170" s="2" t="s">
        <v>71</v>
      </c>
      <c r="Y170" s="2" t="s">
        <v>71</v>
      </c>
      <c r="Z170" s="2" t="s">
        <v>71</v>
      </c>
      <c r="AA170" s="2" t="s">
        <v>71</v>
      </c>
      <c r="AB170" s="2" t="s">
        <v>71</v>
      </c>
      <c r="AC170" s="2" t="s">
        <v>71</v>
      </c>
      <c r="AD170" s="2" t="s">
        <v>71</v>
      </c>
      <c r="AE170" s="2" t="s">
        <v>71</v>
      </c>
      <c r="AF170" s="2" t="s">
        <v>72</v>
      </c>
      <c r="AG170" s="2" t="s">
        <v>72</v>
      </c>
      <c r="AH170" s="2" t="s">
        <v>77</v>
      </c>
      <c r="AI170" s="2">
        <v>1</v>
      </c>
    </row>
    <row r="171" spans="1:35" ht="32" x14ac:dyDescent="0.2">
      <c r="A171" s="2">
        <v>72146737</v>
      </c>
      <c r="B171" s="2">
        <f>VLOOKUP(A171,[1]TRATAMIENTI!$A:$B,2,FALSE)</f>
        <v>170</v>
      </c>
      <c r="C171" t="s">
        <v>411</v>
      </c>
      <c r="D171">
        <v>3142737084</v>
      </c>
      <c r="E171" t="s">
        <v>412</v>
      </c>
      <c r="F171" s="2" t="s">
        <v>68</v>
      </c>
      <c r="G171" s="2" t="str">
        <f t="shared" si="2"/>
        <v>ATLANTICO</v>
      </c>
      <c r="H171" s="2" t="s">
        <v>69</v>
      </c>
      <c r="I171" s="2" t="s">
        <v>70</v>
      </c>
      <c r="J171" s="2" t="s">
        <v>76</v>
      </c>
      <c r="K171" s="2" t="s">
        <v>76</v>
      </c>
      <c r="L171" s="2" t="s">
        <v>71</v>
      </c>
      <c r="M171" s="2" t="s">
        <v>71</v>
      </c>
      <c r="N171" s="2" t="s">
        <v>71</v>
      </c>
      <c r="O171" s="2" t="s">
        <v>71</v>
      </c>
      <c r="P171" s="2" t="s">
        <v>71</v>
      </c>
      <c r="Q171" s="2" t="s">
        <v>71</v>
      </c>
      <c r="R171" s="2" t="s">
        <v>71</v>
      </c>
      <c r="S171" s="2" t="s">
        <v>71</v>
      </c>
      <c r="T171" s="2" t="s">
        <v>71</v>
      </c>
      <c r="U171" s="2" t="s">
        <v>71</v>
      </c>
      <c r="V171" s="2" t="s">
        <v>71</v>
      </c>
      <c r="W171" s="2" t="s">
        <v>71</v>
      </c>
      <c r="X171" s="2" t="s">
        <v>71</v>
      </c>
      <c r="Y171" s="2" t="s">
        <v>71</v>
      </c>
      <c r="Z171" s="2" t="s">
        <v>71</v>
      </c>
      <c r="AA171" s="2" t="s">
        <v>71</v>
      </c>
      <c r="AB171" s="2" t="s">
        <v>71</v>
      </c>
      <c r="AC171" s="2" t="s">
        <v>71</v>
      </c>
      <c r="AD171" s="2" t="s">
        <v>71</v>
      </c>
      <c r="AE171" s="2" t="s">
        <v>71</v>
      </c>
      <c r="AF171" s="2" t="s">
        <v>71</v>
      </c>
      <c r="AG171" s="2" t="s">
        <v>71</v>
      </c>
      <c r="AH171" s="2" t="s">
        <v>73</v>
      </c>
      <c r="AI171" s="2">
        <v>3</v>
      </c>
    </row>
    <row r="172" spans="1:35" ht="32" x14ac:dyDescent="0.2">
      <c r="A172" s="2">
        <v>72178853</v>
      </c>
      <c r="B172" s="2">
        <f>VLOOKUP(A172,[1]TRATAMIENTI!$A:$B,2,FALSE)</f>
        <v>171</v>
      </c>
      <c r="C172" t="s">
        <v>413</v>
      </c>
      <c r="D172" s="2">
        <v>0</v>
      </c>
      <c r="E172" t="s">
        <v>414</v>
      </c>
      <c r="F172" s="2" t="s">
        <v>68</v>
      </c>
      <c r="G172" s="2" t="str">
        <f t="shared" si="2"/>
        <v>ATLANTICO</v>
      </c>
      <c r="H172" s="2" t="s">
        <v>69</v>
      </c>
      <c r="I172" s="2" t="s">
        <v>70</v>
      </c>
      <c r="J172" s="2" t="s">
        <v>71</v>
      </c>
      <c r="K172" s="2" t="s">
        <v>72</v>
      </c>
      <c r="L172" s="2" t="s">
        <v>71</v>
      </c>
      <c r="M172" s="2" t="s">
        <v>71</v>
      </c>
      <c r="N172" s="2" t="s">
        <v>71</v>
      </c>
      <c r="O172" s="2" t="s">
        <v>71</v>
      </c>
      <c r="P172" s="2" t="s">
        <v>71</v>
      </c>
      <c r="Q172" s="2" t="s">
        <v>71</v>
      </c>
      <c r="R172" s="2" t="s">
        <v>71</v>
      </c>
      <c r="S172" s="2" t="s">
        <v>71</v>
      </c>
      <c r="T172" s="2" t="s">
        <v>71</v>
      </c>
      <c r="U172" s="2" t="s">
        <v>71</v>
      </c>
      <c r="V172" s="2" t="s">
        <v>71</v>
      </c>
      <c r="W172" s="2" t="s">
        <v>71</v>
      </c>
      <c r="X172" s="2" t="s">
        <v>71</v>
      </c>
      <c r="Y172" s="2" t="s">
        <v>71</v>
      </c>
      <c r="Z172" s="2" t="s">
        <v>71</v>
      </c>
      <c r="AA172" s="2" t="s">
        <v>71</v>
      </c>
      <c r="AB172" s="2" t="s">
        <v>71</v>
      </c>
      <c r="AC172" s="2" t="s">
        <v>71</v>
      </c>
      <c r="AD172" s="2" t="s">
        <v>71</v>
      </c>
      <c r="AE172" s="2" t="s">
        <v>71</v>
      </c>
      <c r="AF172" s="2" t="s">
        <v>71</v>
      </c>
      <c r="AG172" s="2" t="s">
        <v>71</v>
      </c>
      <c r="AH172" s="2" t="s">
        <v>73</v>
      </c>
      <c r="AI172" s="2">
        <v>3</v>
      </c>
    </row>
    <row r="173" spans="1:35" ht="32" x14ac:dyDescent="0.2">
      <c r="A173" s="2">
        <v>72180833</v>
      </c>
      <c r="B173" s="2">
        <f>VLOOKUP(A173,[1]TRATAMIENTI!$A:$B,2,FALSE)</f>
        <v>172</v>
      </c>
      <c r="C173" t="s">
        <v>415</v>
      </c>
      <c r="D173" t="s">
        <v>416</v>
      </c>
      <c r="E173" s="2" t="s">
        <v>417</v>
      </c>
      <c r="F173" s="2" t="s">
        <v>68</v>
      </c>
      <c r="G173" s="2" t="str">
        <f t="shared" si="2"/>
        <v>ATLANTICO</v>
      </c>
      <c r="H173" s="2" t="s">
        <v>69</v>
      </c>
      <c r="I173" s="2" t="s">
        <v>70</v>
      </c>
      <c r="J173" s="2" t="s">
        <v>71</v>
      </c>
      <c r="K173" s="2" t="s">
        <v>72</v>
      </c>
      <c r="L173" s="2" t="s">
        <v>71</v>
      </c>
      <c r="M173" s="2" t="s">
        <v>71</v>
      </c>
      <c r="N173" s="2" t="s">
        <v>71</v>
      </c>
      <c r="O173" s="2" t="s">
        <v>71</v>
      </c>
      <c r="P173" s="2" t="s">
        <v>71</v>
      </c>
      <c r="Q173" s="2" t="s">
        <v>71</v>
      </c>
      <c r="R173" s="2" t="s">
        <v>71</v>
      </c>
      <c r="S173" s="2" t="s">
        <v>71</v>
      </c>
      <c r="T173" s="2" t="s">
        <v>71</v>
      </c>
      <c r="U173" s="2" t="s">
        <v>71</v>
      </c>
      <c r="V173" s="2" t="s">
        <v>71</v>
      </c>
      <c r="W173" s="2" t="s">
        <v>71</v>
      </c>
      <c r="X173" s="2" t="s">
        <v>71</v>
      </c>
      <c r="Y173" s="2" t="s">
        <v>71</v>
      </c>
      <c r="Z173" s="2" t="s">
        <v>71</v>
      </c>
      <c r="AA173" s="2" t="s">
        <v>71</v>
      </c>
      <c r="AB173" s="2" t="s">
        <v>71</v>
      </c>
      <c r="AC173" s="2" t="s">
        <v>71</v>
      </c>
      <c r="AD173" s="2" t="s">
        <v>71</v>
      </c>
      <c r="AE173" s="2" t="s">
        <v>71</v>
      </c>
      <c r="AF173" s="2" t="s">
        <v>71</v>
      </c>
      <c r="AG173" s="2" t="s">
        <v>71</v>
      </c>
      <c r="AH173" s="2" t="s">
        <v>73</v>
      </c>
      <c r="AI173" s="2">
        <v>3</v>
      </c>
    </row>
    <row r="174" spans="1:35" ht="32" x14ac:dyDescent="0.2">
      <c r="A174" s="2">
        <v>72182204</v>
      </c>
      <c r="B174" s="2">
        <f>VLOOKUP(A174,[1]TRATAMIENTI!$A:$B,2,FALSE)</f>
        <v>173</v>
      </c>
      <c r="C174" t="s">
        <v>418</v>
      </c>
      <c r="D174" s="2">
        <v>0</v>
      </c>
      <c r="E174" s="2" t="s">
        <v>419</v>
      </c>
      <c r="F174" s="2" t="s">
        <v>68</v>
      </c>
      <c r="G174" s="2" t="str">
        <f t="shared" si="2"/>
        <v>ATLANTICO</v>
      </c>
      <c r="H174" s="2" t="s">
        <v>69</v>
      </c>
      <c r="I174" s="2" t="s">
        <v>70</v>
      </c>
      <c r="J174" s="2" t="s">
        <v>71</v>
      </c>
      <c r="K174" s="2" t="s">
        <v>72</v>
      </c>
      <c r="L174" s="2" t="s">
        <v>71</v>
      </c>
      <c r="M174" s="2" t="s">
        <v>71</v>
      </c>
      <c r="N174" s="2" t="s">
        <v>71</v>
      </c>
      <c r="O174" s="2" t="s">
        <v>76</v>
      </c>
      <c r="P174" s="2" t="s">
        <v>76</v>
      </c>
      <c r="Q174" s="2" t="s">
        <v>76</v>
      </c>
      <c r="R174" s="2" t="s">
        <v>71</v>
      </c>
      <c r="S174" s="2" t="s">
        <v>71</v>
      </c>
      <c r="T174" s="2" t="s">
        <v>76</v>
      </c>
      <c r="U174" s="2" t="s">
        <v>76</v>
      </c>
      <c r="V174" s="2" t="s">
        <v>71</v>
      </c>
      <c r="W174" s="2" t="s">
        <v>71</v>
      </c>
      <c r="X174" s="2" t="s">
        <v>71</v>
      </c>
      <c r="Y174" s="2" t="s">
        <v>71</v>
      </c>
      <c r="Z174" s="2" t="s">
        <v>71</v>
      </c>
      <c r="AA174" s="2" t="s">
        <v>71</v>
      </c>
      <c r="AB174" s="2" t="s">
        <v>71</v>
      </c>
      <c r="AC174" s="2" t="s">
        <v>71</v>
      </c>
      <c r="AD174" s="2" t="s">
        <v>71</v>
      </c>
      <c r="AE174" s="2" t="s">
        <v>71</v>
      </c>
      <c r="AF174" s="2" t="s">
        <v>76</v>
      </c>
      <c r="AG174" s="2" t="s">
        <v>76</v>
      </c>
      <c r="AH174" s="2" t="s">
        <v>77</v>
      </c>
      <c r="AI174" s="2">
        <v>2</v>
      </c>
    </row>
    <row r="175" spans="1:35" ht="32" x14ac:dyDescent="0.2">
      <c r="A175" s="2">
        <v>72200209</v>
      </c>
      <c r="B175" s="2">
        <f>VLOOKUP(A175,[1]TRATAMIENTI!$A:$B,2,FALSE)</f>
        <v>174</v>
      </c>
      <c r="C175" t="s">
        <v>420</v>
      </c>
      <c r="D175">
        <v>3013456924</v>
      </c>
      <c r="E175" s="2" t="s">
        <v>421</v>
      </c>
      <c r="F175" s="2" t="s">
        <v>68</v>
      </c>
      <c r="G175" s="2" t="str">
        <f t="shared" si="2"/>
        <v>ATLANTICO</v>
      </c>
      <c r="H175" s="2" t="s">
        <v>69</v>
      </c>
      <c r="I175" s="2" t="s">
        <v>70</v>
      </c>
      <c r="J175" s="2" t="s">
        <v>71</v>
      </c>
      <c r="K175" s="2" t="s">
        <v>71</v>
      </c>
      <c r="L175" s="2" t="s">
        <v>76</v>
      </c>
      <c r="M175" s="2" t="s">
        <v>76</v>
      </c>
      <c r="N175" s="2" t="s">
        <v>76</v>
      </c>
      <c r="O175" s="2" t="s">
        <v>76</v>
      </c>
      <c r="P175" s="2" t="s">
        <v>71</v>
      </c>
      <c r="Q175" s="2" t="s">
        <v>76</v>
      </c>
      <c r="R175" s="2" t="s">
        <v>71</v>
      </c>
      <c r="S175" s="2" t="s">
        <v>71</v>
      </c>
      <c r="T175" s="2" t="s">
        <v>76</v>
      </c>
      <c r="U175" s="2" t="s">
        <v>76</v>
      </c>
      <c r="V175" s="2" t="s">
        <v>71</v>
      </c>
      <c r="W175" s="2" t="s">
        <v>71</v>
      </c>
      <c r="X175" s="2" t="s">
        <v>71</v>
      </c>
      <c r="Y175" s="2" t="s">
        <v>71</v>
      </c>
      <c r="Z175" s="2" t="s">
        <v>71</v>
      </c>
      <c r="AA175" s="2" t="s">
        <v>71</v>
      </c>
      <c r="AB175" s="2" t="s">
        <v>71</v>
      </c>
      <c r="AC175" s="2" t="s">
        <v>71</v>
      </c>
      <c r="AD175" s="2" t="s">
        <v>71</v>
      </c>
      <c r="AE175" s="2" t="s">
        <v>71</v>
      </c>
      <c r="AF175" s="2" t="s">
        <v>76</v>
      </c>
      <c r="AG175" s="2" t="s">
        <v>76</v>
      </c>
      <c r="AH175" s="2" t="s">
        <v>80</v>
      </c>
      <c r="AI175" s="2">
        <v>2</v>
      </c>
    </row>
    <row r="176" spans="1:35" ht="32" x14ac:dyDescent="0.2">
      <c r="A176" s="2">
        <v>72210592</v>
      </c>
      <c r="B176" s="2">
        <f>VLOOKUP(A176,[1]TRATAMIENTI!$A:$B,2,FALSE)</f>
        <v>175</v>
      </c>
      <c r="C176" t="s">
        <v>422</v>
      </c>
      <c r="D176">
        <v>3170191518</v>
      </c>
      <c r="E176" t="s">
        <v>423</v>
      </c>
      <c r="F176" s="2" t="s">
        <v>68</v>
      </c>
      <c r="G176" s="2" t="str">
        <f t="shared" si="2"/>
        <v>ATLANTICO</v>
      </c>
      <c r="H176" s="2" t="s">
        <v>69</v>
      </c>
      <c r="I176" s="2" t="s">
        <v>70</v>
      </c>
      <c r="J176" s="2" t="s">
        <v>71</v>
      </c>
      <c r="K176" s="2" t="s">
        <v>71</v>
      </c>
      <c r="L176" s="2" t="s">
        <v>71</v>
      </c>
      <c r="M176" s="2" t="s">
        <v>76</v>
      </c>
      <c r="N176" s="2" t="s">
        <v>72</v>
      </c>
      <c r="O176" s="2" t="s">
        <v>76</v>
      </c>
      <c r="P176" s="2" t="s">
        <v>76</v>
      </c>
      <c r="Q176" s="2" t="s">
        <v>76</v>
      </c>
      <c r="R176" s="2" t="s">
        <v>71</v>
      </c>
      <c r="S176" s="2" t="s">
        <v>71</v>
      </c>
      <c r="T176" s="2" t="s">
        <v>72</v>
      </c>
      <c r="U176" s="2" t="s">
        <v>72</v>
      </c>
      <c r="V176" s="2" t="s">
        <v>71</v>
      </c>
      <c r="W176" s="2" t="s">
        <v>71</v>
      </c>
      <c r="X176" s="2" t="s">
        <v>71</v>
      </c>
      <c r="Y176" s="2" t="s">
        <v>71</v>
      </c>
      <c r="Z176" s="2" t="s">
        <v>71</v>
      </c>
      <c r="AA176" s="2" t="s">
        <v>71</v>
      </c>
      <c r="AB176" s="2" t="s">
        <v>71</v>
      </c>
      <c r="AC176" s="2" t="s">
        <v>71</v>
      </c>
      <c r="AD176" s="2" t="s">
        <v>71</v>
      </c>
      <c r="AE176" s="2" t="s">
        <v>71</v>
      </c>
      <c r="AF176" s="2" t="s">
        <v>76</v>
      </c>
      <c r="AG176" s="2" t="s">
        <v>76</v>
      </c>
      <c r="AH176" s="2" t="s">
        <v>80</v>
      </c>
      <c r="AI176" s="2">
        <v>1</v>
      </c>
    </row>
    <row r="177" spans="1:35" ht="32" x14ac:dyDescent="0.2">
      <c r="A177" s="2">
        <v>72212320</v>
      </c>
      <c r="B177" s="2">
        <f>VLOOKUP(A177,[1]TRATAMIENTI!$A:$B,2,FALSE)</f>
        <v>176</v>
      </c>
      <c r="C177" t="s">
        <v>424</v>
      </c>
      <c r="D177" s="2">
        <v>0</v>
      </c>
      <c r="E177" t="s">
        <v>425</v>
      </c>
      <c r="F177" s="2" t="s">
        <v>68</v>
      </c>
      <c r="G177" s="2" t="str">
        <f t="shared" si="2"/>
        <v>ATLANTICO</v>
      </c>
      <c r="H177" s="2" t="s">
        <v>69</v>
      </c>
      <c r="I177" s="2" t="s">
        <v>70</v>
      </c>
      <c r="J177" s="2" t="s">
        <v>71</v>
      </c>
      <c r="K177" s="2" t="s">
        <v>76</v>
      </c>
      <c r="L177" s="2" t="s">
        <v>71</v>
      </c>
      <c r="M177" s="2" t="s">
        <v>71</v>
      </c>
      <c r="N177" s="2" t="s">
        <v>71</v>
      </c>
      <c r="O177" s="2" t="s">
        <v>71</v>
      </c>
      <c r="P177" s="2" t="s">
        <v>71</v>
      </c>
      <c r="Q177" s="2" t="s">
        <v>71</v>
      </c>
      <c r="R177" s="2" t="s">
        <v>71</v>
      </c>
      <c r="S177" s="2" t="s">
        <v>71</v>
      </c>
      <c r="T177" s="2" t="s">
        <v>71</v>
      </c>
      <c r="U177" s="2" t="s">
        <v>71</v>
      </c>
      <c r="V177" s="2" t="s">
        <v>71</v>
      </c>
      <c r="W177" s="2" t="s">
        <v>71</v>
      </c>
      <c r="X177" s="2" t="s">
        <v>71</v>
      </c>
      <c r="Y177" s="2" t="s">
        <v>71</v>
      </c>
      <c r="Z177" s="2" t="s">
        <v>71</v>
      </c>
      <c r="AA177" s="2" t="s">
        <v>71</v>
      </c>
      <c r="AB177" s="2" t="s">
        <v>71</v>
      </c>
      <c r="AC177" s="2" t="s">
        <v>71</v>
      </c>
      <c r="AD177" s="2" t="s">
        <v>71</v>
      </c>
      <c r="AE177" s="2" t="s">
        <v>71</v>
      </c>
      <c r="AF177" s="2" t="s">
        <v>71</v>
      </c>
      <c r="AG177" s="2" t="s">
        <v>71</v>
      </c>
      <c r="AH177" s="2" t="s">
        <v>73</v>
      </c>
      <c r="AI177" s="2">
        <v>3</v>
      </c>
    </row>
    <row r="178" spans="1:35" ht="32" x14ac:dyDescent="0.2">
      <c r="A178" s="2">
        <v>72214776</v>
      </c>
      <c r="B178" s="2">
        <f>VLOOKUP(A178,[1]TRATAMIENTI!$A:$B,2,FALSE)</f>
        <v>177</v>
      </c>
      <c r="C178" t="s">
        <v>426</v>
      </c>
      <c r="D178">
        <v>3013614530</v>
      </c>
      <c r="E178" s="2" t="s">
        <v>427</v>
      </c>
      <c r="F178" s="2" t="s">
        <v>68</v>
      </c>
      <c r="G178" s="2" t="str">
        <f t="shared" si="2"/>
        <v>ATLANTICO</v>
      </c>
      <c r="H178" s="2" t="s">
        <v>69</v>
      </c>
      <c r="I178" s="2" t="s">
        <v>70</v>
      </c>
      <c r="J178" s="2" t="s">
        <v>71</v>
      </c>
      <c r="K178" s="2" t="s">
        <v>72</v>
      </c>
      <c r="L178" s="2" t="s">
        <v>71</v>
      </c>
      <c r="M178" s="2" t="s">
        <v>71</v>
      </c>
      <c r="N178" s="2" t="s">
        <v>71</v>
      </c>
      <c r="O178" s="2" t="s">
        <v>76</v>
      </c>
      <c r="P178" s="2" t="s">
        <v>76</v>
      </c>
      <c r="Q178" s="2" t="s">
        <v>76</v>
      </c>
      <c r="R178" s="2" t="s">
        <v>71</v>
      </c>
      <c r="S178" s="2" t="s">
        <v>71</v>
      </c>
      <c r="T178" s="2" t="s">
        <v>76</v>
      </c>
      <c r="U178" s="2" t="s">
        <v>76</v>
      </c>
      <c r="V178" s="2" t="s">
        <v>71</v>
      </c>
      <c r="W178" s="2" t="s">
        <v>71</v>
      </c>
      <c r="X178" s="2" t="s">
        <v>71</v>
      </c>
      <c r="Y178" s="2" t="s">
        <v>71</v>
      </c>
      <c r="Z178" s="2" t="s">
        <v>71</v>
      </c>
      <c r="AA178" s="2" t="s">
        <v>71</v>
      </c>
      <c r="AB178" s="2" t="s">
        <v>71</v>
      </c>
      <c r="AC178" s="2" t="s">
        <v>71</v>
      </c>
      <c r="AD178" s="2" t="s">
        <v>71</v>
      </c>
      <c r="AE178" s="2" t="s">
        <v>71</v>
      </c>
      <c r="AF178" s="2" t="s">
        <v>76</v>
      </c>
      <c r="AG178" s="2" t="s">
        <v>76</v>
      </c>
      <c r="AH178" s="2" t="s">
        <v>77</v>
      </c>
      <c r="AI178" s="2">
        <v>1</v>
      </c>
    </row>
    <row r="179" spans="1:35" ht="32" x14ac:dyDescent="0.2">
      <c r="A179" s="2">
        <v>72227073</v>
      </c>
      <c r="B179" s="2">
        <f>VLOOKUP(A179,[1]TRATAMIENTI!$A:$B,2,FALSE)</f>
        <v>178</v>
      </c>
      <c r="C179" t="s">
        <v>428</v>
      </c>
      <c r="D179">
        <v>3005327839</v>
      </c>
      <c r="E179" s="2" t="s">
        <v>429</v>
      </c>
      <c r="F179" s="2" t="s">
        <v>68</v>
      </c>
      <c r="G179" s="2" t="str">
        <f t="shared" si="2"/>
        <v>ATLANTICO</v>
      </c>
      <c r="H179" s="2" t="s">
        <v>69</v>
      </c>
      <c r="I179" s="2" t="s">
        <v>70</v>
      </c>
      <c r="J179" s="2" t="s">
        <v>72</v>
      </c>
      <c r="K179" s="2" t="s">
        <v>72</v>
      </c>
      <c r="L179" s="2" t="s">
        <v>71</v>
      </c>
      <c r="M179" s="2" t="s">
        <v>71</v>
      </c>
      <c r="N179" s="2" t="s">
        <v>71</v>
      </c>
      <c r="O179" s="2" t="s">
        <v>71</v>
      </c>
      <c r="P179" s="2" t="s">
        <v>71</v>
      </c>
      <c r="Q179" s="2" t="s">
        <v>71</v>
      </c>
      <c r="R179" s="2" t="s">
        <v>71</v>
      </c>
      <c r="S179" s="2" t="s">
        <v>71</v>
      </c>
      <c r="T179" s="2" t="s">
        <v>71</v>
      </c>
      <c r="U179" s="2" t="s">
        <v>71</v>
      </c>
      <c r="V179" s="2" t="s">
        <v>71</v>
      </c>
      <c r="W179" s="2" t="s">
        <v>71</v>
      </c>
      <c r="X179" s="2" t="s">
        <v>71</v>
      </c>
      <c r="Y179" s="2" t="s">
        <v>71</v>
      </c>
      <c r="Z179" s="2" t="s">
        <v>71</v>
      </c>
      <c r="AA179" s="2" t="s">
        <v>71</v>
      </c>
      <c r="AB179" s="2" t="s">
        <v>71</v>
      </c>
      <c r="AC179" s="2" t="s">
        <v>71</v>
      </c>
      <c r="AD179" s="2" t="s">
        <v>71</v>
      </c>
      <c r="AE179" s="2" t="s">
        <v>71</v>
      </c>
      <c r="AF179" s="2" t="s">
        <v>71</v>
      </c>
      <c r="AG179" s="2" t="s">
        <v>71</v>
      </c>
      <c r="AH179" s="2" t="s">
        <v>73</v>
      </c>
      <c r="AI179" s="2">
        <v>3</v>
      </c>
    </row>
    <row r="180" spans="1:35" ht="32" x14ac:dyDescent="0.2">
      <c r="A180" s="2">
        <v>72227387</v>
      </c>
      <c r="B180" s="2">
        <f>VLOOKUP(A180,[1]TRATAMIENTI!$A:$B,2,FALSE)</f>
        <v>179</v>
      </c>
      <c r="C180" t="s">
        <v>430</v>
      </c>
      <c r="D180" s="2">
        <v>0</v>
      </c>
      <c r="E180" t="s">
        <v>431</v>
      </c>
      <c r="F180" s="2" t="s">
        <v>68</v>
      </c>
      <c r="G180" s="2" t="str">
        <f t="shared" si="2"/>
        <v>ATLANTICO</v>
      </c>
      <c r="H180" s="2" t="s">
        <v>69</v>
      </c>
      <c r="I180" s="2" t="s">
        <v>70</v>
      </c>
      <c r="J180" s="2" t="s">
        <v>71</v>
      </c>
      <c r="K180" s="2" t="s">
        <v>76</v>
      </c>
      <c r="L180" s="2" t="s">
        <v>76</v>
      </c>
      <c r="M180" s="2" t="s">
        <v>76</v>
      </c>
      <c r="N180" s="2" t="s">
        <v>76</v>
      </c>
      <c r="O180" s="2" t="s">
        <v>76</v>
      </c>
      <c r="P180" s="2" t="s">
        <v>76</v>
      </c>
      <c r="Q180" s="2" t="s">
        <v>76</v>
      </c>
      <c r="R180" s="2" t="s">
        <v>71</v>
      </c>
      <c r="S180" s="2" t="s">
        <v>71</v>
      </c>
      <c r="T180" s="2" t="s">
        <v>76</v>
      </c>
      <c r="U180" s="2" t="s">
        <v>76</v>
      </c>
      <c r="V180" s="2" t="s">
        <v>71</v>
      </c>
      <c r="W180" s="2" t="s">
        <v>71</v>
      </c>
      <c r="X180" s="2" t="s">
        <v>71</v>
      </c>
      <c r="Y180" s="2" t="s">
        <v>71</v>
      </c>
      <c r="Z180" s="2" t="s">
        <v>71</v>
      </c>
      <c r="AA180" s="2" t="s">
        <v>71</v>
      </c>
      <c r="AB180" s="2" t="s">
        <v>71</v>
      </c>
      <c r="AC180" s="2" t="s">
        <v>71</v>
      </c>
      <c r="AD180" s="2" t="s">
        <v>71</v>
      </c>
      <c r="AE180" s="2" t="s">
        <v>71</v>
      </c>
      <c r="AF180" s="2" t="s">
        <v>72</v>
      </c>
      <c r="AG180" s="2" t="s">
        <v>72</v>
      </c>
      <c r="AH180" s="2" t="s">
        <v>80</v>
      </c>
      <c r="AI180" s="2">
        <v>2</v>
      </c>
    </row>
    <row r="181" spans="1:35" ht="32" x14ac:dyDescent="0.2">
      <c r="A181" s="2">
        <v>72239164</v>
      </c>
      <c r="B181" s="2">
        <f>VLOOKUP(A181,[1]TRATAMIENTI!$A:$B,2,FALSE)</f>
        <v>180</v>
      </c>
      <c r="C181" t="s">
        <v>432</v>
      </c>
      <c r="D181" s="2">
        <v>0</v>
      </c>
      <c r="E181" s="2" t="s">
        <v>433</v>
      </c>
      <c r="F181" s="2" t="s">
        <v>68</v>
      </c>
      <c r="G181" s="2" t="str">
        <f t="shared" si="2"/>
        <v>ATLANTICO</v>
      </c>
      <c r="H181" s="2" t="s">
        <v>69</v>
      </c>
      <c r="I181" s="2" t="s">
        <v>70</v>
      </c>
      <c r="J181" s="2" t="s">
        <v>71</v>
      </c>
      <c r="K181" s="2" t="s">
        <v>72</v>
      </c>
      <c r="L181" s="2" t="s">
        <v>76</v>
      </c>
      <c r="M181" s="2" t="s">
        <v>76</v>
      </c>
      <c r="N181" s="2" t="s">
        <v>76</v>
      </c>
      <c r="O181" s="2" t="s">
        <v>71</v>
      </c>
      <c r="P181" s="2" t="s">
        <v>71</v>
      </c>
      <c r="Q181" s="2" t="s">
        <v>71</v>
      </c>
      <c r="R181" s="2" t="s">
        <v>71</v>
      </c>
      <c r="S181" s="2" t="s">
        <v>71</v>
      </c>
      <c r="T181" s="2" t="s">
        <v>76</v>
      </c>
      <c r="U181" s="2" t="s">
        <v>76</v>
      </c>
      <c r="V181" s="2" t="s">
        <v>71</v>
      </c>
      <c r="W181" s="2" t="s">
        <v>71</v>
      </c>
      <c r="X181" s="2" t="s">
        <v>71</v>
      </c>
      <c r="Y181" s="2" t="s">
        <v>71</v>
      </c>
      <c r="Z181" s="2" t="s">
        <v>71</v>
      </c>
      <c r="AA181" s="2" t="s">
        <v>71</v>
      </c>
      <c r="AB181" s="2" t="s">
        <v>71</v>
      </c>
      <c r="AC181" s="2" t="s">
        <v>71</v>
      </c>
      <c r="AD181" s="2" t="s">
        <v>71</v>
      </c>
      <c r="AE181" s="2" t="s">
        <v>71</v>
      </c>
      <c r="AF181" s="2" t="s">
        <v>72</v>
      </c>
      <c r="AG181" s="2" t="s">
        <v>71</v>
      </c>
      <c r="AH181" s="2" t="s">
        <v>85</v>
      </c>
      <c r="AI181" s="2">
        <v>2</v>
      </c>
    </row>
    <row r="182" spans="1:35" ht="32" x14ac:dyDescent="0.2">
      <c r="A182" s="2">
        <v>72298484</v>
      </c>
      <c r="B182" s="2">
        <f>VLOOKUP(A182,[1]TRATAMIENTI!$A:$B,2,FALSE)</f>
        <v>181</v>
      </c>
      <c r="C182" t="s">
        <v>434</v>
      </c>
      <c r="D182" s="2">
        <v>0</v>
      </c>
      <c r="E182" t="s">
        <v>435</v>
      </c>
      <c r="F182" s="2" t="s">
        <v>68</v>
      </c>
      <c r="G182" s="2" t="str">
        <f t="shared" si="2"/>
        <v>ATLANTICO</v>
      </c>
      <c r="H182" s="2" t="s">
        <v>69</v>
      </c>
      <c r="I182" s="2" t="s">
        <v>70</v>
      </c>
      <c r="J182" s="2" t="s">
        <v>71</v>
      </c>
      <c r="K182" s="2" t="s">
        <v>71</v>
      </c>
      <c r="L182" s="2" t="s">
        <v>76</v>
      </c>
      <c r="M182" s="2" t="s">
        <v>76</v>
      </c>
      <c r="N182" s="2" t="s">
        <v>76</v>
      </c>
      <c r="O182" s="2" t="s">
        <v>71</v>
      </c>
      <c r="P182" s="2" t="s">
        <v>71</v>
      </c>
      <c r="Q182" s="2" t="s">
        <v>71</v>
      </c>
      <c r="R182" s="2" t="s">
        <v>71</v>
      </c>
      <c r="S182" s="2" t="s">
        <v>71</v>
      </c>
      <c r="T182" s="2" t="s">
        <v>76</v>
      </c>
      <c r="U182" s="2" t="s">
        <v>76</v>
      </c>
      <c r="V182" s="2" t="s">
        <v>71</v>
      </c>
      <c r="W182" s="2" t="s">
        <v>71</v>
      </c>
      <c r="X182" s="2" t="s">
        <v>71</v>
      </c>
      <c r="Y182" s="2" t="s">
        <v>71</v>
      </c>
      <c r="Z182" s="2" t="s">
        <v>71</v>
      </c>
      <c r="AA182" s="2" t="s">
        <v>71</v>
      </c>
      <c r="AB182" s="2" t="s">
        <v>71</v>
      </c>
      <c r="AC182" s="2" t="s">
        <v>71</v>
      </c>
      <c r="AD182" s="2" t="s">
        <v>71</v>
      </c>
      <c r="AE182" s="2" t="s">
        <v>71</v>
      </c>
      <c r="AF182" s="2" t="s">
        <v>76</v>
      </c>
      <c r="AG182" s="2" t="s">
        <v>76</v>
      </c>
      <c r="AH182" s="2" t="s">
        <v>80</v>
      </c>
      <c r="AI182" s="2">
        <v>2</v>
      </c>
    </row>
    <row r="183" spans="1:35" ht="32" x14ac:dyDescent="0.2">
      <c r="A183" s="2">
        <v>73226383</v>
      </c>
      <c r="B183" s="2">
        <f>VLOOKUP(A183,[1]TRATAMIENTI!$A:$B,2,FALSE)</f>
        <v>182</v>
      </c>
      <c r="C183" t="s">
        <v>436</v>
      </c>
      <c r="D183" s="2">
        <v>0</v>
      </c>
      <c r="E183" t="s">
        <v>437</v>
      </c>
      <c r="F183" s="2" t="s">
        <v>68</v>
      </c>
      <c r="G183" s="2" t="str">
        <f t="shared" si="2"/>
        <v>ATLANTICO</v>
      </c>
      <c r="H183" s="2" t="s">
        <v>69</v>
      </c>
      <c r="I183" s="2" t="s">
        <v>70</v>
      </c>
      <c r="J183" s="2" t="s">
        <v>71</v>
      </c>
      <c r="K183" s="2" t="s">
        <v>72</v>
      </c>
      <c r="L183" s="2" t="s">
        <v>71</v>
      </c>
      <c r="M183" s="2" t="s">
        <v>71</v>
      </c>
      <c r="N183" s="2" t="s">
        <v>71</v>
      </c>
      <c r="O183" s="2" t="s">
        <v>71</v>
      </c>
      <c r="P183" s="2" t="s">
        <v>71</v>
      </c>
      <c r="Q183" s="2" t="s">
        <v>71</v>
      </c>
      <c r="R183" s="2" t="s">
        <v>71</v>
      </c>
      <c r="S183" s="2" t="s">
        <v>71</v>
      </c>
      <c r="T183" s="2" t="s">
        <v>71</v>
      </c>
      <c r="U183" s="2" t="s">
        <v>71</v>
      </c>
      <c r="V183" s="2" t="s">
        <v>71</v>
      </c>
      <c r="W183" s="2" t="s">
        <v>71</v>
      </c>
      <c r="X183" s="2" t="s">
        <v>71</v>
      </c>
      <c r="Y183" s="2" t="s">
        <v>71</v>
      </c>
      <c r="Z183" s="2" t="s">
        <v>71</v>
      </c>
      <c r="AA183" s="2" t="s">
        <v>71</v>
      </c>
      <c r="AB183" s="2" t="s">
        <v>71</v>
      </c>
      <c r="AC183" s="2" t="s">
        <v>71</v>
      </c>
      <c r="AD183" s="2" t="s">
        <v>71</v>
      </c>
      <c r="AE183" s="2" t="s">
        <v>71</v>
      </c>
      <c r="AF183" s="2" t="s">
        <v>71</v>
      </c>
      <c r="AG183" s="2" t="s">
        <v>71</v>
      </c>
      <c r="AH183" s="2" t="s">
        <v>73</v>
      </c>
      <c r="AI183" s="2">
        <v>1</v>
      </c>
    </row>
    <row r="184" spans="1:35" ht="32" x14ac:dyDescent="0.2">
      <c r="A184" s="2">
        <v>7444585</v>
      </c>
      <c r="B184" s="2">
        <f>VLOOKUP(A184,[1]TRATAMIENTI!$A:$B,2,FALSE)</f>
        <v>183</v>
      </c>
      <c r="C184" t="s">
        <v>438</v>
      </c>
      <c r="D184" s="2">
        <v>0</v>
      </c>
      <c r="E184" t="s">
        <v>439</v>
      </c>
      <c r="F184" s="2" t="s">
        <v>68</v>
      </c>
      <c r="G184" s="2" t="str">
        <f t="shared" si="2"/>
        <v>ATLANTICO</v>
      </c>
      <c r="H184" s="2" t="s">
        <v>69</v>
      </c>
      <c r="I184" s="2" t="s">
        <v>70</v>
      </c>
      <c r="J184" s="2" t="s">
        <v>71</v>
      </c>
      <c r="K184" s="2" t="s">
        <v>76</v>
      </c>
      <c r="L184" s="2" t="s">
        <v>76</v>
      </c>
      <c r="M184" s="2" t="s">
        <v>76</v>
      </c>
      <c r="N184" s="2" t="s">
        <v>76</v>
      </c>
      <c r="O184" s="2" t="s">
        <v>71</v>
      </c>
      <c r="P184" s="2" t="s">
        <v>71</v>
      </c>
      <c r="Q184" s="2" t="s">
        <v>71</v>
      </c>
      <c r="R184" s="2" t="s">
        <v>71</v>
      </c>
      <c r="S184" s="2" t="s">
        <v>71</v>
      </c>
      <c r="T184" s="2" t="s">
        <v>76</v>
      </c>
      <c r="U184" s="2" t="s">
        <v>76</v>
      </c>
      <c r="V184" s="2" t="s">
        <v>71</v>
      </c>
      <c r="W184" s="2" t="s">
        <v>71</v>
      </c>
      <c r="X184" s="2" t="s">
        <v>71</v>
      </c>
      <c r="Y184" s="2" t="s">
        <v>71</v>
      </c>
      <c r="Z184" s="2" t="s">
        <v>71</v>
      </c>
      <c r="AA184" s="2" t="s">
        <v>71</v>
      </c>
      <c r="AB184" s="2" t="s">
        <v>71</v>
      </c>
      <c r="AC184" s="2" t="s">
        <v>71</v>
      </c>
      <c r="AD184" s="2" t="s">
        <v>71</v>
      </c>
      <c r="AE184" s="2" t="s">
        <v>71</v>
      </c>
      <c r="AF184" s="2" t="s">
        <v>76</v>
      </c>
      <c r="AG184" s="2" t="s">
        <v>76</v>
      </c>
      <c r="AH184" s="2" t="s">
        <v>85</v>
      </c>
      <c r="AI184" s="2">
        <v>2</v>
      </c>
    </row>
    <row r="185" spans="1:35" ht="32" x14ac:dyDescent="0.2">
      <c r="A185" s="2">
        <v>7454371</v>
      </c>
      <c r="B185" s="2">
        <f>VLOOKUP(A185,[1]TRATAMIENTI!$A:$B,2,FALSE)</f>
        <v>184</v>
      </c>
      <c r="C185" t="s">
        <v>440</v>
      </c>
      <c r="D185">
        <v>3242876354</v>
      </c>
      <c r="E185" s="2" t="s">
        <v>441</v>
      </c>
      <c r="F185" s="2" t="s">
        <v>68</v>
      </c>
      <c r="G185" s="2" t="str">
        <f t="shared" si="2"/>
        <v>ATLANTICO</v>
      </c>
      <c r="H185" s="2" t="s">
        <v>69</v>
      </c>
      <c r="I185" s="2" t="s">
        <v>70</v>
      </c>
      <c r="J185" s="2" t="s">
        <v>71</v>
      </c>
      <c r="K185" s="2" t="s">
        <v>71</v>
      </c>
      <c r="L185" s="2" t="s">
        <v>71</v>
      </c>
      <c r="M185" s="2" t="s">
        <v>71</v>
      </c>
      <c r="N185" s="2" t="s">
        <v>71</v>
      </c>
      <c r="O185" s="2" t="s">
        <v>76</v>
      </c>
      <c r="P185" s="2" t="s">
        <v>76</v>
      </c>
      <c r="Q185" s="2" t="s">
        <v>76</v>
      </c>
      <c r="R185" s="2" t="s">
        <v>71</v>
      </c>
      <c r="S185" s="2" t="s">
        <v>71</v>
      </c>
      <c r="T185" s="2" t="s">
        <v>76</v>
      </c>
      <c r="U185" s="2" t="s">
        <v>76</v>
      </c>
      <c r="V185" s="2" t="s">
        <v>71</v>
      </c>
      <c r="W185" s="2" t="s">
        <v>71</v>
      </c>
      <c r="X185" s="2" t="s">
        <v>71</v>
      </c>
      <c r="Y185" s="2" t="s">
        <v>71</v>
      </c>
      <c r="Z185" s="2" t="s">
        <v>71</v>
      </c>
      <c r="AA185" s="2" t="s">
        <v>71</v>
      </c>
      <c r="AB185" s="2" t="s">
        <v>71</v>
      </c>
      <c r="AC185" s="2" t="s">
        <v>71</v>
      </c>
      <c r="AD185" s="2" t="s">
        <v>71</v>
      </c>
      <c r="AE185" s="2" t="s">
        <v>71</v>
      </c>
      <c r="AF185" s="2" t="s">
        <v>76</v>
      </c>
      <c r="AG185" s="2" t="s">
        <v>76</v>
      </c>
      <c r="AH185" s="2" t="s">
        <v>179</v>
      </c>
      <c r="AI185" s="2">
        <v>1</v>
      </c>
    </row>
    <row r="186" spans="1:35" ht="32" x14ac:dyDescent="0.2">
      <c r="A186" s="2">
        <v>7474428</v>
      </c>
      <c r="B186" s="2">
        <f>VLOOKUP(A186,[1]TRATAMIENTI!$A:$B,2,FALSE)</f>
        <v>185</v>
      </c>
      <c r="C186" t="s">
        <v>442</v>
      </c>
      <c r="D186" s="2">
        <v>0</v>
      </c>
      <c r="E186" t="s">
        <v>443</v>
      </c>
      <c r="F186" s="2" t="s">
        <v>68</v>
      </c>
      <c r="G186" s="2" t="str">
        <f t="shared" si="2"/>
        <v>ATLANTICO</v>
      </c>
      <c r="H186" s="2" t="s">
        <v>69</v>
      </c>
      <c r="I186" s="2" t="s">
        <v>70</v>
      </c>
      <c r="J186" s="2" t="s">
        <v>71</v>
      </c>
      <c r="K186" s="2" t="s">
        <v>76</v>
      </c>
      <c r="L186" s="2" t="s">
        <v>71</v>
      </c>
      <c r="M186" s="2" t="s">
        <v>71</v>
      </c>
      <c r="N186" s="2" t="s">
        <v>71</v>
      </c>
      <c r="O186" s="2" t="s">
        <v>76</v>
      </c>
      <c r="P186" s="2" t="s">
        <v>76</v>
      </c>
      <c r="Q186" s="2" t="s">
        <v>76</v>
      </c>
      <c r="R186" s="2" t="s">
        <v>71</v>
      </c>
      <c r="S186" s="2" t="s">
        <v>71</v>
      </c>
      <c r="T186" s="2" t="s">
        <v>76</v>
      </c>
      <c r="U186" s="2" t="s">
        <v>76</v>
      </c>
      <c r="V186" s="2" t="s">
        <v>71</v>
      </c>
      <c r="W186" s="2" t="s">
        <v>71</v>
      </c>
      <c r="X186" s="2" t="s">
        <v>71</v>
      </c>
      <c r="Y186" s="2" t="s">
        <v>71</v>
      </c>
      <c r="Z186" s="2" t="s">
        <v>71</v>
      </c>
      <c r="AA186" s="2" t="s">
        <v>71</v>
      </c>
      <c r="AB186" s="2" t="s">
        <v>71</v>
      </c>
      <c r="AC186" s="2" t="s">
        <v>71</v>
      </c>
      <c r="AD186" s="2" t="s">
        <v>71</v>
      </c>
      <c r="AE186" s="2" t="s">
        <v>71</v>
      </c>
      <c r="AF186" s="2" t="s">
        <v>76</v>
      </c>
      <c r="AG186" s="2" t="s">
        <v>76</v>
      </c>
      <c r="AH186" s="2" t="s">
        <v>77</v>
      </c>
      <c r="AI186" s="2">
        <v>1</v>
      </c>
    </row>
    <row r="187" spans="1:35" ht="32" x14ac:dyDescent="0.2">
      <c r="A187" s="2">
        <v>7476537</v>
      </c>
      <c r="B187" s="2">
        <f>VLOOKUP(A187,[1]TRATAMIENTI!$A:$B,2,FALSE)</f>
        <v>186</v>
      </c>
      <c r="C187" t="s">
        <v>444</v>
      </c>
      <c r="D187">
        <v>3114106462</v>
      </c>
      <c r="E187" s="2" t="s">
        <v>445</v>
      </c>
      <c r="F187" s="2" t="s">
        <v>68</v>
      </c>
      <c r="G187" s="2" t="str">
        <f t="shared" si="2"/>
        <v>ATLANTICO</v>
      </c>
      <c r="H187" s="2" t="s">
        <v>69</v>
      </c>
      <c r="I187" s="2" t="s">
        <v>70</v>
      </c>
      <c r="J187" s="2" t="s">
        <v>71</v>
      </c>
      <c r="K187" s="2" t="s">
        <v>76</v>
      </c>
      <c r="L187" s="2" t="s">
        <v>71</v>
      </c>
      <c r="M187" s="2" t="s">
        <v>71</v>
      </c>
      <c r="N187" s="2" t="s">
        <v>71</v>
      </c>
      <c r="O187" s="2" t="s">
        <v>76</v>
      </c>
      <c r="P187" s="2" t="s">
        <v>76</v>
      </c>
      <c r="Q187" s="2" t="s">
        <v>76</v>
      </c>
      <c r="R187" s="2" t="s">
        <v>71</v>
      </c>
      <c r="S187" s="2" t="s">
        <v>71</v>
      </c>
      <c r="T187" s="2" t="s">
        <v>76</v>
      </c>
      <c r="U187" s="2" t="s">
        <v>76</v>
      </c>
      <c r="V187" s="2" t="s">
        <v>71</v>
      </c>
      <c r="W187" s="2" t="s">
        <v>71</v>
      </c>
      <c r="X187" s="2" t="s">
        <v>71</v>
      </c>
      <c r="Y187" s="2" t="s">
        <v>71</v>
      </c>
      <c r="Z187" s="2" t="s">
        <v>71</v>
      </c>
      <c r="AA187" s="2" t="s">
        <v>71</v>
      </c>
      <c r="AB187" s="2" t="s">
        <v>71</v>
      </c>
      <c r="AC187" s="2" t="s">
        <v>71</v>
      </c>
      <c r="AD187" s="2" t="s">
        <v>71</v>
      </c>
      <c r="AE187" s="2" t="s">
        <v>71</v>
      </c>
      <c r="AF187" s="2" t="s">
        <v>76</v>
      </c>
      <c r="AG187" s="2" t="s">
        <v>76</v>
      </c>
      <c r="AH187" s="2" t="s">
        <v>77</v>
      </c>
      <c r="AI187" s="2">
        <v>2</v>
      </c>
    </row>
    <row r="188" spans="1:35" ht="32" x14ac:dyDescent="0.2">
      <c r="A188" s="2">
        <v>7476784</v>
      </c>
      <c r="B188" s="2">
        <f>VLOOKUP(A188,[1]TRATAMIENTI!$A:$B,2,FALSE)</f>
        <v>187</v>
      </c>
      <c r="C188" t="s">
        <v>446</v>
      </c>
      <c r="D188" s="2">
        <v>0</v>
      </c>
      <c r="E188" t="s">
        <v>447</v>
      </c>
      <c r="F188" s="2" t="s">
        <v>68</v>
      </c>
      <c r="G188" s="2" t="str">
        <f t="shared" si="2"/>
        <v>ATLANTICO</v>
      </c>
      <c r="H188" s="2" t="s">
        <v>69</v>
      </c>
      <c r="I188" s="2" t="s">
        <v>70</v>
      </c>
      <c r="J188" s="2" t="s">
        <v>71</v>
      </c>
      <c r="K188" s="2" t="s">
        <v>76</v>
      </c>
      <c r="L188" s="2" t="s">
        <v>76</v>
      </c>
      <c r="M188" s="2" t="s">
        <v>76</v>
      </c>
      <c r="N188" s="2" t="s">
        <v>76</v>
      </c>
      <c r="O188" s="2" t="s">
        <v>76</v>
      </c>
      <c r="P188" s="2" t="s">
        <v>76</v>
      </c>
      <c r="Q188" s="2" t="s">
        <v>76</v>
      </c>
      <c r="R188" s="2" t="s">
        <v>71</v>
      </c>
      <c r="S188" s="2" t="s">
        <v>71</v>
      </c>
      <c r="T188" s="2" t="s">
        <v>76</v>
      </c>
      <c r="U188" s="2" t="s">
        <v>76</v>
      </c>
      <c r="V188" s="2" t="s">
        <v>71</v>
      </c>
      <c r="W188" s="2" t="s">
        <v>71</v>
      </c>
      <c r="X188" s="2" t="s">
        <v>71</v>
      </c>
      <c r="Y188" s="2" t="s">
        <v>71</v>
      </c>
      <c r="Z188" s="2" t="s">
        <v>71</v>
      </c>
      <c r="AA188" s="2" t="s">
        <v>71</v>
      </c>
      <c r="AB188" s="2" t="s">
        <v>71</v>
      </c>
      <c r="AC188" s="2" t="s">
        <v>71</v>
      </c>
      <c r="AD188" s="2" t="s">
        <v>71</v>
      </c>
      <c r="AE188" s="2" t="s">
        <v>71</v>
      </c>
      <c r="AF188" s="2" t="s">
        <v>76</v>
      </c>
      <c r="AG188" s="2" t="s">
        <v>76</v>
      </c>
      <c r="AH188" s="2" t="s">
        <v>91</v>
      </c>
      <c r="AI188" s="2">
        <v>1</v>
      </c>
    </row>
    <row r="189" spans="1:35" ht="32" x14ac:dyDescent="0.2">
      <c r="A189" s="2">
        <v>832608</v>
      </c>
      <c r="B189" s="2">
        <f>VLOOKUP(A189,[1]TRATAMIENTI!$A:$B,2,FALSE)</f>
        <v>188</v>
      </c>
      <c r="C189" t="s">
        <v>448</v>
      </c>
      <c r="D189" s="2">
        <v>0</v>
      </c>
      <c r="E189" s="2">
        <v>0</v>
      </c>
      <c r="F189" s="2" t="s">
        <v>68</v>
      </c>
      <c r="G189" s="2" t="str">
        <f t="shared" si="2"/>
        <v>ATLANTICO</v>
      </c>
      <c r="H189" s="2" t="s">
        <v>69</v>
      </c>
      <c r="I189" s="2" t="s">
        <v>70</v>
      </c>
      <c r="J189" s="2" t="s">
        <v>71</v>
      </c>
      <c r="K189" s="2" t="s">
        <v>72</v>
      </c>
      <c r="L189" s="2" t="s">
        <v>71</v>
      </c>
      <c r="M189" s="2" t="s">
        <v>71</v>
      </c>
      <c r="N189" s="2" t="s">
        <v>71</v>
      </c>
      <c r="O189" s="2" t="s">
        <v>76</v>
      </c>
      <c r="P189" s="2" t="s">
        <v>76</v>
      </c>
      <c r="Q189" s="2" t="s">
        <v>71</v>
      </c>
      <c r="R189" s="2" t="s">
        <v>71</v>
      </c>
      <c r="S189" s="2" t="s">
        <v>71</v>
      </c>
      <c r="T189" s="2" t="s">
        <v>71</v>
      </c>
      <c r="U189" s="2" t="s">
        <v>76</v>
      </c>
      <c r="V189" s="2" t="s">
        <v>71</v>
      </c>
      <c r="W189" s="2" t="s">
        <v>71</v>
      </c>
      <c r="X189" s="2" t="s">
        <v>71</v>
      </c>
      <c r="Y189" s="2" t="s">
        <v>71</v>
      </c>
      <c r="Z189" s="2" t="s">
        <v>71</v>
      </c>
      <c r="AA189" s="2" t="s">
        <v>71</v>
      </c>
      <c r="AB189" s="2" t="s">
        <v>71</v>
      </c>
      <c r="AC189" s="2" t="s">
        <v>71</v>
      </c>
      <c r="AD189" s="2" t="s">
        <v>71</v>
      </c>
      <c r="AE189" s="2" t="s">
        <v>71</v>
      </c>
      <c r="AF189" s="2" t="s">
        <v>71</v>
      </c>
      <c r="AG189" s="2" t="s">
        <v>71</v>
      </c>
      <c r="AH189" s="2" t="s">
        <v>77</v>
      </c>
      <c r="AI189" s="2">
        <v>2</v>
      </c>
    </row>
    <row r="190" spans="1:35" ht="32" x14ac:dyDescent="0.2">
      <c r="A190" s="2">
        <v>8664032</v>
      </c>
      <c r="B190" s="2">
        <f>VLOOKUP(A190,[1]TRATAMIENTI!$A:$B,2,FALSE)</f>
        <v>189</v>
      </c>
      <c r="C190" s="2" t="s">
        <v>449</v>
      </c>
      <c r="D190" s="2">
        <v>0</v>
      </c>
      <c r="E190" s="2">
        <v>0</v>
      </c>
      <c r="F190" s="2" t="s">
        <v>68</v>
      </c>
      <c r="G190" s="2" t="str">
        <f t="shared" si="2"/>
        <v>ATLANTICO</v>
      </c>
      <c r="H190" s="2" t="s">
        <v>69</v>
      </c>
      <c r="I190" s="2" t="s">
        <v>70</v>
      </c>
      <c r="J190" s="2" t="s">
        <v>71</v>
      </c>
      <c r="K190" s="2" t="s">
        <v>72</v>
      </c>
      <c r="L190" s="2" t="s">
        <v>71</v>
      </c>
      <c r="M190" s="2" t="s">
        <v>71</v>
      </c>
      <c r="N190" s="2" t="s">
        <v>71</v>
      </c>
      <c r="O190" s="2" t="s">
        <v>76</v>
      </c>
      <c r="P190" s="2" t="s">
        <v>76</v>
      </c>
      <c r="Q190" s="2" t="s">
        <v>76</v>
      </c>
      <c r="R190" s="2" t="s">
        <v>71</v>
      </c>
      <c r="S190" s="2" t="s">
        <v>71</v>
      </c>
      <c r="T190" s="2" t="s">
        <v>76</v>
      </c>
      <c r="U190" s="2" t="s">
        <v>76</v>
      </c>
      <c r="V190" s="2" t="s">
        <v>71</v>
      </c>
      <c r="W190" s="2" t="s">
        <v>71</v>
      </c>
      <c r="X190" s="2" t="s">
        <v>71</v>
      </c>
      <c r="Y190" s="2" t="s">
        <v>71</v>
      </c>
      <c r="Z190" s="2" t="s">
        <v>71</v>
      </c>
      <c r="AA190" s="2" t="s">
        <v>71</v>
      </c>
      <c r="AB190" s="2" t="s">
        <v>71</v>
      </c>
      <c r="AC190" s="2" t="s">
        <v>71</v>
      </c>
      <c r="AD190" s="2" t="s">
        <v>71</v>
      </c>
      <c r="AE190" s="2" t="s">
        <v>71</v>
      </c>
      <c r="AF190" s="2" t="s">
        <v>76</v>
      </c>
      <c r="AG190" s="2" t="s">
        <v>76</v>
      </c>
      <c r="AH190" s="2" t="s">
        <v>77</v>
      </c>
      <c r="AI190" s="2">
        <v>1</v>
      </c>
    </row>
    <row r="191" spans="1:35" ht="32" x14ac:dyDescent="0.2">
      <c r="A191" s="2">
        <v>8672765</v>
      </c>
      <c r="B191" s="2">
        <f>VLOOKUP(A191,[1]TRATAMIENTI!$A:$B,2,FALSE)</f>
        <v>190</v>
      </c>
      <c r="C191" t="s">
        <v>450</v>
      </c>
      <c r="D191" s="2">
        <v>3244941605</v>
      </c>
      <c r="E191" t="s">
        <v>451</v>
      </c>
      <c r="F191" s="2" t="s">
        <v>68</v>
      </c>
      <c r="G191" s="2" t="str">
        <f t="shared" si="2"/>
        <v>ATLANTICO</v>
      </c>
      <c r="H191" s="2" t="s">
        <v>69</v>
      </c>
      <c r="I191" s="2" t="s">
        <v>70</v>
      </c>
      <c r="J191" s="2" t="s">
        <v>76</v>
      </c>
      <c r="K191" s="2" t="s">
        <v>76</v>
      </c>
      <c r="L191" s="2" t="s">
        <v>71</v>
      </c>
      <c r="M191" s="2" t="s">
        <v>71</v>
      </c>
      <c r="N191" s="2" t="s">
        <v>71</v>
      </c>
      <c r="O191" s="2" t="s">
        <v>71</v>
      </c>
      <c r="P191" s="2" t="s">
        <v>71</v>
      </c>
      <c r="Q191" s="2" t="s">
        <v>71</v>
      </c>
      <c r="R191" s="2" t="s">
        <v>71</v>
      </c>
      <c r="S191" s="2" t="s">
        <v>71</v>
      </c>
      <c r="T191" s="2" t="s">
        <v>71</v>
      </c>
      <c r="U191" s="2" t="s">
        <v>71</v>
      </c>
      <c r="V191" s="2" t="s">
        <v>71</v>
      </c>
      <c r="W191" s="2" t="s">
        <v>71</v>
      </c>
      <c r="X191" s="2" t="s">
        <v>71</v>
      </c>
      <c r="Y191" s="2" t="s">
        <v>71</v>
      </c>
      <c r="Z191" s="2" t="s">
        <v>71</v>
      </c>
      <c r="AA191" s="2" t="s">
        <v>71</v>
      </c>
      <c r="AB191" s="2" t="s">
        <v>71</v>
      </c>
      <c r="AC191" s="2" t="s">
        <v>71</v>
      </c>
      <c r="AD191" s="2" t="s">
        <v>71</v>
      </c>
      <c r="AE191" s="2" t="s">
        <v>71</v>
      </c>
      <c r="AF191" s="2" t="s">
        <v>71</v>
      </c>
      <c r="AG191" s="2" t="s">
        <v>71</v>
      </c>
      <c r="AH191" s="2" t="s">
        <v>73</v>
      </c>
      <c r="AI191" s="2">
        <v>2</v>
      </c>
    </row>
    <row r="192" spans="1:35" ht="32" x14ac:dyDescent="0.2">
      <c r="A192" s="2">
        <v>8681506</v>
      </c>
      <c r="B192" s="2">
        <f>VLOOKUP(A192,[1]TRATAMIENTI!$A:$B,2,FALSE)</f>
        <v>191</v>
      </c>
      <c r="C192" t="s">
        <v>452</v>
      </c>
      <c r="D192" s="2">
        <v>0</v>
      </c>
      <c r="E192" t="s">
        <v>453</v>
      </c>
      <c r="F192" s="2" t="s">
        <v>68</v>
      </c>
      <c r="G192" s="2" t="str">
        <f t="shared" si="2"/>
        <v>ATLANTICO</v>
      </c>
      <c r="H192" s="2" t="s">
        <v>69</v>
      </c>
      <c r="I192" s="2" t="s">
        <v>70</v>
      </c>
      <c r="J192" s="2" t="s">
        <v>71</v>
      </c>
      <c r="K192" s="2" t="s">
        <v>71</v>
      </c>
      <c r="L192" s="2" t="s">
        <v>76</v>
      </c>
      <c r="M192" s="2" t="s">
        <v>76</v>
      </c>
      <c r="N192" s="2" t="s">
        <v>76</v>
      </c>
      <c r="O192" s="2" t="s">
        <v>76</v>
      </c>
      <c r="P192" s="2" t="s">
        <v>76</v>
      </c>
      <c r="Q192" s="2" t="s">
        <v>76</v>
      </c>
      <c r="R192" s="2" t="s">
        <v>71</v>
      </c>
      <c r="S192" s="2" t="s">
        <v>71</v>
      </c>
      <c r="T192" s="2" t="s">
        <v>72</v>
      </c>
      <c r="U192" s="2" t="s">
        <v>72</v>
      </c>
      <c r="V192" s="2" t="s">
        <v>71</v>
      </c>
      <c r="W192" s="2" t="s">
        <v>71</v>
      </c>
      <c r="X192" s="2" t="s">
        <v>71</v>
      </c>
      <c r="Y192" s="2" t="s">
        <v>71</v>
      </c>
      <c r="Z192" s="2" t="s">
        <v>71</v>
      </c>
      <c r="AA192" s="2" t="s">
        <v>71</v>
      </c>
      <c r="AB192" s="2" t="s">
        <v>71</v>
      </c>
      <c r="AC192" s="2" t="s">
        <v>71</v>
      </c>
      <c r="AD192" s="2" t="s">
        <v>71</v>
      </c>
      <c r="AE192" s="2" t="s">
        <v>71</v>
      </c>
      <c r="AF192" s="2" t="s">
        <v>72</v>
      </c>
      <c r="AG192" s="2" t="s">
        <v>72</v>
      </c>
      <c r="AH192" s="2" t="s">
        <v>80</v>
      </c>
      <c r="AI192" s="2">
        <v>1</v>
      </c>
    </row>
    <row r="193" spans="1:35" ht="32" x14ac:dyDescent="0.2">
      <c r="A193" s="2">
        <v>8686374</v>
      </c>
      <c r="B193" s="2">
        <f>VLOOKUP(A193,[1]TRATAMIENTI!$A:$B,2,FALSE)</f>
        <v>192</v>
      </c>
      <c r="C193" s="2" t="s">
        <v>454</v>
      </c>
      <c r="D193">
        <v>3043600866</v>
      </c>
      <c r="E193" s="2" t="s">
        <v>455</v>
      </c>
      <c r="F193" s="2" t="s">
        <v>68</v>
      </c>
      <c r="G193" s="2" t="str">
        <f t="shared" si="2"/>
        <v>ATLANTICO</v>
      </c>
      <c r="H193" s="2" t="s">
        <v>69</v>
      </c>
      <c r="I193" s="2" t="s">
        <v>70</v>
      </c>
      <c r="J193" s="2" t="s">
        <v>76</v>
      </c>
      <c r="K193" s="2" t="s">
        <v>76</v>
      </c>
      <c r="L193" s="2" t="s">
        <v>71</v>
      </c>
      <c r="M193" s="2" t="s">
        <v>71</v>
      </c>
      <c r="N193" s="2" t="s">
        <v>71</v>
      </c>
      <c r="O193" s="2" t="s">
        <v>71</v>
      </c>
      <c r="P193" s="2" t="s">
        <v>71</v>
      </c>
      <c r="Q193" s="2" t="s">
        <v>71</v>
      </c>
      <c r="R193" s="2" t="s">
        <v>71</v>
      </c>
      <c r="S193" s="2" t="s">
        <v>71</v>
      </c>
      <c r="T193" s="2" t="s">
        <v>71</v>
      </c>
      <c r="U193" s="2" t="s">
        <v>71</v>
      </c>
      <c r="V193" s="2" t="s">
        <v>71</v>
      </c>
      <c r="W193" s="2" t="s">
        <v>71</v>
      </c>
      <c r="X193" s="2" t="s">
        <v>71</v>
      </c>
      <c r="Y193" s="2" t="s">
        <v>71</v>
      </c>
      <c r="Z193" s="2" t="s">
        <v>71</v>
      </c>
      <c r="AA193" s="2" t="s">
        <v>71</v>
      </c>
      <c r="AB193" s="2" t="s">
        <v>71</v>
      </c>
      <c r="AC193" s="2" t="s">
        <v>71</v>
      </c>
      <c r="AD193" s="2" t="s">
        <v>71</v>
      </c>
      <c r="AE193" s="2" t="s">
        <v>71</v>
      </c>
      <c r="AF193" s="2" t="s">
        <v>71</v>
      </c>
      <c r="AG193" s="2" t="s">
        <v>71</v>
      </c>
      <c r="AH193" s="2" t="s">
        <v>73</v>
      </c>
      <c r="AI193" s="2">
        <v>3</v>
      </c>
    </row>
    <row r="194" spans="1:35" ht="32" x14ac:dyDescent="0.2">
      <c r="A194" s="2">
        <v>8719594</v>
      </c>
      <c r="B194" s="2">
        <f>VLOOKUP(A194,[1]TRATAMIENTI!$A:$B,2,FALSE)</f>
        <v>193</v>
      </c>
      <c r="C194" t="s">
        <v>456</v>
      </c>
      <c r="D194" t="s">
        <v>457</v>
      </c>
      <c r="E194" t="s">
        <v>458</v>
      </c>
      <c r="F194" s="2" t="s">
        <v>68</v>
      </c>
      <c r="G194" s="2" t="str">
        <f t="shared" ref="G194:G255" si="3">IF(H194="CALI","VALLE DEL CAUCA",IF(H194="MEDELLIN","ANTIOQUIA",IF(H194="BARRANQUILLA","ATLANTICO","NO")))</f>
        <v>ATLANTICO</v>
      </c>
      <c r="H194" s="2" t="s">
        <v>69</v>
      </c>
      <c r="I194" s="2" t="s">
        <v>70</v>
      </c>
      <c r="J194" s="2" t="s">
        <v>71</v>
      </c>
      <c r="K194" s="2" t="s">
        <v>76</v>
      </c>
      <c r="L194" s="2" t="s">
        <v>76</v>
      </c>
      <c r="M194" s="2" t="s">
        <v>76</v>
      </c>
      <c r="N194" s="2" t="s">
        <v>76</v>
      </c>
      <c r="O194" s="2" t="s">
        <v>76</v>
      </c>
      <c r="P194" s="2" t="s">
        <v>76</v>
      </c>
      <c r="Q194" s="2" t="s">
        <v>76</v>
      </c>
      <c r="R194" s="2" t="s">
        <v>71</v>
      </c>
      <c r="S194" s="2" t="s">
        <v>71</v>
      </c>
      <c r="T194" s="2" t="s">
        <v>76</v>
      </c>
      <c r="U194" s="2" t="s">
        <v>76</v>
      </c>
      <c r="V194" s="2" t="s">
        <v>71</v>
      </c>
      <c r="W194" s="2" t="s">
        <v>71</v>
      </c>
      <c r="X194" s="2" t="s">
        <v>71</v>
      </c>
      <c r="Y194" s="2" t="s">
        <v>71</v>
      </c>
      <c r="Z194" s="2" t="s">
        <v>71</v>
      </c>
      <c r="AA194" s="2" t="s">
        <v>71</v>
      </c>
      <c r="AB194" s="2" t="s">
        <v>71</v>
      </c>
      <c r="AC194" s="2" t="s">
        <v>71</v>
      </c>
      <c r="AD194" s="2" t="s">
        <v>71</v>
      </c>
      <c r="AE194" s="2" t="s">
        <v>71</v>
      </c>
      <c r="AF194" s="2" t="s">
        <v>76</v>
      </c>
      <c r="AG194" s="2" t="s">
        <v>76</v>
      </c>
      <c r="AH194" s="2" t="s">
        <v>91</v>
      </c>
      <c r="AI194" s="2">
        <v>1</v>
      </c>
    </row>
    <row r="195" spans="1:35" ht="32" x14ac:dyDescent="0.2">
      <c r="A195" s="2">
        <v>8724214</v>
      </c>
      <c r="B195" s="2">
        <f>VLOOKUP(A195,[1]TRATAMIENTI!$A:$B,2,FALSE)</f>
        <v>194</v>
      </c>
      <c r="C195" t="s">
        <v>459</v>
      </c>
      <c r="D195" s="2">
        <v>0</v>
      </c>
      <c r="E195" t="s">
        <v>460</v>
      </c>
      <c r="F195" s="2" t="s">
        <v>68</v>
      </c>
      <c r="G195" s="2" t="str">
        <f t="shared" si="3"/>
        <v>ATLANTICO</v>
      </c>
      <c r="H195" s="2" t="s">
        <v>69</v>
      </c>
      <c r="I195" s="2" t="s">
        <v>70</v>
      </c>
      <c r="J195" s="2" t="s">
        <v>71</v>
      </c>
      <c r="K195" s="2" t="s">
        <v>76</v>
      </c>
      <c r="L195" s="2" t="s">
        <v>71</v>
      </c>
      <c r="M195" s="2" t="s">
        <v>71</v>
      </c>
      <c r="N195" s="2" t="s">
        <v>71</v>
      </c>
      <c r="O195" s="2" t="s">
        <v>71</v>
      </c>
      <c r="P195" s="2" t="s">
        <v>71</v>
      </c>
      <c r="Q195" s="2" t="s">
        <v>71</v>
      </c>
      <c r="R195" s="2" t="s">
        <v>71</v>
      </c>
      <c r="S195" s="2" t="s">
        <v>71</v>
      </c>
      <c r="T195" s="2" t="s">
        <v>71</v>
      </c>
      <c r="U195" s="2" t="s">
        <v>71</v>
      </c>
      <c r="V195" s="2" t="s">
        <v>71</v>
      </c>
      <c r="W195" s="2" t="s">
        <v>71</v>
      </c>
      <c r="X195" s="2" t="s">
        <v>71</v>
      </c>
      <c r="Y195" s="2" t="s">
        <v>71</v>
      </c>
      <c r="Z195" s="2" t="s">
        <v>71</v>
      </c>
      <c r="AA195" s="2" t="s">
        <v>71</v>
      </c>
      <c r="AB195" s="2" t="s">
        <v>71</v>
      </c>
      <c r="AC195" s="2" t="s">
        <v>71</v>
      </c>
      <c r="AD195" s="2" t="s">
        <v>71</v>
      </c>
      <c r="AE195" s="2" t="s">
        <v>71</v>
      </c>
      <c r="AF195" s="2" t="s">
        <v>71</v>
      </c>
      <c r="AG195" s="2" t="s">
        <v>71</v>
      </c>
      <c r="AH195" s="2" t="s">
        <v>77</v>
      </c>
      <c r="AI195" s="2">
        <v>2</v>
      </c>
    </row>
    <row r="196" spans="1:35" ht="32" x14ac:dyDescent="0.2">
      <c r="A196" s="2">
        <v>8734568</v>
      </c>
      <c r="B196" s="2">
        <f>VLOOKUP(A196,[1]TRATAMIENTI!$A:$B,2,FALSE)</f>
        <v>195</v>
      </c>
      <c r="C196" t="s">
        <v>461</v>
      </c>
      <c r="D196" s="2">
        <v>0</v>
      </c>
      <c r="E196" s="2" t="s">
        <v>462</v>
      </c>
      <c r="F196" s="2" t="s">
        <v>68</v>
      </c>
      <c r="G196" s="2" t="str">
        <f t="shared" si="3"/>
        <v>ATLANTICO</v>
      </c>
      <c r="H196" s="2" t="s">
        <v>69</v>
      </c>
      <c r="I196" s="2" t="s">
        <v>70</v>
      </c>
      <c r="J196" s="2" t="s">
        <v>71</v>
      </c>
      <c r="K196" s="2" t="s">
        <v>76</v>
      </c>
      <c r="L196" s="2" t="s">
        <v>71</v>
      </c>
      <c r="M196" s="2" t="s">
        <v>71</v>
      </c>
      <c r="N196" s="2" t="s">
        <v>71</v>
      </c>
      <c r="O196" s="2" t="s">
        <v>76</v>
      </c>
      <c r="P196" s="2" t="s">
        <v>76</v>
      </c>
      <c r="Q196" s="2" t="s">
        <v>76</v>
      </c>
      <c r="R196" s="2" t="s">
        <v>71</v>
      </c>
      <c r="S196" s="2" t="s">
        <v>71</v>
      </c>
      <c r="T196" s="2" t="s">
        <v>76</v>
      </c>
      <c r="U196" s="2" t="s">
        <v>76</v>
      </c>
      <c r="V196" s="2" t="s">
        <v>71</v>
      </c>
      <c r="W196" s="2" t="s">
        <v>71</v>
      </c>
      <c r="X196" s="2" t="s">
        <v>71</v>
      </c>
      <c r="Y196" s="2" t="s">
        <v>71</v>
      </c>
      <c r="Z196" s="2" t="s">
        <v>71</v>
      </c>
      <c r="AA196" s="2" t="s">
        <v>71</v>
      </c>
      <c r="AB196" s="2" t="s">
        <v>71</v>
      </c>
      <c r="AC196" s="2" t="s">
        <v>71</v>
      </c>
      <c r="AD196" s="2" t="s">
        <v>71</v>
      </c>
      <c r="AE196" s="2" t="s">
        <v>71</v>
      </c>
      <c r="AF196" s="2" t="s">
        <v>76</v>
      </c>
      <c r="AG196" s="2" t="s">
        <v>76</v>
      </c>
      <c r="AH196" s="2" t="s">
        <v>77</v>
      </c>
      <c r="AI196" s="2">
        <v>1</v>
      </c>
    </row>
    <row r="197" spans="1:35" ht="32" x14ac:dyDescent="0.2">
      <c r="A197" s="2">
        <v>8737489</v>
      </c>
      <c r="B197" s="2">
        <f>VLOOKUP(A197,[1]TRATAMIENTI!$A:$B,2,FALSE)</f>
        <v>196</v>
      </c>
      <c r="C197" t="s">
        <v>463</v>
      </c>
      <c r="D197" s="2">
        <v>0</v>
      </c>
      <c r="E197" s="2" t="s">
        <v>464</v>
      </c>
      <c r="F197" s="2" t="s">
        <v>68</v>
      </c>
      <c r="G197" s="2" t="str">
        <f t="shared" si="3"/>
        <v>ATLANTICO</v>
      </c>
      <c r="H197" s="2" t="s">
        <v>69</v>
      </c>
      <c r="I197" s="2" t="s">
        <v>70</v>
      </c>
      <c r="J197" s="2" t="s">
        <v>76</v>
      </c>
      <c r="K197" s="2" t="s">
        <v>76</v>
      </c>
      <c r="L197" s="2" t="s">
        <v>71</v>
      </c>
      <c r="M197" s="2" t="s">
        <v>71</v>
      </c>
      <c r="N197" s="2" t="s">
        <v>71</v>
      </c>
      <c r="O197" s="2" t="s">
        <v>71</v>
      </c>
      <c r="P197" s="2" t="s">
        <v>71</v>
      </c>
      <c r="Q197" s="2" t="s">
        <v>71</v>
      </c>
      <c r="R197" s="2" t="s">
        <v>71</v>
      </c>
      <c r="S197" s="2" t="s">
        <v>71</v>
      </c>
      <c r="T197" s="2" t="s">
        <v>71</v>
      </c>
      <c r="U197" s="2" t="s">
        <v>71</v>
      </c>
      <c r="V197" s="2" t="s">
        <v>71</v>
      </c>
      <c r="W197" s="2" t="s">
        <v>71</v>
      </c>
      <c r="X197" s="2" t="s">
        <v>71</v>
      </c>
      <c r="Y197" s="2" t="s">
        <v>71</v>
      </c>
      <c r="Z197" s="2" t="s">
        <v>71</v>
      </c>
      <c r="AA197" s="2" t="s">
        <v>71</v>
      </c>
      <c r="AB197" s="2" t="s">
        <v>71</v>
      </c>
      <c r="AC197" s="2" t="s">
        <v>71</v>
      </c>
      <c r="AD197" s="2" t="s">
        <v>71</v>
      </c>
      <c r="AE197" s="2" t="s">
        <v>71</v>
      </c>
      <c r="AF197" s="2" t="s">
        <v>71</v>
      </c>
      <c r="AG197" s="2" t="s">
        <v>71</v>
      </c>
      <c r="AH197" s="2" t="s">
        <v>73</v>
      </c>
      <c r="AI197" s="2">
        <v>2</v>
      </c>
    </row>
    <row r="198" spans="1:35" ht="32" x14ac:dyDescent="0.2">
      <c r="A198" s="2">
        <v>8754897</v>
      </c>
      <c r="B198" s="2">
        <f>VLOOKUP(A198,[1]TRATAMIENTI!$A:$B,2,FALSE)</f>
        <v>197</v>
      </c>
      <c r="C198" t="s">
        <v>465</v>
      </c>
      <c r="D198">
        <v>3106027296</v>
      </c>
      <c r="E198" t="s">
        <v>466</v>
      </c>
      <c r="F198" s="2" t="s">
        <v>68</v>
      </c>
      <c r="G198" s="2" t="str">
        <f t="shared" si="3"/>
        <v>ATLANTICO</v>
      </c>
      <c r="H198" s="2" t="s">
        <v>69</v>
      </c>
      <c r="I198" s="2" t="s">
        <v>70</v>
      </c>
      <c r="J198" s="2" t="s">
        <v>76</v>
      </c>
      <c r="K198" s="2" t="s">
        <v>76</v>
      </c>
      <c r="L198" s="2" t="s">
        <v>71</v>
      </c>
      <c r="M198" s="2" t="s">
        <v>71</v>
      </c>
      <c r="N198" s="2" t="s">
        <v>71</v>
      </c>
      <c r="O198" s="2" t="s">
        <v>76</v>
      </c>
      <c r="P198" s="2" t="s">
        <v>76</v>
      </c>
      <c r="Q198" s="2" t="s">
        <v>76</v>
      </c>
      <c r="R198" s="2" t="s">
        <v>71</v>
      </c>
      <c r="S198" s="2" t="s">
        <v>71</v>
      </c>
      <c r="T198" s="2" t="s">
        <v>76</v>
      </c>
      <c r="U198" s="2" t="s">
        <v>76</v>
      </c>
      <c r="V198" s="2" t="s">
        <v>71</v>
      </c>
      <c r="W198" s="2" t="s">
        <v>71</v>
      </c>
      <c r="X198" s="2" t="s">
        <v>71</v>
      </c>
      <c r="Y198" s="2" t="s">
        <v>71</v>
      </c>
      <c r="Z198" s="2" t="s">
        <v>71</v>
      </c>
      <c r="AA198" s="2" t="s">
        <v>71</v>
      </c>
      <c r="AB198" s="2" t="s">
        <v>71</v>
      </c>
      <c r="AC198" s="2" t="s">
        <v>71</v>
      </c>
      <c r="AD198" s="2" t="s">
        <v>71</v>
      </c>
      <c r="AE198" s="2" t="s">
        <v>71</v>
      </c>
      <c r="AF198" s="2" t="s">
        <v>72</v>
      </c>
      <c r="AG198" s="2" t="s">
        <v>72</v>
      </c>
      <c r="AH198" s="2" t="s">
        <v>77</v>
      </c>
      <c r="AI198" s="2">
        <v>2</v>
      </c>
    </row>
    <row r="199" spans="1:35" ht="32" x14ac:dyDescent="0.2">
      <c r="A199" s="2">
        <v>8758157</v>
      </c>
      <c r="B199" s="2">
        <f>VLOOKUP(A199,[1]TRATAMIENTI!$A:$B,2,FALSE)</f>
        <v>198</v>
      </c>
      <c r="C199" t="s">
        <v>467</v>
      </c>
      <c r="D199">
        <v>3016885070</v>
      </c>
      <c r="E199" s="2" t="s">
        <v>468</v>
      </c>
      <c r="F199" s="2" t="s">
        <v>68</v>
      </c>
      <c r="G199" s="2" t="str">
        <f t="shared" si="3"/>
        <v>ATLANTICO</v>
      </c>
      <c r="H199" s="2" t="s">
        <v>69</v>
      </c>
      <c r="I199" s="2" t="s">
        <v>70</v>
      </c>
      <c r="J199" s="2" t="s">
        <v>71</v>
      </c>
      <c r="K199" s="2" t="s">
        <v>71</v>
      </c>
      <c r="L199" s="2" t="s">
        <v>76</v>
      </c>
      <c r="M199" s="2" t="s">
        <v>76</v>
      </c>
      <c r="N199" s="2" t="s">
        <v>72</v>
      </c>
      <c r="O199" s="2" t="s">
        <v>76</v>
      </c>
      <c r="P199" s="2" t="s">
        <v>76</v>
      </c>
      <c r="Q199" s="2" t="s">
        <v>76</v>
      </c>
      <c r="R199" s="2" t="s">
        <v>71</v>
      </c>
      <c r="S199" s="2" t="s">
        <v>71</v>
      </c>
      <c r="T199" s="2" t="s">
        <v>76</v>
      </c>
      <c r="U199" s="2" t="s">
        <v>76</v>
      </c>
      <c r="V199" s="2" t="s">
        <v>71</v>
      </c>
      <c r="W199" s="2" t="s">
        <v>71</v>
      </c>
      <c r="X199" s="2" t="s">
        <v>71</v>
      </c>
      <c r="Y199" s="2" t="s">
        <v>71</v>
      </c>
      <c r="Z199" s="2" t="s">
        <v>71</v>
      </c>
      <c r="AA199" s="2" t="s">
        <v>71</v>
      </c>
      <c r="AB199" s="2" t="s">
        <v>71</v>
      </c>
      <c r="AC199" s="2" t="s">
        <v>71</v>
      </c>
      <c r="AD199" s="2" t="s">
        <v>71</v>
      </c>
      <c r="AE199" s="2" t="s">
        <v>71</v>
      </c>
      <c r="AF199" s="2" t="s">
        <v>76</v>
      </c>
      <c r="AG199" s="2" t="s">
        <v>76</v>
      </c>
      <c r="AH199" s="2" t="s">
        <v>80</v>
      </c>
      <c r="AI199" s="2">
        <v>2</v>
      </c>
    </row>
    <row r="200" spans="1:35" ht="16" x14ac:dyDescent="0.2">
      <c r="A200" s="2">
        <v>8779085</v>
      </c>
      <c r="B200" s="2">
        <f>VLOOKUP(A200,[1]TRATAMIENTI!$A:$B,2,FALSE)</f>
        <v>199</v>
      </c>
      <c r="C200" t="s">
        <v>469</v>
      </c>
      <c r="D200">
        <v>3023035589</v>
      </c>
      <c r="E200" s="2" t="s">
        <v>470</v>
      </c>
      <c r="F200" s="2" t="s">
        <v>68</v>
      </c>
      <c r="G200" s="2" t="str">
        <f t="shared" si="3"/>
        <v>ATLANTICO</v>
      </c>
      <c r="H200" s="2" t="s">
        <v>69</v>
      </c>
      <c r="I200" s="2" t="s">
        <v>70</v>
      </c>
      <c r="AH200" s="2" t="s">
        <v>73</v>
      </c>
      <c r="AI200" s="2">
        <v>2</v>
      </c>
    </row>
    <row r="201" spans="1:35" ht="32" x14ac:dyDescent="0.2">
      <c r="A201" s="2">
        <v>8799243</v>
      </c>
      <c r="B201" s="2">
        <f>VLOOKUP(A201,[1]TRATAMIENTI!$A:$B,2,FALSE)</f>
        <v>200</v>
      </c>
      <c r="C201" t="s">
        <v>471</v>
      </c>
      <c r="D201">
        <v>3242223096</v>
      </c>
      <c r="E201" s="2" t="s">
        <v>472</v>
      </c>
      <c r="F201" s="2" t="s">
        <v>68</v>
      </c>
      <c r="G201" s="2" t="str">
        <f t="shared" si="3"/>
        <v>ATLANTICO</v>
      </c>
      <c r="H201" s="2" t="s">
        <v>69</v>
      </c>
      <c r="I201" s="2" t="s">
        <v>70</v>
      </c>
      <c r="J201" s="2" t="s">
        <v>71</v>
      </c>
      <c r="K201" s="2" t="s">
        <v>71</v>
      </c>
      <c r="L201" s="2" t="s">
        <v>76</v>
      </c>
      <c r="M201" s="2" t="s">
        <v>76</v>
      </c>
      <c r="N201" s="2" t="s">
        <v>72</v>
      </c>
      <c r="O201" s="2" t="s">
        <v>76</v>
      </c>
      <c r="P201" s="2" t="s">
        <v>76</v>
      </c>
      <c r="Q201" s="2" t="s">
        <v>76</v>
      </c>
      <c r="R201" s="2" t="s">
        <v>71</v>
      </c>
      <c r="S201" s="2" t="s">
        <v>71</v>
      </c>
      <c r="T201" s="2" t="s">
        <v>76</v>
      </c>
      <c r="U201" s="2" t="s">
        <v>76</v>
      </c>
      <c r="V201" s="2" t="s">
        <v>71</v>
      </c>
      <c r="W201" s="2" t="s">
        <v>71</v>
      </c>
      <c r="X201" s="2" t="s">
        <v>71</v>
      </c>
      <c r="Y201" s="2" t="s">
        <v>71</v>
      </c>
      <c r="Z201" s="2" t="s">
        <v>71</v>
      </c>
      <c r="AA201" s="2" t="s">
        <v>71</v>
      </c>
      <c r="AB201" s="2" t="s">
        <v>71</v>
      </c>
      <c r="AC201" s="2" t="s">
        <v>71</v>
      </c>
      <c r="AD201" s="2" t="s">
        <v>71</v>
      </c>
      <c r="AE201" s="2" t="s">
        <v>71</v>
      </c>
      <c r="AF201" s="2" t="s">
        <v>76</v>
      </c>
      <c r="AG201" s="2" t="s">
        <v>76</v>
      </c>
      <c r="AH201" s="2" t="s">
        <v>80</v>
      </c>
      <c r="AI201" s="2">
        <v>2</v>
      </c>
    </row>
    <row r="202" spans="1:35" ht="32" x14ac:dyDescent="0.2">
      <c r="A202" s="2">
        <v>1002793265</v>
      </c>
      <c r="B202" s="2">
        <f>VLOOKUP(A202,[1]TRATAMIENTI!$A:$B,2,FALSE)</f>
        <v>201</v>
      </c>
      <c r="C202" s="2" t="s">
        <v>473</v>
      </c>
      <c r="D202" s="2">
        <v>3218197872</v>
      </c>
      <c r="E202" s="2" t="s">
        <v>474</v>
      </c>
      <c r="F202" s="2" t="s">
        <v>475</v>
      </c>
      <c r="G202" s="2" t="str">
        <f t="shared" si="3"/>
        <v>VALLE DEL CAUCA</v>
      </c>
      <c r="H202" s="2" t="s">
        <v>476</v>
      </c>
      <c r="I202" s="2" t="s">
        <v>477</v>
      </c>
      <c r="J202" s="2" t="s">
        <v>72</v>
      </c>
      <c r="K202" s="2" t="s">
        <v>72</v>
      </c>
      <c r="L202" s="2" t="s">
        <v>71</v>
      </c>
      <c r="M202" s="2" t="s">
        <v>71</v>
      </c>
      <c r="N202" s="2" t="s">
        <v>71</v>
      </c>
      <c r="O202" s="2" t="s">
        <v>72</v>
      </c>
      <c r="P202" s="2" t="s">
        <v>72</v>
      </c>
      <c r="Q202" s="2" t="s">
        <v>72</v>
      </c>
      <c r="R202" s="2" t="s">
        <v>72</v>
      </c>
      <c r="S202" s="2" t="s">
        <v>71</v>
      </c>
      <c r="T202" s="2" t="s">
        <v>72</v>
      </c>
      <c r="U202" s="2" t="s">
        <v>72</v>
      </c>
      <c r="V202" s="2" t="s">
        <v>71</v>
      </c>
      <c r="W202" s="2" t="s">
        <v>71</v>
      </c>
      <c r="X202" s="2" t="s">
        <v>71</v>
      </c>
      <c r="Y202" s="2" t="s">
        <v>71</v>
      </c>
      <c r="Z202" s="2" t="s">
        <v>71</v>
      </c>
      <c r="AA202" s="2" t="s">
        <v>71</v>
      </c>
      <c r="AB202" s="2" t="s">
        <v>71</v>
      </c>
      <c r="AC202" s="2" t="s">
        <v>71</v>
      </c>
      <c r="AD202" s="2" t="s">
        <v>72</v>
      </c>
      <c r="AE202" s="2" t="s">
        <v>72</v>
      </c>
      <c r="AF202" s="2" t="s">
        <v>72</v>
      </c>
      <c r="AG202" s="2" t="s">
        <v>72</v>
      </c>
      <c r="AH202" s="2" t="s">
        <v>77</v>
      </c>
      <c r="AI202" s="2">
        <v>2</v>
      </c>
    </row>
    <row r="203" spans="1:35" ht="32" x14ac:dyDescent="0.2">
      <c r="A203" s="2">
        <v>1006233749</v>
      </c>
      <c r="B203" s="2">
        <f>VLOOKUP(A203,[1]TRATAMIENTI!$A:$B,2,FALSE)</f>
        <v>203</v>
      </c>
      <c r="C203" t="s">
        <v>478</v>
      </c>
      <c r="D203">
        <v>3206148032</v>
      </c>
      <c r="E203" s="2" t="s">
        <v>479</v>
      </c>
      <c r="F203" s="2" t="s">
        <v>475</v>
      </c>
      <c r="G203" s="2" t="str">
        <f t="shared" si="3"/>
        <v>VALLE DEL CAUCA</v>
      </c>
      <c r="H203" s="2" t="s">
        <v>476</v>
      </c>
      <c r="I203" s="2" t="s">
        <v>480</v>
      </c>
      <c r="J203" s="2" t="s">
        <v>72</v>
      </c>
      <c r="K203" s="2" t="s">
        <v>72</v>
      </c>
      <c r="L203" s="2" t="s">
        <v>72</v>
      </c>
      <c r="M203" s="2" t="s">
        <v>72</v>
      </c>
      <c r="N203" s="2" t="s">
        <v>72</v>
      </c>
      <c r="O203" s="2" t="s">
        <v>72</v>
      </c>
      <c r="P203" s="2" t="s">
        <v>72</v>
      </c>
      <c r="Q203" s="2" t="s">
        <v>72</v>
      </c>
      <c r="R203" s="2" t="s">
        <v>72</v>
      </c>
      <c r="T203" s="2" t="s">
        <v>72</v>
      </c>
      <c r="U203" s="2" t="s">
        <v>72</v>
      </c>
      <c r="V203" s="2" t="s">
        <v>71</v>
      </c>
      <c r="W203" s="2" t="s">
        <v>71</v>
      </c>
      <c r="X203" s="2" t="s">
        <v>71</v>
      </c>
      <c r="Y203" s="2" t="s">
        <v>71</v>
      </c>
      <c r="Z203" s="2" t="s">
        <v>71</v>
      </c>
      <c r="AA203" s="2" t="s">
        <v>72</v>
      </c>
      <c r="AB203" s="2" t="s">
        <v>72</v>
      </c>
      <c r="AC203" s="2" t="s">
        <v>71</v>
      </c>
      <c r="AD203" s="2" t="s">
        <v>72</v>
      </c>
      <c r="AE203" s="2" t="s">
        <v>72</v>
      </c>
      <c r="AF203" s="2" t="s">
        <v>72</v>
      </c>
      <c r="AG203" s="2" t="s">
        <v>71</v>
      </c>
      <c r="AH203" s="2" t="s">
        <v>80</v>
      </c>
      <c r="AI203" s="2">
        <v>1</v>
      </c>
    </row>
    <row r="204" spans="1:35" ht="32" x14ac:dyDescent="0.2">
      <c r="A204" s="2">
        <v>1059044885</v>
      </c>
      <c r="B204" s="2">
        <f>VLOOKUP(A204,[1]TRATAMIENTI!$A:$B,2,FALSE)</f>
        <v>207</v>
      </c>
      <c r="C204" s="2" t="s">
        <v>481</v>
      </c>
      <c r="D204" s="2">
        <v>3145125224</v>
      </c>
      <c r="E204" s="2" t="s">
        <v>482</v>
      </c>
      <c r="F204" s="2" t="s">
        <v>475</v>
      </c>
      <c r="G204" s="2" t="str">
        <f t="shared" si="3"/>
        <v>VALLE DEL CAUCA</v>
      </c>
      <c r="H204" s="2" t="s">
        <v>476</v>
      </c>
      <c r="I204" s="2" t="s">
        <v>480</v>
      </c>
      <c r="J204" s="2" t="s">
        <v>72</v>
      </c>
      <c r="K204" s="2" t="s">
        <v>72</v>
      </c>
      <c r="L204" s="2" t="s">
        <v>72</v>
      </c>
      <c r="M204" s="2" t="s">
        <v>72</v>
      </c>
      <c r="N204" s="2" t="s">
        <v>72</v>
      </c>
      <c r="O204" s="2" t="s">
        <v>72</v>
      </c>
      <c r="P204" s="2" t="s">
        <v>72</v>
      </c>
      <c r="Q204" s="2" t="s">
        <v>72</v>
      </c>
      <c r="R204" s="2" t="s">
        <v>72</v>
      </c>
      <c r="S204" s="2" t="s">
        <v>71</v>
      </c>
      <c r="T204" s="2" t="s">
        <v>72</v>
      </c>
      <c r="U204" s="2" t="s">
        <v>72</v>
      </c>
      <c r="V204" s="2" t="s">
        <v>71</v>
      </c>
      <c r="W204" s="2" t="s">
        <v>71</v>
      </c>
      <c r="X204" s="2" t="s">
        <v>71</v>
      </c>
      <c r="Y204" s="2" t="s">
        <v>71</v>
      </c>
      <c r="Z204" s="2" t="s">
        <v>71</v>
      </c>
      <c r="AA204" s="2" t="s">
        <v>72</v>
      </c>
      <c r="AB204" s="2" t="s">
        <v>72</v>
      </c>
      <c r="AC204" s="2" t="s">
        <v>72</v>
      </c>
      <c r="AD204" s="2" t="s">
        <v>72</v>
      </c>
      <c r="AE204" s="2" t="s">
        <v>72</v>
      </c>
      <c r="AF204" s="2" t="s">
        <v>72</v>
      </c>
      <c r="AG204" s="2" t="s">
        <v>72</v>
      </c>
      <c r="AH204" s="2" t="s">
        <v>80</v>
      </c>
      <c r="AI204" s="2">
        <v>1</v>
      </c>
    </row>
    <row r="205" spans="1:35" ht="32" x14ac:dyDescent="0.2">
      <c r="A205" s="2">
        <v>1107062248</v>
      </c>
      <c r="B205" s="2">
        <f>VLOOKUP(A205,[1]TRATAMIENTI!$A:$B,2,FALSE)</f>
        <v>218</v>
      </c>
      <c r="C205" s="2" t="s">
        <v>483</v>
      </c>
      <c r="D205" s="2">
        <v>3187869407</v>
      </c>
      <c r="E205" s="2" t="s">
        <v>484</v>
      </c>
      <c r="F205" s="2" t="s">
        <v>475</v>
      </c>
      <c r="G205" s="2" t="str">
        <f t="shared" si="3"/>
        <v>VALLE DEL CAUCA</v>
      </c>
      <c r="H205" s="2" t="s">
        <v>476</v>
      </c>
      <c r="I205" s="2" t="s">
        <v>480</v>
      </c>
      <c r="J205" s="2" t="s">
        <v>72</v>
      </c>
      <c r="K205" s="2" t="s">
        <v>72</v>
      </c>
      <c r="L205" s="2" t="s">
        <v>72</v>
      </c>
      <c r="M205" s="2" t="s">
        <v>72</v>
      </c>
      <c r="N205" s="2" t="s">
        <v>72</v>
      </c>
      <c r="O205" s="2" t="s">
        <v>72</v>
      </c>
      <c r="P205" s="2" t="s">
        <v>72</v>
      </c>
      <c r="Q205" s="2" t="s">
        <v>72</v>
      </c>
      <c r="R205" s="2" t="s">
        <v>72</v>
      </c>
      <c r="S205" s="2" t="s">
        <v>71</v>
      </c>
      <c r="T205" s="2" t="s">
        <v>72</v>
      </c>
      <c r="U205" s="2" t="s">
        <v>72</v>
      </c>
      <c r="V205" s="2" t="s">
        <v>71</v>
      </c>
      <c r="W205" s="2" t="s">
        <v>71</v>
      </c>
      <c r="X205" s="2" t="s">
        <v>71</v>
      </c>
      <c r="Y205" s="2" t="s">
        <v>71</v>
      </c>
      <c r="Z205" s="2" t="s">
        <v>71</v>
      </c>
      <c r="AA205" s="2" t="s">
        <v>72</v>
      </c>
      <c r="AB205" s="2" t="s">
        <v>72</v>
      </c>
      <c r="AC205" s="2" t="s">
        <v>72</v>
      </c>
      <c r="AD205" s="2" t="s">
        <v>72</v>
      </c>
      <c r="AE205" s="2" t="s">
        <v>72</v>
      </c>
      <c r="AF205" s="2" t="s">
        <v>72</v>
      </c>
      <c r="AG205" s="2" t="s">
        <v>72</v>
      </c>
      <c r="AH205" s="2" t="s">
        <v>80</v>
      </c>
      <c r="AI205" s="2">
        <v>1</v>
      </c>
    </row>
    <row r="206" spans="1:35" ht="32" x14ac:dyDescent="0.2">
      <c r="A206" s="2">
        <v>1107082402</v>
      </c>
      <c r="B206" s="2">
        <f>VLOOKUP(A206,[1]TRATAMIENTI!$A:$B,2,FALSE)</f>
        <v>219</v>
      </c>
      <c r="C206" s="2" t="s">
        <v>485</v>
      </c>
      <c r="D206" s="2">
        <v>3178606148</v>
      </c>
      <c r="E206" s="2" t="s">
        <v>486</v>
      </c>
      <c r="F206" s="2" t="s">
        <v>475</v>
      </c>
      <c r="G206" s="2" t="str">
        <f t="shared" si="3"/>
        <v>VALLE DEL CAUCA</v>
      </c>
      <c r="H206" s="2" t="s">
        <v>476</v>
      </c>
      <c r="I206" s="2" t="s">
        <v>480</v>
      </c>
      <c r="J206" s="2" t="s">
        <v>72</v>
      </c>
      <c r="K206" s="2" t="s">
        <v>72</v>
      </c>
      <c r="L206" s="2" t="s">
        <v>72</v>
      </c>
      <c r="M206" s="2" t="s">
        <v>72</v>
      </c>
      <c r="N206" s="2" t="s">
        <v>72</v>
      </c>
      <c r="O206" s="2" t="s">
        <v>72</v>
      </c>
      <c r="P206" s="2" t="s">
        <v>72</v>
      </c>
      <c r="Q206" s="2" t="s">
        <v>72</v>
      </c>
      <c r="R206" s="2" t="s">
        <v>72</v>
      </c>
      <c r="S206" s="2" t="s">
        <v>71</v>
      </c>
      <c r="T206" s="2" t="s">
        <v>72</v>
      </c>
      <c r="U206" s="2" t="s">
        <v>72</v>
      </c>
      <c r="V206" s="2" t="s">
        <v>71</v>
      </c>
      <c r="W206" s="2" t="s">
        <v>71</v>
      </c>
      <c r="X206" s="2" t="s">
        <v>71</v>
      </c>
      <c r="Y206" s="2" t="s">
        <v>71</v>
      </c>
      <c r="Z206" s="2" t="s">
        <v>71</v>
      </c>
      <c r="AA206" s="2" t="s">
        <v>71</v>
      </c>
      <c r="AB206" s="2" t="s">
        <v>71</v>
      </c>
      <c r="AC206" s="2" t="s">
        <v>71</v>
      </c>
      <c r="AD206" s="2" t="s">
        <v>72</v>
      </c>
      <c r="AE206" s="2" t="s">
        <v>72</v>
      </c>
      <c r="AF206" s="2" t="s">
        <v>72</v>
      </c>
      <c r="AG206" s="2" t="s">
        <v>72</v>
      </c>
      <c r="AH206" s="2" t="s">
        <v>80</v>
      </c>
      <c r="AI206" s="2">
        <v>2</v>
      </c>
    </row>
    <row r="207" spans="1:35" ht="32" x14ac:dyDescent="0.2">
      <c r="A207" s="2">
        <v>1118256990</v>
      </c>
      <c r="B207" s="2">
        <f>VLOOKUP(A207,[1]TRATAMIENTI!$A:$B,2,FALSE)</f>
        <v>226</v>
      </c>
      <c r="C207" s="2" t="s">
        <v>487</v>
      </c>
      <c r="D207" s="2">
        <v>3216375719</v>
      </c>
      <c r="E207" s="2" t="s">
        <v>488</v>
      </c>
      <c r="F207" s="2" t="s">
        <v>475</v>
      </c>
      <c r="G207" s="2" t="str">
        <f t="shared" si="3"/>
        <v>VALLE DEL CAUCA</v>
      </c>
      <c r="H207" s="2" t="s">
        <v>476</v>
      </c>
      <c r="I207" s="2" t="s">
        <v>480</v>
      </c>
      <c r="J207" s="2" t="s">
        <v>71</v>
      </c>
      <c r="K207" s="2" t="s">
        <v>72</v>
      </c>
      <c r="L207" s="2" t="s">
        <v>72</v>
      </c>
      <c r="M207" s="2" t="s">
        <v>72</v>
      </c>
      <c r="N207" s="2" t="s">
        <v>72</v>
      </c>
      <c r="O207" s="2" t="s">
        <v>72</v>
      </c>
      <c r="P207" s="2" t="s">
        <v>72</v>
      </c>
      <c r="Q207" s="2" t="s">
        <v>72</v>
      </c>
      <c r="R207" s="2" t="s">
        <v>72</v>
      </c>
      <c r="T207" s="2" t="s">
        <v>72</v>
      </c>
      <c r="U207" s="2" t="s">
        <v>72</v>
      </c>
      <c r="V207" s="2" t="s">
        <v>71</v>
      </c>
      <c r="W207" s="2" t="s">
        <v>71</v>
      </c>
      <c r="X207" s="2" t="s">
        <v>71</v>
      </c>
      <c r="Y207" s="2" t="s">
        <v>71</v>
      </c>
      <c r="Z207" s="2" t="s">
        <v>71</v>
      </c>
      <c r="AA207" s="2" t="s">
        <v>72</v>
      </c>
      <c r="AB207" s="2" t="s">
        <v>72</v>
      </c>
      <c r="AC207" s="2" t="s">
        <v>72</v>
      </c>
      <c r="AD207" s="2" t="s">
        <v>72</v>
      </c>
      <c r="AE207" s="2" t="s">
        <v>72</v>
      </c>
      <c r="AF207" s="2" t="s">
        <v>72</v>
      </c>
      <c r="AG207" s="2" t="s">
        <v>72</v>
      </c>
      <c r="AH207" s="2" t="s">
        <v>80</v>
      </c>
      <c r="AI207" s="2">
        <v>1</v>
      </c>
    </row>
    <row r="208" spans="1:35" ht="32" x14ac:dyDescent="0.2">
      <c r="A208" s="2">
        <v>1130590826</v>
      </c>
      <c r="B208" s="2">
        <f>VLOOKUP(A208,[1]TRATAMIENTI!$A:$B,2,FALSE)</f>
        <v>227</v>
      </c>
      <c r="C208" s="2" t="s">
        <v>489</v>
      </c>
      <c r="D208" s="2">
        <v>3176938524</v>
      </c>
      <c r="E208" s="2" t="s">
        <v>490</v>
      </c>
      <c r="F208" s="2" t="s">
        <v>475</v>
      </c>
      <c r="G208" s="2" t="str">
        <f t="shared" si="3"/>
        <v>VALLE DEL CAUCA</v>
      </c>
      <c r="H208" s="2" t="s">
        <v>476</v>
      </c>
      <c r="I208" s="2" t="s">
        <v>477</v>
      </c>
      <c r="J208" s="2" t="s">
        <v>72</v>
      </c>
      <c r="K208" s="2" t="s">
        <v>72</v>
      </c>
      <c r="L208" s="2" t="s">
        <v>72</v>
      </c>
      <c r="M208" s="2" t="s">
        <v>72</v>
      </c>
      <c r="N208" s="2" t="s">
        <v>72</v>
      </c>
      <c r="O208" s="2" t="s">
        <v>72</v>
      </c>
      <c r="R208" s="2" t="s">
        <v>72</v>
      </c>
      <c r="S208" s="2" t="s">
        <v>71</v>
      </c>
      <c r="T208" s="2" t="s">
        <v>72</v>
      </c>
      <c r="U208" s="2" t="s">
        <v>72</v>
      </c>
      <c r="V208" s="2" t="s">
        <v>71</v>
      </c>
      <c r="W208" s="2" t="s">
        <v>71</v>
      </c>
      <c r="X208" s="2" t="s">
        <v>71</v>
      </c>
      <c r="Y208" s="2" t="s">
        <v>71</v>
      </c>
      <c r="Z208" s="2" t="s">
        <v>71</v>
      </c>
      <c r="AA208" s="2" t="s">
        <v>71</v>
      </c>
      <c r="AB208" s="2" t="s">
        <v>71</v>
      </c>
      <c r="AC208" s="2" t="s">
        <v>71</v>
      </c>
      <c r="AD208" s="2" t="s">
        <v>72</v>
      </c>
      <c r="AE208" s="2" t="s">
        <v>72</v>
      </c>
      <c r="AF208" s="2" t="s">
        <v>72</v>
      </c>
      <c r="AG208" s="2" t="s">
        <v>72</v>
      </c>
      <c r="AH208" s="2" t="s">
        <v>80</v>
      </c>
      <c r="AI208" s="2">
        <v>1</v>
      </c>
    </row>
    <row r="209" spans="1:35" s="39" customFormat="1" ht="32" x14ac:dyDescent="0.2">
      <c r="A209" s="39">
        <v>1130621848</v>
      </c>
      <c r="B209" s="39">
        <f>VLOOKUP(A209,[1]TRATAMIENTI!$A:$B,2,FALSE)</f>
        <v>231</v>
      </c>
      <c r="C209" s="39" t="s">
        <v>491</v>
      </c>
      <c r="D209" s="39">
        <v>3206121872</v>
      </c>
      <c r="E209" s="39">
        <v>0</v>
      </c>
      <c r="F209" s="39" t="s">
        <v>475</v>
      </c>
      <c r="G209" s="39" t="str">
        <f t="shared" si="3"/>
        <v>VALLE DEL CAUCA</v>
      </c>
      <c r="H209" s="39" t="s">
        <v>476</v>
      </c>
      <c r="I209" s="39">
        <v>0</v>
      </c>
      <c r="J209" s="39" t="s">
        <v>71</v>
      </c>
      <c r="K209" s="39" t="s">
        <v>71</v>
      </c>
      <c r="L209" s="39" t="s">
        <v>71</v>
      </c>
      <c r="M209" s="39" t="s">
        <v>72</v>
      </c>
      <c r="N209" s="39" t="s">
        <v>72</v>
      </c>
      <c r="O209" s="39" t="s">
        <v>72</v>
      </c>
      <c r="P209" s="39" t="s">
        <v>72</v>
      </c>
      <c r="Q209" s="39" t="s">
        <v>72</v>
      </c>
      <c r="R209" s="39" t="s">
        <v>72</v>
      </c>
      <c r="S209" s="39" t="s">
        <v>71</v>
      </c>
      <c r="T209" s="39" t="s">
        <v>71</v>
      </c>
      <c r="U209" s="39" t="s">
        <v>72</v>
      </c>
      <c r="V209" s="39" t="s">
        <v>71</v>
      </c>
      <c r="W209" s="39" t="s">
        <v>71</v>
      </c>
      <c r="X209" s="39" t="s">
        <v>71</v>
      </c>
      <c r="Y209" s="39" t="s">
        <v>71</v>
      </c>
      <c r="Z209" s="39" t="s">
        <v>71</v>
      </c>
      <c r="AA209" s="39" t="s">
        <v>71</v>
      </c>
      <c r="AB209" s="39" t="s">
        <v>71</v>
      </c>
      <c r="AC209" s="39" t="s">
        <v>71</v>
      </c>
      <c r="AD209" s="39" t="s">
        <v>71</v>
      </c>
      <c r="AE209" s="39" t="s">
        <v>71</v>
      </c>
      <c r="AF209" s="39" t="s">
        <v>71</v>
      </c>
      <c r="AG209" s="39" t="s">
        <v>71</v>
      </c>
      <c r="AH209" s="39" t="s">
        <v>80</v>
      </c>
      <c r="AI209" s="39">
        <v>2</v>
      </c>
    </row>
    <row r="210" spans="1:35" ht="48" x14ac:dyDescent="0.2">
      <c r="A210" s="2">
        <v>1130668655</v>
      </c>
      <c r="B210" s="2">
        <f>VLOOKUP(A210,[1]TRATAMIENTI!$A:$B,2,FALSE)</f>
        <v>232</v>
      </c>
      <c r="C210" s="2" t="s">
        <v>492</v>
      </c>
      <c r="D210" s="2">
        <v>3218729597</v>
      </c>
      <c r="E210" s="2" t="s">
        <v>493</v>
      </c>
      <c r="F210" s="2" t="s">
        <v>475</v>
      </c>
      <c r="G210" s="2" t="str">
        <f t="shared" si="3"/>
        <v>VALLE DEL CAUCA</v>
      </c>
      <c r="H210" s="2" t="s">
        <v>476</v>
      </c>
      <c r="I210" s="2" t="s">
        <v>477</v>
      </c>
      <c r="J210" s="2" t="s">
        <v>72</v>
      </c>
      <c r="K210" s="2" t="s">
        <v>72</v>
      </c>
      <c r="L210" s="2" t="s">
        <v>72</v>
      </c>
      <c r="M210" s="2" t="s">
        <v>72</v>
      </c>
      <c r="N210" s="2" t="s">
        <v>72</v>
      </c>
      <c r="O210" s="2" t="s">
        <v>72</v>
      </c>
      <c r="P210" s="2" t="s">
        <v>72</v>
      </c>
      <c r="Q210" s="2" t="s">
        <v>72</v>
      </c>
      <c r="T210" s="2" t="s">
        <v>72</v>
      </c>
      <c r="U210" s="2" t="s">
        <v>72</v>
      </c>
      <c r="V210" s="2" t="s">
        <v>71</v>
      </c>
      <c r="W210" s="2" t="s">
        <v>71</v>
      </c>
      <c r="X210" s="2" t="s">
        <v>71</v>
      </c>
      <c r="Y210" s="2" t="s">
        <v>71</v>
      </c>
      <c r="Z210" s="2" t="s">
        <v>71</v>
      </c>
      <c r="AA210" s="2" t="s">
        <v>71</v>
      </c>
      <c r="AB210" s="2" t="s">
        <v>71</v>
      </c>
      <c r="AC210" s="2" t="s">
        <v>71</v>
      </c>
      <c r="AD210" s="2" t="s">
        <v>72</v>
      </c>
      <c r="AE210" s="2" t="s">
        <v>72</v>
      </c>
      <c r="AF210" s="2" t="s">
        <v>72</v>
      </c>
      <c r="AG210" s="2" t="s">
        <v>72</v>
      </c>
      <c r="AH210" s="2" t="s">
        <v>80</v>
      </c>
      <c r="AI210" s="2">
        <v>2</v>
      </c>
    </row>
    <row r="211" spans="1:35" ht="48" x14ac:dyDescent="0.2">
      <c r="A211" s="2">
        <v>1143830506</v>
      </c>
      <c r="B211" s="2">
        <f>VLOOKUP(A211,[1]TRATAMIENTI!$A:$B,2,FALSE)</f>
        <v>234</v>
      </c>
      <c r="C211" s="2" t="s">
        <v>494</v>
      </c>
      <c r="D211" s="2">
        <v>3113314018</v>
      </c>
      <c r="E211" s="2" t="s">
        <v>495</v>
      </c>
      <c r="F211" s="2" t="s">
        <v>475</v>
      </c>
      <c r="G211" s="2" t="str">
        <f t="shared" si="3"/>
        <v>VALLE DEL CAUCA</v>
      </c>
      <c r="H211" s="2" t="s">
        <v>476</v>
      </c>
      <c r="I211" s="2" t="s">
        <v>477</v>
      </c>
      <c r="J211" s="2" t="s">
        <v>72</v>
      </c>
      <c r="K211" s="2" t="s">
        <v>72</v>
      </c>
      <c r="L211" s="2" t="s">
        <v>72</v>
      </c>
      <c r="M211" s="2" t="s">
        <v>72</v>
      </c>
      <c r="N211" s="2" t="s">
        <v>72</v>
      </c>
      <c r="O211" s="2" t="s">
        <v>72</v>
      </c>
      <c r="P211" s="2" t="s">
        <v>72</v>
      </c>
      <c r="Q211" s="2" t="s">
        <v>72</v>
      </c>
      <c r="R211" s="2" t="s">
        <v>72</v>
      </c>
      <c r="S211" s="2" t="s">
        <v>71</v>
      </c>
      <c r="T211" s="2" t="s">
        <v>72</v>
      </c>
      <c r="U211" s="2" t="s">
        <v>72</v>
      </c>
      <c r="V211" s="2" t="s">
        <v>71</v>
      </c>
      <c r="W211" s="2" t="s">
        <v>71</v>
      </c>
      <c r="X211" s="2" t="s">
        <v>71</v>
      </c>
      <c r="Y211" s="2" t="s">
        <v>71</v>
      </c>
      <c r="Z211" s="2" t="s">
        <v>71</v>
      </c>
      <c r="AA211" s="2" t="s">
        <v>71</v>
      </c>
      <c r="AB211" s="2" t="s">
        <v>71</v>
      </c>
      <c r="AC211" s="2" t="s">
        <v>71</v>
      </c>
      <c r="AD211" s="2" t="s">
        <v>72</v>
      </c>
      <c r="AE211" s="2" t="s">
        <v>72</v>
      </c>
      <c r="AF211" s="2" t="s">
        <v>72</v>
      </c>
      <c r="AG211" s="2" t="s">
        <v>72</v>
      </c>
      <c r="AH211" s="2" t="s">
        <v>91</v>
      </c>
      <c r="AI211" s="2">
        <v>1</v>
      </c>
    </row>
    <row r="212" spans="1:35" ht="32" x14ac:dyDescent="0.2">
      <c r="A212" s="2">
        <v>1143831016</v>
      </c>
      <c r="B212" s="2">
        <f>VLOOKUP(A212,[1]TRATAMIENTI!$A:$B,2,FALSE)</f>
        <v>235</v>
      </c>
      <c r="C212" s="2" t="s">
        <v>496</v>
      </c>
      <c r="D212" s="2">
        <v>3205880394</v>
      </c>
      <c r="E212" s="2" t="s">
        <v>497</v>
      </c>
      <c r="F212" s="2" t="s">
        <v>475</v>
      </c>
      <c r="G212" s="2" t="str">
        <f t="shared" si="3"/>
        <v>VALLE DEL CAUCA</v>
      </c>
      <c r="H212" s="2" t="s">
        <v>476</v>
      </c>
      <c r="I212" s="2" t="s">
        <v>477</v>
      </c>
      <c r="J212" s="2" t="s">
        <v>72</v>
      </c>
      <c r="K212" s="2" t="s">
        <v>72</v>
      </c>
      <c r="L212" s="2" t="s">
        <v>72</v>
      </c>
      <c r="M212" s="2" t="s">
        <v>72</v>
      </c>
      <c r="N212" s="2" t="s">
        <v>72</v>
      </c>
      <c r="O212" s="2" t="s">
        <v>71</v>
      </c>
      <c r="P212" s="2" t="s">
        <v>71</v>
      </c>
      <c r="Q212" s="2" t="s">
        <v>71</v>
      </c>
      <c r="R212" s="2" t="s">
        <v>72</v>
      </c>
      <c r="S212" s="2" t="s">
        <v>71</v>
      </c>
      <c r="T212" s="2" t="s">
        <v>71</v>
      </c>
      <c r="U212" s="2" t="s">
        <v>72</v>
      </c>
      <c r="V212" s="2" t="s">
        <v>71</v>
      </c>
      <c r="W212" s="2" t="s">
        <v>71</v>
      </c>
      <c r="X212" s="2" t="s">
        <v>71</v>
      </c>
      <c r="Y212" s="2" t="s">
        <v>71</v>
      </c>
      <c r="Z212" s="2" t="s">
        <v>71</v>
      </c>
      <c r="AA212" s="2" t="s">
        <v>71</v>
      </c>
      <c r="AB212" s="2" t="s">
        <v>71</v>
      </c>
      <c r="AC212" s="2" t="s">
        <v>71</v>
      </c>
      <c r="AD212" s="2" t="s">
        <v>72</v>
      </c>
      <c r="AE212" s="2" t="s">
        <v>72</v>
      </c>
      <c r="AF212" s="2" t="s">
        <v>72</v>
      </c>
      <c r="AG212" s="2" t="s">
        <v>72</v>
      </c>
      <c r="AH212" s="2" t="s">
        <v>80</v>
      </c>
      <c r="AI212" s="2">
        <v>2</v>
      </c>
    </row>
    <row r="213" spans="1:35" ht="32" x14ac:dyDescent="0.2">
      <c r="A213" s="2">
        <v>1143845493</v>
      </c>
      <c r="B213" s="2">
        <f>VLOOKUP(A213,[1]TRATAMIENTI!$A:$B,2,FALSE)</f>
        <v>237</v>
      </c>
      <c r="C213" s="2" t="s">
        <v>498</v>
      </c>
      <c r="D213" s="2">
        <v>3127409835</v>
      </c>
      <c r="E213">
        <v>0</v>
      </c>
      <c r="F213" s="2" t="s">
        <v>475</v>
      </c>
      <c r="G213" s="2" t="str">
        <f t="shared" si="3"/>
        <v>VALLE DEL CAUCA</v>
      </c>
      <c r="H213" s="2" t="s">
        <v>476</v>
      </c>
      <c r="I213" s="2" t="s">
        <v>480</v>
      </c>
      <c r="J213" s="2" t="s">
        <v>71</v>
      </c>
      <c r="K213" s="2" t="s">
        <v>71</v>
      </c>
      <c r="L213" s="2" t="s">
        <v>72</v>
      </c>
      <c r="M213" s="2" t="s">
        <v>72</v>
      </c>
      <c r="N213" s="2" t="s">
        <v>72</v>
      </c>
      <c r="O213" s="2" t="s">
        <v>72</v>
      </c>
      <c r="P213" s="2" t="s">
        <v>72</v>
      </c>
      <c r="Q213" s="2" t="s">
        <v>71</v>
      </c>
      <c r="R213" s="2" t="s">
        <v>71</v>
      </c>
      <c r="S213" s="2" t="s">
        <v>71</v>
      </c>
      <c r="T213" s="2" t="s">
        <v>71</v>
      </c>
      <c r="U213" s="2" t="s">
        <v>72</v>
      </c>
      <c r="V213" s="2" t="s">
        <v>71</v>
      </c>
      <c r="W213" s="2" t="s">
        <v>71</v>
      </c>
      <c r="X213" s="2" t="s">
        <v>71</v>
      </c>
      <c r="Y213" s="2" t="s">
        <v>71</v>
      </c>
      <c r="Z213" s="2" t="s">
        <v>71</v>
      </c>
      <c r="AA213" s="2" t="s">
        <v>72</v>
      </c>
      <c r="AB213" s="2" t="s">
        <v>71</v>
      </c>
      <c r="AC213" s="2" t="s">
        <v>71</v>
      </c>
      <c r="AD213" s="2" t="s">
        <v>71</v>
      </c>
      <c r="AE213" s="2" t="s">
        <v>71</v>
      </c>
      <c r="AF213" s="2" t="s">
        <v>71</v>
      </c>
      <c r="AG213" s="2" t="s">
        <v>71</v>
      </c>
      <c r="AH213" s="2" t="s">
        <v>80</v>
      </c>
      <c r="AI213" s="2">
        <v>2</v>
      </c>
    </row>
    <row r="214" spans="1:35" ht="32" x14ac:dyDescent="0.2">
      <c r="A214" s="2">
        <v>1144024517</v>
      </c>
      <c r="B214" s="2">
        <f>VLOOKUP(A214,[1]TRATAMIENTI!$A:$B,2,FALSE)</f>
        <v>238</v>
      </c>
      <c r="C214" s="2" t="s">
        <v>499</v>
      </c>
      <c r="D214" s="2" t="s">
        <v>500</v>
      </c>
      <c r="E214" s="2" t="s">
        <v>501</v>
      </c>
      <c r="F214" s="2" t="s">
        <v>475</v>
      </c>
      <c r="G214" s="2" t="str">
        <f t="shared" si="3"/>
        <v>VALLE DEL CAUCA</v>
      </c>
      <c r="H214" s="2" t="s">
        <v>476</v>
      </c>
      <c r="I214" s="2" t="s">
        <v>480</v>
      </c>
      <c r="J214" s="2" t="s">
        <v>72</v>
      </c>
      <c r="K214" s="2" t="s">
        <v>72</v>
      </c>
      <c r="L214" s="2" t="s">
        <v>72</v>
      </c>
      <c r="M214" s="2" t="s">
        <v>72</v>
      </c>
      <c r="N214" s="2" t="s">
        <v>72</v>
      </c>
      <c r="O214" s="2" t="s">
        <v>72</v>
      </c>
      <c r="P214" s="2" t="s">
        <v>72</v>
      </c>
      <c r="Q214" s="2" t="s">
        <v>72</v>
      </c>
      <c r="R214" s="2" t="s">
        <v>72</v>
      </c>
      <c r="S214" s="2" t="s">
        <v>71</v>
      </c>
      <c r="T214" s="2" t="s">
        <v>72</v>
      </c>
      <c r="U214" s="2" t="s">
        <v>72</v>
      </c>
      <c r="V214" s="2" t="s">
        <v>71</v>
      </c>
      <c r="W214" s="2" t="s">
        <v>71</v>
      </c>
      <c r="X214" s="2" t="s">
        <v>71</v>
      </c>
      <c r="Y214" s="2" t="s">
        <v>71</v>
      </c>
      <c r="Z214" s="2" t="s">
        <v>71</v>
      </c>
      <c r="AA214" s="2" t="s">
        <v>72</v>
      </c>
      <c r="AB214" s="2" t="s">
        <v>72</v>
      </c>
      <c r="AC214" s="2" t="s">
        <v>72</v>
      </c>
      <c r="AD214" s="2" t="s">
        <v>72</v>
      </c>
      <c r="AE214" s="2" t="s">
        <v>72</v>
      </c>
      <c r="AF214" s="2" t="s">
        <v>72</v>
      </c>
      <c r="AG214" s="2" t="s">
        <v>72</v>
      </c>
      <c r="AH214" s="2" t="s">
        <v>80</v>
      </c>
      <c r="AI214" s="2">
        <v>1</v>
      </c>
    </row>
    <row r="215" spans="1:35" ht="48" x14ac:dyDescent="0.2">
      <c r="A215" s="2">
        <v>1144031654</v>
      </c>
      <c r="B215" s="2">
        <f>VLOOKUP(A215,[1]TRATAMIENTI!$A:$B,2,FALSE)</f>
        <v>240</v>
      </c>
      <c r="C215" s="2" t="s">
        <v>502</v>
      </c>
      <c r="D215" s="2">
        <v>3136404800</v>
      </c>
      <c r="E215" s="2" t="s">
        <v>503</v>
      </c>
      <c r="F215" s="2" t="s">
        <v>475</v>
      </c>
      <c r="G215" s="2" t="str">
        <f t="shared" si="3"/>
        <v>VALLE DEL CAUCA</v>
      </c>
      <c r="H215" s="2" t="s">
        <v>476</v>
      </c>
      <c r="I215" s="2" t="s">
        <v>480</v>
      </c>
      <c r="J215" s="2" t="s">
        <v>72</v>
      </c>
      <c r="K215" s="2" t="s">
        <v>72</v>
      </c>
      <c r="L215" s="2" t="s">
        <v>72</v>
      </c>
      <c r="M215" s="2" t="s">
        <v>72</v>
      </c>
      <c r="N215" s="2" t="s">
        <v>72</v>
      </c>
      <c r="O215" s="2" t="s">
        <v>72</v>
      </c>
      <c r="P215" s="2" t="s">
        <v>72</v>
      </c>
      <c r="Q215" s="2" t="s">
        <v>72</v>
      </c>
      <c r="R215" s="2" t="s">
        <v>72</v>
      </c>
      <c r="S215" s="2" t="s">
        <v>71</v>
      </c>
      <c r="T215" s="2" t="s">
        <v>72</v>
      </c>
      <c r="U215" s="2" t="s">
        <v>72</v>
      </c>
      <c r="V215" s="2" t="s">
        <v>71</v>
      </c>
      <c r="W215" s="2" t="s">
        <v>71</v>
      </c>
      <c r="X215" s="2" t="s">
        <v>71</v>
      </c>
      <c r="Y215" s="2" t="s">
        <v>71</v>
      </c>
      <c r="Z215" s="2" t="s">
        <v>71</v>
      </c>
      <c r="AA215" s="2" t="s">
        <v>72</v>
      </c>
      <c r="AB215" s="2" t="s">
        <v>72</v>
      </c>
      <c r="AC215" s="2" t="s">
        <v>71</v>
      </c>
      <c r="AD215" s="2" t="s">
        <v>72</v>
      </c>
      <c r="AE215" s="2" t="s">
        <v>72</v>
      </c>
      <c r="AF215" s="2" t="s">
        <v>72</v>
      </c>
      <c r="AG215" s="2" t="s">
        <v>72</v>
      </c>
      <c r="AH215" s="2" t="s">
        <v>80</v>
      </c>
      <c r="AI215" s="2">
        <v>2</v>
      </c>
    </row>
    <row r="216" spans="1:35" ht="32" x14ac:dyDescent="0.2">
      <c r="A216" s="2">
        <v>1144035169</v>
      </c>
      <c r="B216" s="2">
        <f>VLOOKUP(A216,[1]TRATAMIENTI!$A:$B,2,FALSE)</f>
        <v>242</v>
      </c>
      <c r="C216" s="2" t="s">
        <v>504</v>
      </c>
      <c r="D216" s="2">
        <v>3126692495</v>
      </c>
      <c r="E216" s="2" t="s">
        <v>505</v>
      </c>
      <c r="F216" s="2" t="s">
        <v>475</v>
      </c>
      <c r="G216" s="2" t="str">
        <f t="shared" si="3"/>
        <v>VALLE DEL CAUCA</v>
      </c>
      <c r="H216" s="2" t="s">
        <v>476</v>
      </c>
      <c r="I216" s="2" t="s">
        <v>480</v>
      </c>
      <c r="J216" s="2" t="s">
        <v>71</v>
      </c>
      <c r="K216" s="2" t="s">
        <v>72</v>
      </c>
      <c r="L216" s="2" t="s">
        <v>72</v>
      </c>
      <c r="M216" s="2" t="s">
        <v>72</v>
      </c>
      <c r="N216" s="2" t="s">
        <v>72</v>
      </c>
      <c r="O216" s="2" t="s">
        <v>72</v>
      </c>
      <c r="P216" s="2" t="s">
        <v>72</v>
      </c>
      <c r="Q216" s="2" t="s">
        <v>72</v>
      </c>
      <c r="R216" s="2" t="s">
        <v>72</v>
      </c>
      <c r="S216" s="2" t="s">
        <v>71</v>
      </c>
      <c r="T216" s="2" t="s">
        <v>72</v>
      </c>
      <c r="U216" s="2" t="s">
        <v>72</v>
      </c>
      <c r="V216" s="2" t="s">
        <v>71</v>
      </c>
      <c r="W216" s="2" t="s">
        <v>71</v>
      </c>
      <c r="X216" s="2" t="s">
        <v>71</v>
      </c>
      <c r="Y216" s="2" t="s">
        <v>71</v>
      </c>
      <c r="Z216" s="2" t="s">
        <v>71</v>
      </c>
      <c r="AA216" s="2" t="s">
        <v>72</v>
      </c>
      <c r="AB216" s="2" t="s">
        <v>72</v>
      </c>
      <c r="AC216" s="2" t="s">
        <v>72</v>
      </c>
      <c r="AD216" s="2" t="s">
        <v>72</v>
      </c>
      <c r="AE216" s="2" t="s">
        <v>72</v>
      </c>
      <c r="AF216" s="2" t="s">
        <v>72</v>
      </c>
      <c r="AG216" s="2" t="s">
        <v>72</v>
      </c>
      <c r="AH216" s="2" t="s">
        <v>80</v>
      </c>
      <c r="AI216" s="2">
        <v>2</v>
      </c>
    </row>
    <row r="217" spans="1:35" ht="32" x14ac:dyDescent="0.2">
      <c r="A217" s="2">
        <v>1144038638</v>
      </c>
      <c r="B217" s="2">
        <f>VLOOKUP(A217,[1]TRATAMIENTI!$A:$B,2,FALSE)</f>
        <v>244</v>
      </c>
      <c r="C217" s="2" t="s">
        <v>506</v>
      </c>
      <c r="D217" s="2">
        <v>3162226216</v>
      </c>
      <c r="E217" s="2" t="s">
        <v>507</v>
      </c>
      <c r="F217" s="2" t="s">
        <v>475</v>
      </c>
      <c r="G217" s="2" t="str">
        <f t="shared" si="3"/>
        <v>VALLE DEL CAUCA</v>
      </c>
      <c r="H217" s="2" t="s">
        <v>476</v>
      </c>
      <c r="I217" s="2" t="s">
        <v>477</v>
      </c>
      <c r="J217" s="2" t="s">
        <v>72</v>
      </c>
      <c r="K217" s="2" t="s">
        <v>72</v>
      </c>
      <c r="L217" s="2" t="s">
        <v>72</v>
      </c>
      <c r="M217" s="2" t="s">
        <v>72</v>
      </c>
      <c r="N217" s="2" t="s">
        <v>72</v>
      </c>
      <c r="O217" s="2" t="s">
        <v>72</v>
      </c>
      <c r="P217" s="2" t="s">
        <v>72</v>
      </c>
      <c r="Q217" s="2" t="s">
        <v>72</v>
      </c>
      <c r="R217" s="2" t="s">
        <v>72</v>
      </c>
      <c r="S217" s="2" t="s">
        <v>71</v>
      </c>
      <c r="T217" s="2" t="s">
        <v>72</v>
      </c>
      <c r="U217" s="2" t="s">
        <v>72</v>
      </c>
      <c r="V217" s="2" t="s">
        <v>71</v>
      </c>
      <c r="W217" s="2" t="s">
        <v>71</v>
      </c>
      <c r="X217" s="2" t="s">
        <v>71</v>
      </c>
      <c r="Y217" s="2" t="s">
        <v>71</v>
      </c>
      <c r="Z217" s="2" t="s">
        <v>71</v>
      </c>
      <c r="AA217" s="2" t="s">
        <v>71</v>
      </c>
      <c r="AB217" s="2" t="s">
        <v>71</v>
      </c>
      <c r="AC217" s="2" t="s">
        <v>71</v>
      </c>
      <c r="AD217" s="2" t="s">
        <v>72</v>
      </c>
      <c r="AE217" s="2" t="s">
        <v>72</v>
      </c>
      <c r="AF217" s="2" t="s">
        <v>72</v>
      </c>
      <c r="AG217" s="2" t="s">
        <v>72</v>
      </c>
      <c r="AH217" s="2" t="s">
        <v>80</v>
      </c>
      <c r="AI217" s="2">
        <v>2</v>
      </c>
    </row>
    <row r="218" spans="1:35" ht="32" x14ac:dyDescent="0.2">
      <c r="A218" s="2">
        <v>1144038733</v>
      </c>
      <c r="B218" s="2">
        <f>VLOOKUP(A218,[1]TRATAMIENTI!$A:$B,2,FALSE)</f>
        <v>245</v>
      </c>
      <c r="C218" s="2" t="s">
        <v>508</v>
      </c>
      <c r="D218" s="2">
        <v>3135736226</v>
      </c>
      <c r="E218" s="2">
        <v>0</v>
      </c>
      <c r="F218" s="2" t="s">
        <v>475</v>
      </c>
      <c r="G218" s="2" t="str">
        <f t="shared" si="3"/>
        <v>VALLE DEL CAUCA</v>
      </c>
      <c r="H218" s="2" t="s">
        <v>476</v>
      </c>
      <c r="I218" s="2" t="s">
        <v>480</v>
      </c>
      <c r="J218" s="2" t="s">
        <v>71</v>
      </c>
      <c r="K218" s="2" t="s">
        <v>72</v>
      </c>
      <c r="L218" s="2" t="s">
        <v>72</v>
      </c>
      <c r="M218" s="2" t="s">
        <v>72</v>
      </c>
      <c r="N218" s="2" t="s">
        <v>72</v>
      </c>
      <c r="O218" s="2" t="s">
        <v>71</v>
      </c>
      <c r="P218" s="2" t="s">
        <v>71</v>
      </c>
      <c r="Q218" s="2" t="s">
        <v>71</v>
      </c>
      <c r="R218" s="2" t="s">
        <v>72</v>
      </c>
      <c r="S218" s="2" t="s">
        <v>71</v>
      </c>
      <c r="T218" s="2" t="s">
        <v>72</v>
      </c>
      <c r="U218" s="2" t="s">
        <v>72</v>
      </c>
      <c r="V218" s="2" t="s">
        <v>71</v>
      </c>
      <c r="W218" s="2" t="s">
        <v>71</v>
      </c>
      <c r="X218" s="2" t="s">
        <v>71</v>
      </c>
      <c r="Y218" s="2" t="s">
        <v>71</v>
      </c>
      <c r="Z218" s="2" t="s">
        <v>71</v>
      </c>
      <c r="AA218" s="2" t="s">
        <v>72</v>
      </c>
      <c r="AB218" s="2" t="s">
        <v>72</v>
      </c>
      <c r="AC218" s="2" t="s">
        <v>71</v>
      </c>
      <c r="AD218" s="2" t="s">
        <v>72</v>
      </c>
      <c r="AE218" s="2" t="s">
        <v>72</v>
      </c>
      <c r="AF218" s="2" t="s">
        <v>72</v>
      </c>
      <c r="AG218" s="2" t="s">
        <v>72</v>
      </c>
      <c r="AH218" s="2" t="s">
        <v>85</v>
      </c>
      <c r="AI218" s="2">
        <v>1</v>
      </c>
    </row>
    <row r="219" spans="1:35" ht="32" x14ac:dyDescent="0.2">
      <c r="A219" s="2">
        <v>1144043798</v>
      </c>
      <c r="B219" s="2">
        <f>VLOOKUP(A219,[1]TRATAMIENTI!$A:$B,2,FALSE)</f>
        <v>246</v>
      </c>
      <c r="C219" s="2" t="s">
        <v>509</v>
      </c>
      <c r="D219" s="2">
        <v>3163809857</v>
      </c>
      <c r="E219" s="2" t="s">
        <v>510</v>
      </c>
      <c r="F219" s="2" t="s">
        <v>475</v>
      </c>
      <c r="G219" s="2" t="str">
        <f t="shared" si="3"/>
        <v>VALLE DEL CAUCA</v>
      </c>
      <c r="H219" s="2" t="s">
        <v>476</v>
      </c>
      <c r="I219" s="2" t="s">
        <v>477</v>
      </c>
      <c r="J219" s="2" t="s">
        <v>71</v>
      </c>
      <c r="K219" s="2" t="s">
        <v>72</v>
      </c>
      <c r="L219" s="2" t="s">
        <v>72</v>
      </c>
      <c r="M219" s="2" t="s">
        <v>72</v>
      </c>
      <c r="N219" s="2" t="s">
        <v>72</v>
      </c>
      <c r="O219" s="2" t="s">
        <v>72</v>
      </c>
      <c r="P219" s="2" t="s">
        <v>72</v>
      </c>
      <c r="Q219" s="2" t="s">
        <v>72</v>
      </c>
      <c r="R219" s="2" t="s">
        <v>72</v>
      </c>
      <c r="S219" s="2" t="s">
        <v>71</v>
      </c>
      <c r="T219" s="2" t="s">
        <v>72</v>
      </c>
      <c r="U219" s="2" t="s">
        <v>71</v>
      </c>
      <c r="V219" s="2" t="s">
        <v>71</v>
      </c>
      <c r="W219" s="2" t="s">
        <v>71</v>
      </c>
      <c r="X219" s="2" t="s">
        <v>71</v>
      </c>
      <c r="Y219" s="2" t="s">
        <v>71</v>
      </c>
      <c r="Z219" s="2" t="s">
        <v>71</v>
      </c>
      <c r="AA219" s="2" t="s">
        <v>71</v>
      </c>
      <c r="AB219" s="2" t="s">
        <v>71</v>
      </c>
      <c r="AC219" s="2" t="s">
        <v>71</v>
      </c>
      <c r="AD219" s="2" t="s">
        <v>72</v>
      </c>
      <c r="AE219" s="2" t="s">
        <v>72</v>
      </c>
      <c r="AF219" s="2" t="s">
        <v>72</v>
      </c>
      <c r="AG219" s="2" t="s">
        <v>72</v>
      </c>
      <c r="AH219" s="2" t="s">
        <v>80</v>
      </c>
      <c r="AI219" s="2">
        <v>1</v>
      </c>
    </row>
    <row r="220" spans="1:35" ht="32" x14ac:dyDescent="0.2">
      <c r="A220" s="2">
        <v>1144046314</v>
      </c>
      <c r="B220" s="2">
        <f>VLOOKUP(A220,[1]TRATAMIENTI!$A:$B,2,FALSE)</f>
        <v>248</v>
      </c>
      <c r="C220" s="2" t="s">
        <v>511</v>
      </c>
      <c r="D220" s="2">
        <v>3148086855</v>
      </c>
      <c r="E220" s="2" t="s">
        <v>512</v>
      </c>
      <c r="F220" s="2" t="s">
        <v>475</v>
      </c>
      <c r="G220" s="2" t="str">
        <f t="shared" si="3"/>
        <v>VALLE DEL CAUCA</v>
      </c>
      <c r="H220" s="2" t="s">
        <v>476</v>
      </c>
      <c r="I220" s="2" t="s">
        <v>513</v>
      </c>
      <c r="J220" s="2" t="s">
        <v>72</v>
      </c>
      <c r="K220" s="2" t="s">
        <v>72</v>
      </c>
      <c r="L220" s="2" t="s">
        <v>71</v>
      </c>
      <c r="M220" s="2" t="s">
        <v>72</v>
      </c>
      <c r="N220" s="2" t="s">
        <v>72</v>
      </c>
      <c r="O220" s="2" t="s">
        <v>72</v>
      </c>
      <c r="P220" s="2" t="s">
        <v>72</v>
      </c>
      <c r="Q220" s="2" t="s">
        <v>71</v>
      </c>
      <c r="R220" s="2" t="s">
        <v>72</v>
      </c>
      <c r="T220" s="2" t="s">
        <v>72</v>
      </c>
      <c r="U220" s="2" t="s">
        <v>72</v>
      </c>
      <c r="V220" s="2" t="s">
        <v>71</v>
      </c>
      <c r="W220" s="2" t="s">
        <v>71</v>
      </c>
      <c r="X220" s="2" t="s">
        <v>71</v>
      </c>
      <c r="Y220" s="2" t="s">
        <v>71</v>
      </c>
      <c r="Z220" s="2" t="s">
        <v>71</v>
      </c>
      <c r="AA220" s="2" t="s">
        <v>71</v>
      </c>
      <c r="AB220" s="2" t="s">
        <v>71</v>
      </c>
      <c r="AC220" s="2" t="s">
        <v>71</v>
      </c>
      <c r="AD220" s="2" t="s">
        <v>71</v>
      </c>
      <c r="AE220" s="2" t="s">
        <v>71</v>
      </c>
      <c r="AF220" s="2" t="s">
        <v>71</v>
      </c>
      <c r="AG220" s="2" t="s">
        <v>71</v>
      </c>
      <c r="AH220" s="2" t="s">
        <v>80</v>
      </c>
      <c r="AI220" s="2">
        <v>3</v>
      </c>
    </row>
    <row r="221" spans="1:35" ht="32" x14ac:dyDescent="0.2">
      <c r="A221" s="2">
        <v>1144059852</v>
      </c>
      <c r="B221" s="2">
        <f>VLOOKUP(A221,[1]TRATAMIENTI!$A:$B,2,FALSE)</f>
        <v>251</v>
      </c>
      <c r="C221" s="2" t="s">
        <v>514</v>
      </c>
      <c r="D221" s="2">
        <v>3128900756</v>
      </c>
      <c r="E221" s="2" t="s">
        <v>515</v>
      </c>
      <c r="F221" s="2" t="s">
        <v>475</v>
      </c>
      <c r="G221" s="2" t="str">
        <f t="shared" si="3"/>
        <v>VALLE DEL CAUCA</v>
      </c>
      <c r="H221" s="2" t="s">
        <v>476</v>
      </c>
      <c r="J221" s="2" t="s">
        <v>72</v>
      </c>
      <c r="K221" s="2" t="s">
        <v>72</v>
      </c>
      <c r="L221" s="2" t="s">
        <v>71</v>
      </c>
      <c r="M221" s="2" t="s">
        <v>71</v>
      </c>
      <c r="N221" s="2" t="s">
        <v>71</v>
      </c>
      <c r="O221" s="2" t="s">
        <v>72</v>
      </c>
      <c r="P221" s="2" t="s">
        <v>72</v>
      </c>
      <c r="Q221" s="2" t="s">
        <v>72</v>
      </c>
      <c r="R221" s="2" t="s">
        <v>72</v>
      </c>
      <c r="S221" s="2" t="s">
        <v>71</v>
      </c>
      <c r="T221" s="2" t="s">
        <v>72</v>
      </c>
      <c r="U221" s="2" t="s">
        <v>72</v>
      </c>
      <c r="V221" s="2" t="s">
        <v>71</v>
      </c>
      <c r="W221" s="2" t="s">
        <v>71</v>
      </c>
      <c r="X221" s="2" t="s">
        <v>71</v>
      </c>
      <c r="Y221" s="2" t="s">
        <v>71</v>
      </c>
      <c r="Z221" s="2" t="s">
        <v>71</v>
      </c>
      <c r="AA221" s="2" t="s">
        <v>71</v>
      </c>
      <c r="AB221" s="2" t="s">
        <v>71</v>
      </c>
      <c r="AC221" s="2" t="s">
        <v>71</v>
      </c>
      <c r="AD221" s="2" t="s">
        <v>72</v>
      </c>
      <c r="AE221" s="2" t="s">
        <v>72</v>
      </c>
      <c r="AF221" s="2" t="s">
        <v>72</v>
      </c>
      <c r="AG221" s="2" t="s">
        <v>72</v>
      </c>
      <c r="AH221" s="2" t="s">
        <v>91</v>
      </c>
      <c r="AI221" s="2">
        <v>1</v>
      </c>
    </row>
    <row r="222" spans="1:35" ht="32" x14ac:dyDescent="0.2">
      <c r="A222" s="2">
        <v>1144082561</v>
      </c>
      <c r="B222" s="2">
        <f>VLOOKUP(A222,[1]TRATAMIENTI!$A:$B,2,FALSE)</f>
        <v>254</v>
      </c>
      <c r="C222" s="2" t="s">
        <v>516</v>
      </c>
      <c r="D222" s="2">
        <v>3173901749</v>
      </c>
      <c r="E222" s="2" t="s">
        <v>517</v>
      </c>
      <c r="F222" s="2" t="s">
        <v>475</v>
      </c>
      <c r="G222" s="2" t="str">
        <f t="shared" si="3"/>
        <v>VALLE DEL CAUCA</v>
      </c>
      <c r="H222" s="2" t="s">
        <v>476</v>
      </c>
      <c r="I222" s="2" t="s">
        <v>477</v>
      </c>
      <c r="J222" s="2" t="s">
        <v>72</v>
      </c>
      <c r="K222" s="2" t="s">
        <v>72</v>
      </c>
      <c r="L222" s="2" t="s">
        <v>72</v>
      </c>
      <c r="M222" s="2" t="s">
        <v>72</v>
      </c>
      <c r="N222" s="2" t="s">
        <v>72</v>
      </c>
      <c r="O222" s="2" t="s">
        <v>72</v>
      </c>
      <c r="P222" s="2" t="s">
        <v>72</v>
      </c>
      <c r="Q222" s="2" t="s">
        <v>71</v>
      </c>
      <c r="R222" s="2" t="s">
        <v>71</v>
      </c>
      <c r="S222" s="2" t="s">
        <v>71</v>
      </c>
      <c r="T222" s="2" t="s">
        <v>72</v>
      </c>
      <c r="U222" s="2" t="s">
        <v>72</v>
      </c>
      <c r="V222" s="2" t="s">
        <v>71</v>
      </c>
      <c r="W222" s="2" t="s">
        <v>71</v>
      </c>
      <c r="X222" s="2" t="s">
        <v>71</v>
      </c>
      <c r="Y222" s="2" t="s">
        <v>71</v>
      </c>
      <c r="Z222" s="2" t="s">
        <v>71</v>
      </c>
      <c r="AA222" s="2" t="s">
        <v>71</v>
      </c>
      <c r="AB222" s="2" t="s">
        <v>71</v>
      </c>
      <c r="AC222" s="2" t="s">
        <v>71</v>
      </c>
      <c r="AD222" s="2" t="s">
        <v>72</v>
      </c>
      <c r="AE222" s="2" t="s">
        <v>72</v>
      </c>
      <c r="AF222" s="2" t="s">
        <v>72</v>
      </c>
      <c r="AG222" s="2" t="s">
        <v>72</v>
      </c>
      <c r="AH222" s="2" t="s">
        <v>80</v>
      </c>
      <c r="AI222" s="2">
        <v>2</v>
      </c>
    </row>
    <row r="223" spans="1:35" ht="32" x14ac:dyDescent="0.2">
      <c r="A223" s="2">
        <v>1144094813</v>
      </c>
      <c r="B223" s="2">
        <f>VLOOKUP(A223,[1]TRATAMIENTI!$A:$B,2,FALSE)</f>
        <v>255</v>
      </c>
      <c r="C223" s="2" t="s">
        <v>518</v>
      </c>
      <c r="D223" s="2">
        <v>3182612448</v>
      </c>
      <c r="E223" s="2" t="s">
        <v>519</v>
      </c>
      <c r="F223" s="2" t="s">
        <v>475</v>
      </c>
      <c r="G223" s="2" t="str">
        <f t="shared" si="3"/>
        <v>VALLE DEL CAUCA</v>
      </c>
      <c r="H223" s="2" t="s">
        <v>476</v>
      </c>
      <c r="I223" s="2" t="s">
        <v>480</v>
      </c>
      <c r="J223" s="2" t="s">
        <v>72</v>
      </c>
      <c r="K223" s="2" t="s">
        <v>72</v>
      </c>
      <c r="L223" s="2" t="s">
        <v>72</v>
      </c>
      <c r="M223" s="2" t="s">
        <v>72</v>
      </c>
      <c r="N223" s="2" t="s">
        <v>72</v>
      </c>
      <c r="O223" s="2" t="s">
        <v>72</v>
      </c>
      <c r="P223" s="2" t="s">
        <v>72</v>
      </c>
      <c r="Q223" s="2" t="s">
        <v>72</v>
      </c>
      <c r="R223" s="2" t="s">
        <v>72</v>
      </c>
      <c r="S223" s="2" t="s">
        <v>72</v>
      </c>
      <c r="T223" s="2" t="s">
        <v>71</v>
      </c>
      <c r="U223" s="2" t="s">
        <v>72</v>
      </c>
      <c r="V223" s="2" t="s">
        <v>72</v>
      </c>
      <c r="W223" s="2" t="s">
        <v>71</v>
      </c>
      <c r="X223" s="2" t="s">
        <v>71</v>
      </c>
      <c r="Y223" s="2" t="s">
        <v>71</v>
      </c>
      <c r="Z223" s="2" t="s">
        <v>71</v>
      </c>
      <c r="AA223" s="2" t="s">
        <v>72</v>
      </c>
      <c r="AB223" s="2" t="s">
        <v>72</v>
      </c>
      <c r="AC223" s="2" t="s">
        <v>72</v>
      </c>
      <c r="AD223" s="2" t="s">
        <v>72</v>
      </c>
      <c r="AE223" s="2" t="s">
        <v>72</v>
      </c>
      <c r="AF223" s="2" t="s">
        <v>72</v>
      </c>
      <c r="AG223" s="2" t="s">
        <v>72</v>
      </c>
      <c r="AH223" s="2" t="s">
        <v>91</v>
      </c>
      <c r="AI223" s="2">
        <v>1</v>
      </c>
    </row>
    <row r="224" spans="1:35" ht="32" x14ac:dyDescent="0.2">
      <c r="A224" s="2">
        <v>1144101026</v>
      </c>
      <c r="B224" s="2">
        <f>VLOOKUP(A224,[1]TRATAMIENTI!$A:$B,2,FALSE)</f>
        <v>256</v>
      </c>
      <c r="C224" s="2" t="s">
        <v>520</v>
      </c>
      <c r="D224" s="2">
        <v>3113816263</v>
      </c>
      <c r="E224" s="2" t="s">
        <v>521</v>
      </c>
      <c r="F224" s="2" t="s">
        <v>475</v>
      </c>
      <c r="G224" s="2" t="str">
        <f t="shared" si="3"/>
        <v>VALLE DEL CAUCA</v>
      </c>
      <c r="H224" s="2" t="s">
        <v>476</v>
      </c>
      <c r="I224" s="2" t="s">
        <v>480</v>
      </c>
      <c r="J224" s="2" t="s">
        <v>72</v>
      </c>
      <c r="K224" s="2" t="s">
        <v>72</v>
      </c>
      <c r="L224" s="2" t="s">
        <v>72</v>
      </c>
      <c r="M224" s="2" t="s">
        <v>72</v>
      </c>
      <c r="N224" s="2" t="s">
        <v>72</v>
      </c>
      <c r="O224" s="2" t="s">
        <v>72</v>
      </c>
      <c r="P224" s="2" t="s">
        <v>72</v>
      </c>
      <c r="Q224" s="2" t="s">
        <v>72</v>
      </c>
      <c r="R224" s="2" t="s">
        <v>72</v>
      </c>
      <c r="S224" s="2" t="s">
        <v>71</v>
      </c>
      <c r="T224" s="2" t="s">
        <v>72</v>
      </c>
      <c r="U224" s="2" t="s">
        <v>72</v>
      </c>
      <c r="V224" s="2" t="s">
        <v>71</v>
      </c>
      <c r="W224" s="2" t="s">
        <v>71</v>
      </c>
      <c r="X224" s="2" t="s">
        <v>71</v>
      </c>
      <c r="Y224" s="2" t="s">
        <v>71</v>
      </c>
      <c r="Z224" s="2" t="s">
        <v>71</v>
      </c>
      <c r="AA224" s="2" t="s">
        <v>72</v>
      </c>
      <c r="AB224" s="2" t="s">
        <v>72</v>
      </c>
      <c r="AC224" s="2" t="s">
        <v>71</v>
      </c>
      <c r="AD224" s="2" t="s">
        <v>72</v>
      </c>
      <c r="AE224" s="2" t="s">
        <v>72</v>
      </c>
      <c r="AF224" s="2" t="s">
        <v>72</v>
      </c>
      <c r="AG224" s="2" t="s">
        <v>72</v>
      </c>
      <c r="AH224" s="2" t="s">
        <v>80</v>
      </c>
      <c r="AI224" s="2">
        <v>1</v>
      </c>
    </row>
    <row r="225" spans="1:35" ht="48" x14ac:dyDescent="0.2">
      <c r="A225" s="2">
        <v>12207323</v>
      </c>
      <c r="B225" s="2">
        <f>VLOOKUP(A225,[1]TRATAMIENTI!$A:$B,2,FALSE)</f>
        <v>258</v>
      </c>
      <c r="C225" s="2" t="s">
        <v>522</v>
      </c>
      <c r="D225" s="2">
        <v>3172891544</v>
      </c>
      <c r="E225" s="2" t="s">
        <v>523</v>
      </c>
      <c r="F225" s="2" t="s">
        <v>475</v>
      </c>
      <c r="G225" s="2" t="str">
        <f t="shared" si="3"/>
        <v>VALLE DEL CAUCA</v>
      </c>
      <c r="H225" s="2" t="s">
        <v>476</v>
      </c>
      <c r="I225" s="2" t="s">
        <v>477</v>
      </c>
      <c r="J225" s="2" t="s">
        <v>72</v>
      </c>
      <c r="K225" s="2" t="s">
        <v>72</v>
      </c>
      <c r="L225" s="2" t="s">
        <v>72</v>
      </c>
      <c r="M225" s="2" t="s">
        <v>72</v>
      </c>
      <c r="N225" s="2" t="s">
        <v>72</v>
      </c>
      <c r="O225" s="2" t="s">
        <v>71</v>
      </c>
      <c r="P225" s="2" t="s">
        <v>71</v>
      </c>
      <c r="Q225" s="2" t="s">
        <v>71</v>
      </c>
      <c r="R225" s="2" t="s">
        <v>71</v>
      </c>
      <c r="S225" s="2" t="s">
        <v>71</v>
      </c>
      <c r="T225" s="2" t="s">
        <v>71</v>
      </c>
      <c r="U225" s="2" t="s">
        <v>71</v>
      </c>
      <c r="V225" s="2" t="s">
        <v>71</v>
      </c>
      <c r="W225" s="2" t="s">
        <v>71</v>
      </c>
      <c r="X225" s="2" t="s">
        <v>71</v>
      </c>
      <c r="Y225" s="2" t="s">
        <v>71</v>
      </c>
      <c r="Z225" s="2" t="s">
        <v>71</v>
      </c>
      <c r="AA225" s="2" t="s">
        <v>71</v>
      </c>
      <c r="AB225" s="2" t="s">
        <v>71</v>
      </c>
      <c r="AC225" s="2" t="s">
        <v>71</v>
      </c>
      <c r="AD225" s="2" t="s">
        <v>72</v>
      </c>
      <c r="AE225" s="2" t="s">
        <v>72</v>
      </c>
      <c r="AF225" s="2" t="s">
        <v>72</v>
      </c>
      <c r="AG225" s="2" t="s">
        <v>72</v>
      </c>
      <c r="AH225" s="2" t="s">
        <v>80</v>
      </c>
      <c r="AI225" s="2">
        <v>2</v>
      </c>
    </row>
    <row r="226" spans="1:35" ht="32" x14ac:dyDescent="0.2">
      <c r="A226" s="2">
        <v>14468000</v>
      </c>
      <c r="B226" s="2">
        <f>VLOOKUP(A226,[1]TRATAMIENTI!$A:$B,2,FALSE)</f>
        <v>262</v>
      </c>
      <c r="C226" s="2" t="s">
        <v>524</v>
      </c>
      <c r="D226" s="2">
        <v>3182985081</v>
      </c>
      <c r="E226" s="2" t="s">
        <v>525</v>
      </c>
      <c r="F226" s="2" t="s">
        <v>475</v>
      </c>
      <c r="G226" s="2" t="str">
        <f t="shared" si="3"/>
        <v>VALLE DEL CAUCA</v>
      </c>
      <c r="H226" s="2" t="s">
        <v>476</v>
      </c>
      <c r="I226" s="2" t="s">
        <v>480</v>
      </c>
      <c r="J226" s="2" t="s">
        <v>72</v>
      </c>
      <c r="K226" s="2" t="s">
        <v>72</v>
      </c>
      <c r="L226" s="2" t="s">
        <v>72</v>
      </c>
      <c r="M226" s="2" t="s">
        <v>72</v>
      </c>
      <c r="N226" s="2" t="s">
        <v>72</v>
      </c>
      <c r="O226" s="2" t="s">
        <v>71</v>
      </c>
      <c r="P226" s="2" t="s">
        <v>71</v>
      </c>
      <c r="Q226" s="2" t="s">
        <v>71</v>
      </c>
      <c r="R226" s="2" t="s">
        <v>72</v>
      </c>
      <c r="S226" s="2" t="s">
        <v>71</v>
      </c>
      <c r="T226" s="2" t="s">
        <v>71</v>
      </c>
      <c r="U226" s="2" t="s">
        <v>72</v>
      </c>
      <c r="V226" s="2" t="s">
        <v>71</v>
      </c>
      <c r="W226" s="2" t="s">
        <v>71</v>
      </c>
      <c r="X226" s="2" t="s">
        <v>71</v>
      </c>
      <c r="Y226" s="2" t="s">
        <v>71</v>
      </c>
      <c r="Z226" s="2" t="s">
        <v>71</v>
      </c>
      <c r="AA226" s="2" t="s">
        <v>71</v>
      </c>
      <c r="AB226" s="2" t="s">
        <v>71</v>
      </c>
      <c r="AC226" s="2" t="s">
        <v>71</v>
      </c>
      <c r="AD226" s="2" t="s">
        <v>72</v>
      </c>
      <c r="AE226" s="2" t="s">
        <v>72</v>
      </c>
      <c r="AF226" s="2" t="s">
        <v>72</v>
      </c>
      <c r="AG226" s="2" t="s">
        <v>72</v>
      </c>
      <c r="AH226" s="2" t="s">
        <v>256</v>
      </c>
      <c r="AI226" s="2">
        <v>3</v>
      </c>
    </row>
    <row r="227" spans="1:35" ht="32" x14ac:dyDescent="0.2">
      <c r="A227" s="2">
        <v>14469075</v>
      </c>
      <c r="B227" s="2">
        <f>VLOOKUP(A227,[1]TRATAMIENTI!$A:$B,2,FALSE)</f>
        <v>263</v>
      </c>
      <c r="C227" s="2" t="s">
        <v>526</v>
      </c>
      <c r="D227" s="2">
        <v>3127816706</v>
      </c>
      <c r="E227" s="2" t="s">
        <v>527</v>
      </c>
      <c r="F227" s="2" t="s">
        <v>475</v>
      </c>
      <c r="G227" s="2" t="str">
        <f t="shared" si="3"/>
        <v>VALLE DEL CAUCA</v>
      </c>
      <c r="H227" s="2" t="s">
        <v>476</v>
      </c>
      <c r="I227" s="2" t="s">
        <v>480</v>
      </c>
      <c r="J227" s="2" t="s">
        <v>72</v>
      </c>
      <c r="K227" s="2" t="s">
        <v>72</v>
      </c>
      <c r="L227" s="2" t="s">
        <v>72</v>
      </c>
      <c r="M227" s="2" t="s">
        <v>72</v>
      </c>
      <c r="N227" s="2" t="s">
        <v>72</v>
      </c>
      <c r="O227" s="2" t="s">
        <v>71</v>
      </c>
      <c r="P227" s="2" t="s">
        <v>71</v>
      </c>
      <c r="Q227" s="2" t="s">
        <v>71</v>
      </c>
      <c r="R227" s="2" t="s">
        <v>72</v>
      </c>
      <c r="S227" s="2" t="s">
        <v>71</v>
      </c>
      <c r="T227" s="2" t="s">
        <v>72</v>
      </c>
      <c r="U227" s="2" t="s">
        <v>72</v>
      </c>
      <c r="V227" s="2" t="s">
        <v>71</v>
      </c>
      <c r="W227" s="2" t="s">
        <v>71</v>
      </c>
      <c r="X227" s="2" t="s">
        <v>71</v>
      </c>
      <c r="Y227" s="2" t="s">
        <v>71</v>
      </c>
      <c r="Z227" s="2" t="s">
        <v>71</v>
      </c>
      <c r="AA227" s="2" t="s">
        <v>72</v>
      </c>
      <c r="AB227" s="2" t="s">
        <v>72</v>
      </c>
      <c r="AC227" s="2" t="s">
        <v>71</v>
      </c>
      <c r="AD227" s="2" t="s">
        <v>72</v>
      </c>
      <c r="AE227" s="2" t="s">
        <v>72</v>
      </c>
      <c r="AF227" s="2" t="s">
        <v>72</v>
      </c>
      <c r="AG227" s="2" t="s">
        <v>72</v>
      </c>
      <c r="AH227" s="2" t="s">
        <v>80</v>
      </c>
      <c r="AI227" s="2">
        <v>2</v>
      </c>
    </row>
    <row r="228" spans="1:35" ht="32" x14ac:dyDescent="0.2">
      <c r="A228" s="2">
        <v>15901804</v>
      </c>
      <c r="B228" s="2">
        <f>VLOOKUP(A228,[1]TRATAMIENTI!$A:$B,2,FALSE)</f>
        <v>266</v>
      </c>
      <c r="C228" s="2" t="s">
        <v>528</v>
      </c>
      <c r="D228" s="2">
        <v>3104806816</v>
      </c>
      <c r="E228" s="2" t="s">
        <v>529</v>
      </c>
      <c r="F228" s="2" t="s">
        <v>475</v>
      </c>
      <c r="G228" s="2" t="str">
        <f t="shared" si="3"/>
        <v>VALLE DEL CAUCA</v>
      </c>
      <c r="H228" s="2" t="s">
        <v>476</v>
      </c>
      <c r="J228" s="2" t="s">
        <v>71</v>
      </c>
      <c r="K228" s="2" t="s">
        <v>72</v>
      </c>
      <c r="L228" s="2" t="s">
        <v>72</v>
      </c>
      <c r="M228" s="2" t="s">
        <v>72</v>
      </c>
      <c r="N228" s="2" t="s">
        <v>72</v>
      </c>
      <c r="O228" s="2" t="s">
        <v>71</v>
      </c>
      <c r="P228" s="2" t="s">
        <v>71</v>
      </c>
      <c r="Q228" s="2" t="s">
        <v>71</v>
      </c>
      <c r="R228" s="2" t="s">
        <v>72</v>
      </c>
      <c r="S228" s="2" t="s">
        <v>71</v>
      </c>
      <c r="T228" s="2" t="s">
        <v>71</v>
      </c>
      <c r="U228" s="2" t="s">
        <v>72</v>
      </c>
      <c r="V228" s="2" t="s">
        <v>71</v>
      </c>
      <c r="W228" s="2" t="s">
        <v>71</v>
      </c>
      <c r="X228" s="2" t="s">
        <v>71</v>
      </c>
      <c r="Y228" s="2" t="s">
        <v>71</v>
      </c>
      <c r="Z228" s="2" t="s">
        <v>71</v>
      </c>
      <c r="AA228" s="2" t="s">
        <v>71</v>
      </c>
      <c r="AB228" s="2" t="s">
        <v>71</v>
      </c>
      <c r="AC228" s="2" t="s">
        <v>71</v>
      </c>
      <c r="AD228" s="2" t="s">
        <v>72</v>
      </c>
      <c r="AE228" s="2" t="s">
        <v>72</v>
      </c>
      <c r="AF228" s="2" t="s">
        <v>72</v>
      </c>
      <c r="AG228" s="2" t="s">
        <v>72</v>
      </c>
      <c r="AH228" s="2" t="s">
        <v>256</v>
      </c>
      <c r="AI228" s="2">
        <v>3</v>
      </c>
    </row>
    <row r="229" spans="1:35" ht="32" x14ac:dyDescent="0.2">
      <c r="A229" s="2">
        <v>16591848</v>
      </c>
      <c r="B229" s="2">
        <f>VLOOKUP(A229,[1]TRATAMIENTI!$A:$B,2,FALSE)</f>
        <v>268</v>
      </c>
      <c r="C229" s="2" t="s">
        <v>530</v>
      </c>
      <c r="D229" s="2">
        <v>3228923778</v>
      </c>
      <c r="E229" s="2" t="s">
        <v>531</v>
      </c>
      <c r="F229" s="2" t="s">
        <v>475</v>
      </c>
      <c r="G229" s="2" t="str">
        <f t="shared" si="3"/>
        <v>VALLE DEL CAUCA</v>
      </c>
      <c r="H229" s="2" t="s">
        <v>476</v>
      </c>
      <c r="I229" s="2" t="s">
        <v>480</v>
      </c>
      <c r="J229" s="2" t="s">
        <v>72</v>
      </c>
      <c r="K229" s="2" t="s">
        <v>72</v>
      </c>
      <c r="L229" s="2" t="s">
        <v>72</v>
      </c>
      <c r="M229" s="2" t="s">
        <v>72</v>
      </c>
      <c r="N229" s="2" t="s">
        <v>72</v>
      </c>
      <c r="O229" s="2" t="s">
        <v>72</v>
      </c>
      <c r="P229" s="2" t="s">
        <v>72</v>
      </c>
      <c r="Q229" s="2" t="s">
        <v>72</v>
      </c>
      <c r="R229" s="2" t="s">
        <v>72</v>
      </c>
      <c r="S229" s="2" t="s">
        <v>71</v>
      </c>
      <c r="T229" s="2" t="s">
        <v>72</v>
      </c>
      <c r="U229" s="2" t="s">
        <v>72</v>
      </c>
      <c r="V229" s="2" t="s">
        <v>71</v>
      </c>
      <c r="W229" s="2" t="s">
        <v>71</v>
      </c>
      <c r="X229" s="2" t="s">
        <v>71</v>
      </c>
      <c r="Y229" s="2" t="s">
        <v>71</v>
      </c>
      <c r="Z229" s="2" t="s">
        <v>71</v>
      </c>
      <c r="AA229" s="2" t="s">
        <v>72</v>
      </c>
      <c r="AB229" s="2" t="s">
        <v>72</v>
      </c>
      <c r="AC229" s="2" t="s">
        <v>72</v>
      </c>
      <c r="AD229" s="2" t="s">
        <v>72</v>
      </c>
      <c r="AE229" s="2" t="s">
        <v>72</v>
      </c>
      <c r="AF229" s="2" t="s">
        <v>72</v>
      </c>
      <c r="AG229" s="2" t="s">
        <v>72</v>
      </c>
      <c r="AH229" s="2" t="s">
        <v>80</v>
      </c>
      <c r="AI229" s="2">
        <v>1</v>
      </c>
    </row>
    <row r="230" spans="1:35" ht="32" x14ac:dyDescent="0.2">
      <c r="A230" s="2">
        <v>16781675</v>
      </c>
      <c r="B230" s="2">
        <f>VLOOKUP(A230,[1]TRATAMIENTI!$A:$B,2,FALSE)</f>
        <v>270</v>
      </c>
      <c r="C230" s="2" t="s">
        <v>532</v>
      </c>
      <c r="D230" s="2">
        <v>3172677912</v>
      </c>
      <c r="E230" s="2" t="s">
        <v>533</v>
      </c>
      <c r="F230" s="2" t="s">
        <v>475</v>
      </c>
      <c r="G230" s="2" t="str">
        <f t="shared" si="3"/>
        <v>VALLE DEL CAUCA</v>
      </c>
      <c r="H230" s="2" t="s">
        <v>476</v>
      </c>
      <c r="I230" s="2" t="s">
        <v>480</v>
      </c>
      <c r="J230" s="2" t="s">
        <v>72</v>
      </c>
      <c r="K230" s="2" t="s">
        <v>72</v>
      </c>
      <c r="L230" s="2" t="s">
        <v>72</v>
      </c>
      <c r="M230" s="2" t="s">
        <v>72</v>
      </c>
      <c r="N230" s="2" t="s">
        <v>72</v>
      </c>
      <c r="O230" s="2" t="s">
        <v>72</v>
      </c>
      <c r="P230" s="2" t="s">
        <v>72</v>
      </c>
      <c r="Q230" s="2" t="s">
        <v>72</v>
      </c>
      <c r="R230" s="2" t="s">
        <v>72</v>
      </c>
      <c r="S230" s="2" t="s">
        <v>71</v>
      </c>
      <c r="T230" s="2" t="s">
        <v>72</v>
      </c>
      <c r="U230" s="2" t="s">
        <v>72</v>
      </c>
      <c r="V230" s="2" t="s">
        <v>71</v>
      </c>
      <c r="W230" s="2" t="s">
        <v>71</v>
      </c>
      <c r="X230" s="2" t="s">
        <v>71</v>
      </c>
      <c r="Y230" s="2" t="s">
        <v>71</v>
      </c>
      <c r="Z230" s="2" t="s">
        <v>71</v>
      </c>
      <c r="AA230" s="2" t="s">
        <v>72</v>
      </c>
      <c r="AB230" s="2" t="s">
        <v>72</v>
      </c>
      <c r="AC230" s="2" t="s">
        <v>71</v>
      </c>
      <c r="AD230" s="2" t="s">
        <v>72</v>
      </c>
      <c r="AE230" s="2" t="s">
        <v>72</v>
      </c>
      <c r="AF230" s="2" t="s">
        <v>72</v>
      </c>
      <c r="AG230" s="2" t="s">
        <v>72</v>
      </c>
      <c r="AH230" s="2" t="s">
        <v>80</v>
      </c>
      <c r="AI230" s="2">
        <v>1</v>
      </c>
    </row>
    <row r="231" spans="1:35" ht="31.5" customHeight="1" x14ac:dyDescent="0.2">
      <c r="A231" s="2">
        <v>16881076</v>
      </c>
      <c r="B231" s="2">
        <f>VLOOKUP(A231,[1]TRATAMIENTI!$A:$B,2,FALSE)</f>
        <v>273</v>
      </c>
      <c r="C231" s="2" t="s">
        <v>534</v>
      </c>
      <c r="D231" s="2">
        <v>3122902934</v>
      </c>
      <c r="E231" s="2" t="s">
        <v>535</v>
      </c>
      <c r="F231" s="2" t="s">
        <v>475</v>
      </c>
      <c r="G231" s="2" t="str">
        <f t="shared" si="3"/>
        <v>VALLE DEL CAUCA</v>
      </c>
      <c r="H231" s="2" t="s">
        <v>476</v>
      </c>
      <c r="I231" s="2" t="s">
        <v>480</v>
      </c>
      <c r="J231" s="2" t="s">
        <v>72</v>
      </c>
      <c r="K231" s="2" t="s">
        <v>72</v>
      </c>
      <c r="L231" s="2" t="s">
        <v>72</v>
      </c>
      <c r="M231" s="2" t="s">
        <v>72</v>
      </c>
      <c r="N231" s="2" t="s">
        <v>72</v>
      </c>
      <c r="O231" s="2" t="s">
        <v>71</v>
      </c>
      <c r="P231" s="2" t="s">
        <v>71</v>
      </c>
      <c r="Q231" s="2" t="s">
        <v>71</v>
      </c>
      <c r="R231" s="2" t="s">
        <v>72</v>
      </c>
      <c r="S231" s="2" t="s">
        <v>71</v>
      </c>
      <c r="T231" s="2" t="s">
        <v>71</v>
      </c>
      <c r="U231" s="2" t="s">
        <v>72</v>
      </c>
      <c r="V231" s="2" t="s">
        <v>71</v>
      </c>
      <c r="W231" s="2" t="s">
        <v>71</v>
      </c>
      <c r="X231" s="2" t="s">
        <v>71</v>
      </c>
      <c r="Y231" s="2" t="s">
        <v>71</v>
      </c>
      <c r="Z231" s="2" t="s">
        <v>71</v>
      </c>
      <c r="AA231" s="2" t="s">
        <v>72</v>
      </c>
      <c r="AB231" s="2" t="s">
        <v>72</v>
      </c>
      <c r="AC231" s="2" t="s">
        <v>71</v>
      </c>
      <c r="AD231" s="2" t="s">
        <v>72</v>
      </c>
      <c r="AE231" s="2" t="s">
        <v>72</v>
      </c>
      <c r="AF231" s="2" t="s">
        <v>72</v>
      </c>
      <c r="AG231" s="2" t="s">
        <v>72</v>
      </c>
      <c r="AH231" s="2" t="s">
        <v>256</v>
      </c>
      <c r="AI231" s="2">
        <v>3</v>
      </c>
    </row>
    <row r="232" spans="1:35" ht="32" x14ac:dyDescent="0.2">
      <c r="A232" s="2">
        <v>17632722</v>
      </c>
      <c r="B232" s="2">
        <f>VLOOKUP(A232,[1]TRATAMIENTI!$A:$B,2,FALSE)</f>
        <v>275</v>
      </c>
      <c r="C232" s="2" t="s">
        <v>536</v>
      </c>
      <c r="D232" s="2">
        <v>3114307847</v>
      </c>
      <c r="E232" s="2" t="s">
        <v>537</v>
      </c>
      <c r="F232" s="2" t="s">
        <v>475</v>
      </c>
      <c r="G232" s="2" t="str">
        <f t="shared" si="3"/>
        <v>VALLE DEL CAUCA</v>
      </c>
      <c r="H232" s="2" t="s">
        <v>476</v>
      </c>
      <c r="I232" s="2" t="s">
        <v>480</v>
      </c>
      <c r="J232" s="2" t="s">
        <v>72</v>
      </c>
      <c r="K232" s="2" t="s">
        <v>72</v>
      </c>
      <c r="L232" s="2" t="s">
        <v>71</v>
      </c>
      <c r="M232" s="2" t="s">
        <v>71</v>
      </c>
      <c r="N232" s="2" t="s">
        <v>71</v>
      </c>
      <c r="O232" s="2" t="s">
        <v>72</v>
      </c>
      <c r="P232" s="2" t="s">
        <v>72</v>
      </c>
      <c r="Q232" s="2" t="s">
        <v>72</v>
      </c>
      <c r="R232" s="2" t="s">
        <v>72</v>
      </c>
      <c r="S232" s="2" t="s">
        <v>71</v>
      </c>
      <c r="T232" s="2" t="s">
        <v>72</v>
      </c>
      <c r="U232" s="2" t="s">
        <v>72</v>
      </c>
      <c r="V232" s="2" t="s">
        <v>71</v>
      </c>
      <c r="W232" s="2" t="s">
        <v>71</v>
      </c>
      <c r="X232" s="2" t="s">
        <v>71</v>
      </c>
      <c r="Y232" s="2" t="s">
        <v>71</v>
      </c>
      <c r="Z232" s="2" t="s">
        <v>71</v>
      </c>
      <c r="AA232" s="2" t="s">
        <v>72</v>
      </c>
      <c r="AB232" s="2" t="s">
        <v>72</v>
      </c>
      <c r="AC232" s="2" t="s">
        <v>71</v>
      </c>
      <c r="AD232" s="2" t="s">
        <v>72</v>
      </c>
      <c r="AE232" s="2" t="s">
        <v>72</v>
      </c>
      <c r="AF232" s="2" t="s">
        <v>72</v>
      </c>
      <c r="AG232" s="2" t="s">
        <v>72</v>
      </c>
      <c r="AH232" s="2" t="s">
        <v>77</v>
      </c>
      <c r="AI232" s="2">
        <v>1</v>
      </c>
    </row>
    <row r="233" spans="1:35" ht="32" x14ac:dyDescent="0.2">
      <c r="A233" s="2">
        <v>24529522</v>
      </c>
      <c r="B233" s="2">
        <f>VLOOKUP(A233,[1]TRATAMIENTI!$A:$B,2,FALSE)</f>
        <v>276</v>
      </c>
      <c r="C233" s="2" t="s">
        <v>538</v>
      </c>
      <c r="D233" s="2">
        <v>3173628824</v>
      </c>
      <c r="E233" s="2" t="s">
        <v>539</v>
      </c>
      <c r="F233" s="2" t="s">
        <v>475</v>
      </c>
      <c r="G233" s="2" t="str">
        <f t="shared" si="3"/>
        <v>VALLE DEL CAUCA</v>
      </c>
      <c r="H233" s="2" t="s">
        <v>476</v>
      </c>
      <c r="J233" s="2" t="s">
        <v>72</v>
      </c>
      <c r="K233" s="2" t="s">
        <v>72</v>
      </c>
      <c r="L233" s="2" t="s">
        <v>72</v>
      </c>
      <c r="M233" s="2" t="s">
        <v>72</v>
      </c>
      <c r="N233" s="2" t="s">
        <v>72</v>
      </c>
      <c r="O233" s="2" t="s">
        <v>72</v>
      </c>
      <c r="P233" s="2" t="s">
        <v>72</v>
      </c>
      <c r="Q233" s="2" t="s">
        <v>71</v>
      </c>
      <c r="R233" s="2" t="s">
        <v>72</v>
      </c>
      <c r="S233" s="2" t="s">
        <v>71</v>
      </c>
      <c r="T233" s="2" t="s">
        <v>71</v>
      </c>
      <c r="U233" s="2" t="s">
        <v>72</v>
      </c>
      <c r="V233" s="2" t="s">
        <v>71</v>
      </c>
      <c r="W233" s="2" t="s">
        <v>71</v>
      </c>
      <c r="X233" s="2" t="s">
        <v>71</v>
      </c>
      <c r="Y233" s="2" t="s">
        <v>71</v>
      </c>
      <c r="Z233" s="2" t="s">
        <v>71</v>
      </c>
      <c r="AA233" s="2" t="s">
        <v>71</v>
      </c>
      <c r="AB233" s="2" t="s">
        <v>71</v>
      </c>
      <c r="AC233" s="2" t="s">
        <v>71</v>
      </c>
      <c r="AD233" s="2" t="s">
        <v>72</v>
      </c>
      <c r="AE233" s="2" t="s">
        <v>72</v>
      </c>
      <c r="AF233" s="2" t="s">
        <v>72</v>
      </c>
      <c r="AG233" s="2" t="s">
        <v>72</v>
      </c>
      <c r="AH233" s="2" t="s">
        <v>80</v>
      </c>
      <c r="AI233" s="2">
        <v>2</v>
      </c>
    </row>
    <row r="234" spans="1:35" ht="32" x14ac:dyDescent="0.2">
      <c r="A234" s="2">
        <v>25036381</v>
      </c>
      <c r="B234" s="2">
        <f>VLOOKUP(A234,[1]TRATAMIENTI!$A:$B,2,FALSE)</f>
        <v>277</v>
      </c>
      <c r="C234" s="2" t="s">
        <v>540</v>
      </c>
      <c r="D234" s="2">
        <v>3148577890</v>
      </c>
      <c r="E234" s="2" t="s">
        <v>541</v>
      </c>
      <c r="F234" s="2" t="s">
        <v>475</v>
      </c>
      <c r="G234" s="2" t="str">
        <f t="shared" si="3"/>
        <v>VALLE DEL CAUCA</v>
      </c>
      <c r="H234" s="2" t="s">
        <v>476</v>
      </c>
      <c r="I234" s="2" t="s">
        <v>480</v>
      </c>
      <c r="J234" s="2" t="s">
        <v>72</v>
      </c>
      <c r="K234" s="2" t="s">
        <v>72</v>
      </c>
      <c r="L234" s="2" t="s">
        <v>72</v>
      </c>
      <c r="O234" s="2" t="s">
        <v>72</v>
      </c>
      <c r="P234" s="2" t="s">
        <v>72</v>
      </c>
      <c r="Q234" s="2" t="s">
        <v>72</v>
      </c>
      <c r="R234" s="2" t="s">
        <v>72</v>
      </c>
      <c r="T234" s="2" t="s">
        <v>72</v>
      </c>
      <c r="U234" s="2" t="s">
        <v>72</v>
      </c>
      <c r="V234" s="2" t="s">
        <v>71</v>
      </c>
      <c r="W234" s="2" t="s">
        <v>71</v>
      </c>
      <c r="X234" s="2" t="s">
        <v>71</v>
      </c>
      <c r="Y234" s="2" t="s">
        <v>71</v>
      </c>
      <c r="Z234" s="2" t="s">
        <v>71</v>
      </c>
      <c r="AA234" s="2" t="s">
        <v>72</v>
      </c>
      <c r="AB234" s="2" t="s">
        <v>72</v>
      </c>
      <c r="AC234" s="2" t="s">
        <v>72</v>
      </c>
      <c r="AD234" s="2" t="s">
        <v>72</v>
      </c>
      <c r="AE234" s="2" t="s">
        <v>72</v>
      </c>
      <c r="AF234" s="2" t="s">
        <v>72</v>
      </c>
      <c r="AH234" s="2" t="s">
        <v>80</v>
      </c>
      <c r="AI234" s="2">
        <v>1</v>
      </c>
    </row>
    <row r="235" spans="1:35" ht="32" x14ac:dyDescent="0.2">
      <c r="A235" s="2">
        <v>25340770</v>
      </c>
      <c r="B235" s="2">
        <f>VLOOKUP(A235,[1]TRATAMIENTI!$A:$B,2,FALSE)</f>
        <v>280</v>
      </c>
      <c r="C235" s="2" t="s">
        <v>542</v>
      </c>
      <c r="D235" s="2">
        <v>3167847280</v>
      </c>
      <c r="E235" s="2" t="s">
        <v>543</v>
      </c>
      <c r="F235" s="2" t="s">
        <v>475</v>
      </c>
      <c r="G235" s="2" t="str">
        <f t="shared" si="3"/>
        <v>VALLE DEL CAUCA</v>
      </c>
      <c r="H235" s="2" t="s">
        <v>476</v>
      </c>
      <c r="I235" s="2" t="s">
        <v>480</v>
      </c>
      <c r="J235" s="2" t="s">
        <v>71</v>
      </c>
      <c r="K235" s="2" t="s">
        <v>71</v>
      </c>
      <c r="L235" s="2" t="s">
        <v>72</v>
      </c>
      <c r="M235" s="2" t="s">
        <v>72</v>
      </c>
      <c r="N235" s="2" t="s">
        <v>72</v>
      </c>
      <c r="O235" s="2" t="s">
        <v>72</v>
      </c>
      <c r="P235" s="2" t="s">
        <v>72</v>
      </c>
      <c r="Q235" s="2" t="s">
        <v>72</v>
      </c>
      <c r="R235" s="2" t="s">
        <v>72</v>
      </c>
      <c r="S235" s="2" t="s">
        <v>71</v>
      </c>
      <c r="T235" s="2" t="s">
        <v>72</v>
      </c>
      <c r="U235" s="2" t="s">
        <v>72</v>
      </c>
      <c r="V235" s="2" t="s">
        <v>71</v>
      </c>
      <c r="W235" s="2" t="s">
        <v>71</v>
      </c>
      <c r="X235" s="2" t="s">
        <v>71</v>
      </c>
      <c r="Y235" s="2" t="s">
        <v>71</v>
      </c>
      <c r="Z235" s="2" t="s">
        <v>71</v>
      </c>
      <c r="AA235" s="2" t="s">
        <v>72</v>
      </c>
      <c r="AB235" s="2" t="s">
        <v>72</v>
      </c>
      <c r="AC235" s="2" t="s">
        <v>72</v>
      </c>
      <c r="AD235" s="2" t="s">
        <v>72</v>
      </c>
      <c r="AE235" s="2" t="s">
        <v>72</v>
      </c>
      <c r="AF235" s="2" t="s">
        <v>72</v>
      </c>
      <c r="AG235" s="2" t="s">
        <v>72</v>
      </c>
      <c r="AH235" s="2" t="s">
        <v>80</v>
      </c>
      <c r="AI235" s="2">
        <v>2</v>
      </c>
    </row>
    <row r="236" spans="1:35" ht="32" x14ac:dyDescent="0.2">
      <c r="A236" s="2">
        <v>25351368</v>
      </c>
      <c r="B236" s="2">
        <f>VLOOKUP(A236,[1]TRATAMIENTI!$A:$B,2,FALSE)</f>
        <v>281</v>
      </c>
      <c r="C236" s="2" t="s">
        <v>544</v>
      </c>
      <c r="D236" s="2">
        <v>3158547067</v>
      </c>
      <c r="E236" s="2" t="s">
        <v>545</v>
      </c>
      <c r="F236" s="2" t="s">
        <v>475</v>
      </c>
      <c r="G236" s="2" t="str">
        <f t="shared" si="3"/>
        <v>VALLE DEL CAUCA</v>
      </c>
      <c r="H236" s="2" t="s">
        <v>476</v>
      </c>
      <c r="I236" s="2" t="s">
        <v>477</v>
      </c>
      <c r="J236" s="2" t="s">
        <v>72</v>
      </c>
      <c r="K236" s="2" t="s">
        <v>72</v>
      </c>
      <c r="L236" s="2" t="s">
        <v>71</v>
      </c>
      <c r="M236" s="2" t="s">
        <v>71</v>
      </c>
      <c r="N236" s="2" t="s">
        <v>71</v>
      </c>
      <c r="O236" s="2" t="s">
        <v>72</v>
      </c>
      <c r="P236" s="2" t="s">
        <v>72</v>
      </c>
      <c r="Q236" s="2" t="s">
        <v>72</v>
      </c>
      <c r="R236" s="2" t="s">
        <v>72</v>
      </c>
      <c r="S236" s="2" t="s">
        <v>71</v>
      </c>
      <c r="T236" s="2" t="s">
        <v>72</v>
      </c>
      <c r="U236" s="2" t="s">
        <v>72</v>
      </c>
      <c r="V236" s="2" t="s">
        <v>71</v>
      </c>
      <c r="W236" s="2" t="s">
        <v>71</v>
      </c>
      <c r="X236" s="2" t="s">
        <v>71</v>
      </c>
      <c r="Y236" s="2" t="s">
        <v>71</v>
      </c>
      <c r="Z236" s="2" t="s">
        <v>71</v>
      </c>
      <c r="AA236" s="2" t="s">
        <v>71</v>
      </c>
      <c r="AB236" s="2" t="s">
        <v>71</v>
      </c>
      <c r="AC236" s="2" t="s">
        <v>71</v>
      </c>
      <c r="AD236" s="2" t="s">
        <v>72</v>
      </c>
      <c r="AE236" s="2" t="s">
        <v>72</v>
      </c>
      <c r="AF236" s="2" t="s">
        <v>72</v>
      </c>
      <c r="AG236" s="2" t="s">
        <v>72</v>
      </c>
      <c r="AH236" s="2" t="s">
        <v>80</v>
      </c>
      <c r="AI236" s="2">
        <v>2</v>
      </c>
    </row>
    <row r="237" spans="1:35" ht="32" x14ac:dyDescent="0.2">
      <c r="A237" s="2">
        <v>25492271</v>
      </c>
      <c r="B237" s="2">
        <f>VLOOKUP(A237,[1]TRATAMIENTI!$A:$B,2,FALSE)</f>
        <v>282</v>
      </c>
      <c r="C237" s="2" t="s">
        <v>546</v>
      </c>
      <c r="D237" s="2">
        <v>3163020761</v>
      </c>
      <c r="E237" s="2" t="s">
        <v>547</v>
      </c>
      <c r="F237" s="2" t="s">
        <v>475</v>
      </c>
      <c r="G237" s="2" t="str">
        <f t="shared" si="3"/>
        <v>VALLE DEL CAUCA</v>
      </c>
      <c r="H237" s="2" t="s">
        <v>476</v>
      </c>
      <c r="I237" s="2" t="s">
        <v>477</v>
      </c>
      <c r="J237" s="2" t="s">
        <v>72</v>
      </c>
      <c r="K237" s="2" t="s">
        <v>72</v>
      </c>
      <c r="L237" s="2" t="s">
        <v>72</v>
      </c>
      <c r="M237" s="2" t="s">
        <v>72</v>
      </c>
      <c r="N237" s="2" t="s">
        <v>72</v>
      </c>
      <c r="O237" s="2" t="s">
        <v>71</v>
      </c>
      <c r="P237" s="2" t="s">
        <v>71</v>
      </c>
      <c r="Q237" s="2" t="s">
        <v>71</v>
      </c>
      <c r="R237" s="2" t="s">
        <v>71</v>
      </c>
      <c r="S237" s="2" t="s">
        <v>71</v>
      </c>
      <c r="T237" s="2" t="s">
        <v>71</v>
      </c>
      <c r="U237" s="2" t="s">
        <v>71</v>
      </c>
      <c r="V237" s="2" t="s">
        <v>71</v>
      </c>
      <c r="W237" s="2" t="s">
        <v>71</v>
      </c>
      <c r="X237" s="2" t="s">
        <v>71</v>
      </c>
      <c r="Y237" s="2" t="s">
        <v>71</v>
      </c>
      <c r="Z237" s="2" t="s">
        <v>71</v>
      </c>
      <c r="AA237" s="2" t="s">
        <v>71</v>
      </c>
      <c r="AB237" s="2" t="s">
        <v>71</v>
      </c>
      <c r="AC237" s="2" t="s">
        <v>71</v>
      </c>
      <c r="AD237" s="2" t="s">
        <v>72</v>
      </c>
      <c r="AE237" s="2" t="s">
        <v>72</v>
      </c>
      <c r="AF237" s="2" t="s">
        <v>72</v>
      </c>
      <c r="AG237" s="2" t="s">
        <v>72</v>
      </c>
      <c r="AH237" s="2" t="s">
        <v>80</v>
      </c>
      <c r="AI237" s="2">
        <v>2</v>
      </c>
    </row>
    <row r="238" spans="1:35" ht="32" x14ac:dyDescent="0.2">
      <c r="A238" s="2">
        <v>25683891</v>
      </c>
      <c r="B238" s="2">
        <f>VLOOKUP(A238,[1]TRATAMIENTI!$A:$B,2,FALSE)</f>
        <v>284</v>
      </c>
      <c r="C238" s="2" t="s">
        <v>548</v>
      </c>
      <c r="D238" s="2">
        <v>3127122377</v>
      </c>
      <c r="E238" s="2" t="s">
        <v>549</v>
      </c>
      <c r="F238" s="2" t="s">
        <v>475</v>
      </c>
      <c r="G238" s="2" t="str">
        <f t="shared" si="3"/>
        <v>VALLE DEL CAUCA</v>
      </c>
      <c r="H238" s="2" t="s">
        <v>476</v>
      </c>
      <c r="I238" s="2" t="s">
        <v>477</v>
      </c>
      <c r="J238" s="2" t="s">
        <v>71</v>
      </c>
      <c r="K238" s="2" t="s">
        <v>72</v>
      </c>
      <c r="L238" s="2" t="s">
        <v>72</v>
      </c>
      <c r="M238" s="2" t="s">
        <v>72</v>
      </c>
      <c r="N238" s="2" t="s">
        <v>72</v>
      </c>
      <c r="O238" s="2" t="s">
        <v>72</v>
      </c>
      <c r="P238" s="2" t="s">
        <v>72</v>
      </c>
      <c r="Q238" s="2" t="s">
        <v>72</v>
      </c>
      <c r="R238" s="2" t="s">
        <v>72</v>
      </c>
      <c r="S238" s="2" t="s">
        <v>71</v>
      </c>
      <c r="T238" s="2" t="s">
        <v>72</v>
      </c>
      <c r="U238" s="2" t="s">
        <v>72</v>
      </c>
      <c r="V238" s="2" t="s">
        <v>71</v>
      </c>
      <c r="W238" s="2" t="s">
        <v>71</v>
      </c>
      <c r="X238" s="2" t="s">
        <v>71</v>
      </c>
      <c r="Y238" s="2" t="s">
        <v>71</v>
      </c>
      <c r="Z238" s="2" t="s">
        <v>71</v>
      </c>
      <c r="AA238" s="2" t="s">
        <v>71</v>
      </c>
      <c r="AB238" s="2" t="s">
        <v>71</v>
      </c>
      <c r="AC238" s="2" t="s">
        <v>71</v>
      </c>
      <c r="AD238" s="2" t="s">
        <v>72</v>
      </c>
      <c r="AE238" s="2" t="s">
        <v>72</v>
      </c>
      <c r="AF238" s="2" t="s">
        <v>72</v>
      </c>
      <c r="AG238" s="2" t="s">
        <v>72</v>
      </c>
      <c r="AH238" s="2" t="s">
        <v>80</v>
      </c>
      <c r="AI238" s="2">
        <v>1</v>
      </c>
    </row>
    <row r="239" spans="1:35" s="39" customFormat="1" ht="32" x14ac:dyDescent="0.2">
      <c r="A239" s="39">
        <v>25741695</v>
      </c>
      <c r="B239" s="39">
        <f>VLOOKUP(A239,[1]TRATAMIENTI!$A:$B,2,FALSE)</f>
        <v>285</v>
      </c>
      <c r="C239" s="39" t="s">
        <v>550</v>
      </c>
      <c r="D239" s="39">
        <v>3146606496</v>
      </c>
      <c r="E239" s="39" t="s">
        <v>551</v>
      </c>
      <c r="G239" s="39" t="str">
        <f t="shared" si="3"/>
        <v>VALLE DEL CAUCA</v>
      </c>
      <c r="H239" s="39" t="s">
        <v>476</v>
      </c>
      <c r="I239" s="39" t="s">
        <v>477</v>
      </c>
      <c r="J239" s="39" t="s">
        <v>72</v>
      </c>
      <c r="K239" s="39" t="s">
        <v>72</v>
      </c>
      <c r="L239" s="39" t="s">
        <v>72</v>
      </c>
      <c r="M239" s="39" t="s">
        <v>72</v>
      </c>
      <c r="N239" s="39" t="s">
        <v>72</v>
      </c>
      <c r="O239" s="39" t="s">
        <v>71</v>
      </c>
      <c r="P239" s="39" t="s">
        <v>72</v>
      </c>
      <c r="Q239" s="39" t="s">
        <v>72</v>
      </c>
      <c r="R239" s="39" t="s">
        <v>72</v>
      </c>
      <c r="S239" s="39" t="s">
        <v>71</v>
      </c>
      <c r="T239" s="39" t="s">
        <v>72</v>
      </c>
      <c r="U239" s="39" t="s">
        <v>72</v>
      </c>
      <c r="V239" s="39" t="s">
        <v>71</v>
      </c>
      <c r="W239" s="39" t="s">
        <v>71</v>
      </c>
      <c r="X239" s="39" t="s">
        <v>71</v>
      </c>
      <c r="Y239" s="39" t="s">
        <v>71</v>
      </c>
      <c r="Z239" s="39" t="s">
        <v>71</v>
      </c>
      <c r="AA239" s="39" t="s">
        <v>71</v>
      </c>
      <c r="AB239" s="39" t="s">
        <v>71</v>
      </c>
      <c r="AC239" s="39" t="s">
        <v>71</v>
      </c>
      <c r="AD239" s="39" t="s">
        <v>72</v>
      </c>
      <c r="AE239" s="39" t="s">
        <v>72</v>
      </c>
      <c r="AF239" s="39" t="s">
        <v>72</v>
      </c>
      <c r="AG239" s="39" t="s">
        <v>72</v>
      </c>
      <c r="AI239" s="39" t="s">
        <v>552</v>
      </c>
    </row>
    <row r="240" spans="1:35" ht="32" x14ac:dyDescent="0.2">
      <c r="A240" s="2">
        <v>26256330</v>
      </c>
      <c r="B240" s="2">
        <f>VLOOKUP(A240,[1]TRATAMIENTI!$A:$B,2,FALSE)</f>
        <v>286</v>
      </c>
      <c r="C240" s="2" t="s">
        <v>553</v>
      </c>
      <c r="D240" s="2">
        <v>3174556622</v>
      </c>
      <c r="E240" s="2" t="s">
        <v>554</v>
      </c>
      <c r="F240" s="2" t="s">
        <v>475</v>
      </c>
      <c r="G240" s="2" t="str">
        <f t="shared" si="3"/>
        <v>VALLE DEL CAUCA</v>
      </c>
      <c r="H240" s="2" t="s">
        <v>476</v>
      </c>
      <c r="I240" s="2" t="s">
        <v>480</v>
      </c>
      <c r="J240" s="2" t="s">
        <v>72</v>
      </c>
      <c r="K240" s="2" t="s">
        <v>72</v>
      </c>
      <c r="L240" s="2" t="s">
        <v>72</v>
      </c>
      <c r="M240" s="2" t="s">
        <v>72</v>
      </c>
      <c r="N240" s="2" t="s">
        <v>72</v>
      </c>
      <c r="O240" s="2" t="s">
        <v>72</v>
      </c>
      <c r="P240" s="2" t="s">
        <v>72</v>
      </c>
      <c r="Q240" s="2" t="s">
        <v>72</v>
      </c>
      <c r="R240" s="2" t="s">
        <v>72</v>
      </c>
      <c r="S240" s="2" t="s">
        <v>71</v>
      </c>
      <c r="T240" s="2" t="s">
        <v>72</v>
      </c>
      <c r="U240" s="2" t="s">
        <v>72</v>
      </c>
      <c r="V240" s="2" t="s">
        <v>71</v>
      </c>
      <c r="W240" s="2" t="s">
        <v>71</v>
      </c>
      <c r="X240" s="2" t="s">
        <v>71</v>
      </c>
      <c r="Y240" s="2" t="s">
        <v>71</v>
      </c>
      <c r="Z240" s="2" t="s">
        <v>71</v>
      </c>
      <c r="AA240" s="2" t="s">
        <v>71</v>
      </c>
      <c r="AB240" s="2" t="s">
        <v>71</v>
      </c>
      <c r="AC240" s="2" t="s">
        <v>71</v>
      </c>
      <c r="AD240" s="2" t="s">
        <v>72</v>
      </c>
      <c r="AE240" s="2" t="s">
        <v>72</v>
      </c>
      <c r="AF240" s="2" t="s">
        <v>72</v>
      </c>
      <c r="AG240" s="2" t="s">
        <v>72</v>
      </c>
      <c r="AH240" s="2" t="s">
        <v>85</v>
      </c>
      <c r="AI240" s="2">
        <v>1</v>
      </c>
    </row>
    <row r="241" spans="1:35" ht="32" x14ac:dyDescent="0.2">
      <c r="A241" s="2">
        <v>2699661</v>
      </c>
      <c r="B241" s="2">
        <f>VLOOKUP(A241,[1]TRATAMIENTI!$A:$B,2,FALSE)</f>
        <v>287</v>
      </c>
      <c r="C241" s="2" t="s">
        <v>555</v>
      </c>
      <c r="D241" s="2">
        <v>3188988072</v>
      </c>
      <c r="E241" s="2" t="s">
        <v>556</v>
      </c>
      <c r="F241" s="2" t="s">
        <v>475</v>
      </c>
      <c r="G241" s="2" t="str">
        <f t="shared" si="3"/>
        <v>VALLE DEL CAUCA</v>
      </c>
      <c r="H241" s="2" t="s">
        <v>476</v>
      </c>
      <c r="I241" s="2" t="s">
        <v>480</v>
      </c>
      <c r="J241" s="2" t="s">
        <v>72</v>
      </c>
      <c r="K241" s="2" t="s">
        <v>72</v>
      </c>
      <c r="L241" s="2" t="s">
        <v>71</v>
      </c>
      <c r="M241" s="2" t="s">
        <v>71</v>
      </c>
      <c r="N241" s="2" t="s">
        <v>71</v>
      </c>
      <c r="O241" s="2" t="s">
        <v>72</v>
      </c>
      <c r="P241" s="2" t="s">
        <v>72</v>
      </c>
      <c r="Q241" s="2" t="s">
        <v>72</v>
      </c>
      <c r="R241" s="2" t="s">
        <v>72</v>
      </c>
      <c r="S241" s="2" t="s">
        <v>71</v>
      </c>
      <c r="T241" s="2" t="s">
        <v>72</v>
      </c>
      <c r="U241" s="2" t="s">
        <v>72</v>
      </c>
      <c r="V241" s="2" t="s">
        <v>71</v>
      </c>
      <c r="W241" s="2" t="s">
        <v>71</v>
      </c>
      <c r="X241" s="2" t="s">
        <v>71</v>
      </c>
      <c r="Y241" s="2" t="s">
        <v>71</v>
      </c>
      <c r="Z241" s="2" t="s">
        <v>71</v>
      </c>
      <c r="AA241" s="2" t="s">
        <v>72</v>
      </c>
      <c r="AB241" s="2" t="s">
        <v>72</v>
      </c>
      <c r="AC241" s="2" t="s">
        <v>71</v>
      </c>
      <c r="AD241" s="2" t="s">
        <v>72</v>
      </c>
      <c r="AE241" s="2" t="s">
        <v>72</v>
      </c>
      <c r="AF241" s="2" t="s">
        <v>72</v>
      </c>
      <c r="AG241" s="2" t="s">
        <v>72</v>
      </c>
      <c r="AH241" s="2" t="s">
        <v>77</v>
      </c>
      <c r="AI241" s="2">
        <v>1</v>
      </c>
    </row>
    <row r="242" spans="1:35" ht="32" x14ac:dyDescent="0.2">
      <c r="A242" s="2">
        <v>29119222</v>
      </c>
      <c r="B242" s="2">
        <f>VLOOKUP(A242,[1]TRATAMIENTI!$A:$B,2,FALSE)</f>
        <v>289</v>
      </c>
      <c r="C242" s="2" t="s">
        <v>557</v>
      </c>
      <c r="D242" s="2">
        <v>3195389507</v>
      </c>
      <c r="E242" s="2" t="s">
        <v>558</v>
      </c>
      <c r="F242" s="2" t="s">
        <v>475</v>
      </c>
      <c r="G242" s="2" t="str">
        <f t="shared" si="3"/>
        <v>VALLE DEL CAUCA</v>
      </c>
      <c r="H242" s="2" t="s">
        <v>476</v>
      </c>
      <c r="I242" s="2" t="s">
        <v>480</v>
      </c>
      <c r="J242" s="2" t="s">
        <v>72</v>
      </c>
      <c r="K242" s="2" t="s">
        <v>72</v>
      </c>
      <c r="L242" s="2" t="s">
        <v>72</v>
      </c>
      <c r="O242" s="2" t="s">
        <v>72</v>
      </c>
      <c r="P242" s="2" t="s">
        <v>72</v>
      </c>
      <c r="Q242" s="2" t="s">
        <v>72</v>
      </c>
      <c r="R242" s="2" t="s">
        <v>72</v>
      </c>
      <c r="S242" s="2" t="s">
        <v>71</v>
      </c>
      <c r="T242" s="2" t="s">
        <v>72</v>
      </c>
      <c r="U242" s="2" t="s">
        <v>72</v>
      </c>
      <c r="V242" s="2" t="s">
        <v>71</v>
      </c>
      <c r="W242" s="2" t="s">
        <v>71</v>
      </c>
      <c r="X242" s="2" t="s">
        <v>71</v>
      </c>
      <c r="Y242" s="2" t="s">
        <v>71</v>
      </c>
      <c r="Z242" s="2" t="s">
        <v>71</v>
      </c>
      <c r="AA242" s="2" t="s">
        <v>72</v>
      </c>
      <c r="AB242" s="2" t="s">
        <v>72</v>
      </c>
      <c r="AC242" s="2" t="s">
        <v>71</v>
      </c>
      <c r="AD242" s="2" t="s">
        <v>72</v>
      </c>
      <c r="AE242" s="2" t="s">
        <v>72</v>
      </c>
      <c r="AF242" s="2" t="s">
        <v>72</v>
      </c>
      <c r="AG242" s="2" t="s">
        <v>72</v>
      </c>
      <c r="AH242" s="2" t="s">
        <v>80</v>
      </c>
      <c r="AI242" s="2">
        <v>1</v>
      </c>
    </row>
    <row r="243" spans="1:35" ht="32" x14ac:dyDescent="0.2">
      <c r="A243" s="2">
        <v>29346502</v>
      </c>
      <c r="B243" s="2">
        <f>VLOOKUP(A243,[1]TRATAMIENTI!$A:$B,2,FALSE)</f>
        <v>291</v>
      </c>
      <c r="C243" s="2" t="s">
        <v>559</v>
      </c>
      <c r="D243" s="2">
        <v>3175659002</v>
      </c>
      <c r="E243" s="2" t="s">
        <v>560</v>
      </c>
      <c r="F243" t="s">
        <v>561</v>
      </c>
      <c r="G243" s="2" t="str">
        <f t="shared" si="3"/>
        <v>VALLE DEL CAUCA</v>
      </c>
      <c r="H243" s="2" t="s">
        <v>476</v>
      </c>
      <c r="I243" s="2" t="s">
        <v>477</v>
      </c>
      <c r="J243" s="2" t="s">
        <v>71</v>
      </c>
      <c r="K243" s="2" t="s">
        <v>71</v>
      </c>
      <c r="L243" s="2" t="s">
        <v>71</v>
      </c>
      <c r="M243" s="2" t="s">
        <v>71</v>
      </c>
      <c r="N243" s="2" t="s">
        <v>71</v>
      </c>
      <c r="O243" s="2" t="s">
        <v>72</v>
      </c>
      <c r="P243" s="2" t="s">
        <v>72</v>
      </c>
      <c r="Q243" s="2" t="s">
        <v>72</v>
      </c>
      <c r="R243" s="2" t="s">
        <v>72</v>
      </c>
      <c r="S243" s="2" t="s">
        <v>71</v>
      </c>
      <c r="T243" s="2" t="s">
        <v>72</v>
      </c>
      <c r="U243" s="2" t="s">
        <v>72</v>
      </c>
      <c r="V243" s="2" t="s">
        <v>71</v>
      </c>
      <c r="W243" s="2" t="s">
        <v>71</v>
      </c>
      <c r="X243" s="2" t="s">
        <v>71</v>
      </c>
      <c r="Y243" s="2" t="s">
        <v>71</v>
      </c>
      <c r="Z243" s="2" t="s">
        <v>71</v>
      </c>
      <c r="AA243" s="2" t="s">
        <v>71</v>
      </c>
      <c r="AB243" s="2" t="s">
        <v>71</v>
      </c>
      <c r="AC243" s="2" t="s">
        <v>71</v>
      </c>
      <c r="AD243" s="2" t="s">
        <v>72</v>
      </c>
      <c r="AE243" s="2" t="s">
        <v>72</v>
      </c>
      <c r="AF243" s="2" t="s">
        <v>72</v>
      </c>
      <c r="AG243" s="2" t="s">
        <v>72</v>
      </c>
      <c r="AH243" s="2" t="s">
        <v>256</v>
      </c>
      <c r="AI243" s="2">
        <v>3</v>
      </c>
    </row>
    <row r="244" spans="1:35" ht="32" x14ac:dyDescent="0.2">
      <c r="A244" s="2">
        <v>29686407</v>
      </c>
      <c r="B244" s="2">
        <f>VLOOKUP(A244,[1]TRATAMIENTI!$A:$B,2,FALSE)</f>
        <v>294</v>
      </c>
      <c r="C244" s="2" t="s">
        <v>562</v>
      </c>
      <c r="D244" s="2">
        <v>3168453126</v>
      </c>
      <c r="E244" s="2" t="s">
        <v>563</v>
      </c>
      <c r="F244" t="s">
        <v>561</v>
      </c>
      <c r="G244" s="2" t="str">
        <f t="shared" si="3"/>
        <v>VALLE DEL CAUCA</v>
      </c>
      <c r="H244" s="2" t="s">
        <v>476</v>
      </c>
      <c r="I244" s="2" t="s">
        <v>477</v>
      </c>
      <c r="J244" s="2" t="s">
        <v>72</v>
      </c>
      <c r="K244" s="2" t="s">
        <v>71</v>
      </c>
      <c r="L244" s="2" t="s">
        <v>71</v>
      </c>
      <c r="M244" s="2" t="s">
        <v>71</v>
      </c>
      <c r="N244" s="2" t="s">
        <v>71</v>
      </c>
      <c r="O244" s="2" t="s">
        <v>72</v>
      </c>
      <c r="P244" s="2" t="s">
        <v>72</v>
      </c>
      <c r="Q244" s="2" t="s">
        <v>72</v>
      </c>
      <c r="R244" s="2" t="s">
        <v>72</v>
      </c>
      <c r="S244" s="2" t="s">
        <v>71</v>
      </c>
      <c r="T244" s="2" t="s">
        <v>72</v>
      </c>
      <c r="U244" s="2" t="s">
        <v>72</v>
      </c>
      <c r="V244" s="2" t="s">
        <v>71</v>
      </c>
      <c r="W244" s="2" t="s">
        <v>71</v>
      </c>
      <c r="X244" s="2" t="s">
        <v>71</v>
      </c>
      <c r="Y244" s="2" t="s">
        <v>71</v>
      </c>
      <c r="Z244" s="2" t="s">
        <v>71</v>
      </c>
      <c r="AA244" s="2" t="s">
        <v>71</v>
      </c>
      <c r="AB244" s="2" t="s">
        <v>71</v>
      </c>
      <c r="AC244" s="2" t="s">
        <v>71</v>
      </c>
      <c r="AD244" s="2" t="s">
        <v>72</v>
      </c>
      <c r="AE244" s="2" t="s">
        <v>72</v>
      </c>
      <c r="AF244" s="2" t="s">
        <v>72</v>
      </c>
      <c r="AG244" s="2" t="s">
        <v>72</v>
      </c>
      <c r="AH244" s="2" t="s">
        <v>179</v>
      </c>
      <c r="AI244" s="2">
        <v>3</v>
      </c>
    </row>
    <row r="245" spans="1:35" ht="32" x14ac:dyDescent="0.2">
      <c r="A245" s="2">
        <v>31214997</v>
      </c>
      <c r="B245" s="2">
        <f>VLOOKUP(A245,[1]TRATAMIENTI!$A:$B,2,FALSE)</f>
        <v>295</v>
      </c>
      <c r="C245" s="2" t="s">
        <v>564</v>
      </c>
      <c r="D245" s="2">
        <v>3174743448</v>
      </c>
      <c r="E245" s="2" t="s">
        <v>565</v>
      </c>
      <c r="F245" t="s">
        <v>561</v>
      </c>
      <c r="G245" s="2" t="str">
        <f t="shared" si="3"/>
        <v>VALLE DEL CAUCA</v>
      </c>
      <c r="H245" s="2" t="s">
        <v>476</v>
      </c>
      <c r="I245" s="2" t="s">
        <v>477</v>
      </c>
      <c r="J245" s="2" t="s">
        <v>72</v>
      </c>
      <c r="K245" s="2" t="s">
        <v>72</v>
      </c>
      <c r="L245" s="2" t="s">
        <v>72</v>
      </c>
      <c r="M245" s="2" t="s">
        <v>72</v>
      </c>
      <c r="N245" s="2" t="s">
        <v>72</v>
      </c>
      <c r="O245" s="2" t="s">
        <v>72</v>
      </c>
      <c r="P245" s="2" t="s">
        <v>72</v>
      </c>
      <c r="Q245" s="2" t="s">
        <v>72</v>
      </c>
      <c r="R245" s="2" t="s">
        <v>72</v>
      </c>
      <c r="S245" s="2" t="s">
        <v>71</v>
      </c>
      <c r="T245" s="2" t="s">
        <v>72</v>
      </c>
      <c r="U245" s="2" t="s">
        <v>72</v>
      </c>
      <c r="V245" s="2" t="s">
        <v>71</v>
      </c>
      <c r="W245" s="2" t="s">
        <v>71</v>
      </c>
      <c r="X245" s="2" t="s">
        <v>71</v>
      </c>
      <c r="Y245" s="2" t="s">
        <v>71</v>
      </c>
      <c r="Z245" s="2" t="s">
        <v>71</v>
      </c>
      <c r="AA245" s="2" t="s">
        <v>71</v>
      </c>
      <c r="AB245" s="2" t="s">
        <v>71</v>
      </c>
      <c r="AC245" s="2" t="s">
        <v>71</v>
      </c>
      <c r="AD245" s="2" t="s">
        <v>72</v>
      </c>
      <c r="AE245" s="2" t="s">
        <v>72</v>
      </c>
      <c r="AF245" s="2" t="s">
        <v>72</v>
      </c>
      <c r="AG245" s="2" t="s">
        <v>72</v>
      </c>
      <c r="AH245" s="2" t="s">
        <v>80</v>
      </c>
      <c r="AI245" s="2">
        <v>2</v>
      </c>
    </row>
    <row r="246" spans="1:35" ht="32" x14ac:dyDescent="0.2">
      <c r="A246" s="2">
        <v>31282345</v>
      </c>
      <c r="B246" s="2">
        <f>VLOOKUP(A246,[1]TRATAMIENTI!$A:$B,2,FALSE)</f>
        <v>296</v>
      </c>
      <c r="C246" s="2" t="s">
        <v>566</v>
      </c>
      <c r="D246" s="2">
        <v>3184374645</v>
      </c>
      <c r="E246" s="2" t="s">
        <v>567</v>
      </c>
      <c r="F246" t="s">
        <v>561</v>
      </c>
      <c r="G246" s="2" t="str">
        <f t="shared" si="3"/>
        <v>VALLE DEL CAUCA</v>
      </c>
      <c r="H246" s="2" t="s">
        <v>476</v>
      </c>
      <c r="I246" s="2" t="s">
        <v>477</v>
      </c>
      <c r="J246" s="2" t="s">
        <v>72</v>
      </c>
      <c r="K246" s="2" t="s">
        <v>72</v>
      </c>
      <c r="L246" s="2" t="s">
        <v>72</v>
      </c>
      <c r="M246" s="2" t="s">
        <v>72</v>
      </c>
      <c r="N246" s="2" t="s">
        <v>72</v>
      </c>
      <c r="O246" s="2" t="s">
        <v>72</v>
      </c>
      <c r="P246" s="2" t="s">
        <v>72</v>
      </c>
      <c r="Q246" s="2" t="s">
        <v>72</v>
      </c>
      <c r="R246" s="2" t="s">
        <v>72</v>
      </c>
      <c r="S246" s="2" t="s">
        <v>72</v>
      </c>
      <c r="T246" s="2" t="s">
        <v>71</v>
      </c>
      <c r="U246" s="2" t="s">
        <v>72</v>
      </c>
      <c r="V246" s="2" t="s">
        <v>72</v>
      </c>
      <c r="W246" s="2" t="s">
        <v>71</v>
      </c>
      <c r="X246" s="2" t="s">
        <v>71</v>
      </c>
      <c r="Y246" s="2" t="s">
        <v>71</v>
      </c>
      <c r="Z246" s="2" t="s">
        <v>71</v>
      </c>
      <c r="AA246" s="2" t="s">
        <v>71</v>
      </c>
      <c r="AB246" s="2" t="s">
        <v>71</v>
      </c>
      <c r="AC246" s="2" t="s">
        <v>71</v>
      </c>
      <c r="AD246" s="2" t="s">
        <v>72</v>
      </c>
      <c r="AE246" s="2" t="s">
        <v>72</v>
      </c>
      <c r="AF246" s="2" t="s">
        <v>72</v>
      </c>
      <c r="AG246" s="2" t="s">
        <v>72</v>
      </c>
      <c r="AH246" s="2" t="s">
        <v>91</v>
      </c>
      <c r="AI246" s="2">
        <v>1</v>
      </c>
    </row>
    <row r="247" spans="1:35" ht="32" x14ac:dyDescent="0.2">
      <c r="A247" s="2">
        <v>31288307</v>
      </c>
      <c r="B247" s="2">
        <f>VLOOKUP(A247,[1]TRATAMIENTI!$A:$B,2,FALSE)</f>
        <v>297</v>
      </c>
      <c r="C247" s="2" t="s">
        <v>568</v>
      </c>
      <c r="D247" s="2">
        <v>3170657218</v>
      </c>
      <c r="E247" s="2" t="s">
        <v>569</v>
      </c>
      <c r="F247" s="2" t="s">
        <v>475</v>
      </c>
      <c r="G247" s="2" t="str">
        <f t="shared" si="3"/>
        <v>VALLE DEL CAUCA</v>
      </c>
      <c r="H247" s="2" t="s">
        <v>476</v>
      </c>
      <c r="I247" s="2" t="s">
        <v>480</v>
      </c>
      <c r="J247" s="2" t="s">
        <v>71</v>
      </c>
      <c r="K247" s="2" t="s">
        <v>72</v>
      </c>
      <c r="L247" s="2" t="s">
        <v>72</v>
      </c>
      <c r="M247" s="2" t="s">
        <v>72</v>
      </c>
      <c r="N247" s="2" t="s">
        <v>72</v>
      </c>
      <c r="O247" s="2" t="s">
        <v>72</v>
      </c>
      <c r="P247" s="2" t="s">
        <v>72</v>
      </c>
      <c r="Q247" s="2" t="s">
        <v>72</v>
      </c>
      <c r="R247" s="2" t="s">
        <v>72</v>
      </c>
      <c r="S247" s="2" t="s">
        <v>71</v>
      </c>
      <c r="T247" s="2" t="s">
        <v>72</v>
      </c>
      <c r="U247" s="2" t="s">
        <v>72</v>
      </c>
      <c r="V247" s="2" t="s">
        <v>71</v>
      </c>
      <c r="W247" s="2" t="s">
        <v>71</v>
      </c>
      <c r="X247" s="2" t="s">
        <v>71</v>
      </c>
      <c r="Y247" s="2" t="s">
        <v>71</v>
      </c>
      <c r="Z247" s="2" t="s">
        <v>71</v>
      </c>
      <c r="AA247" s="2" t="s">
        <v>72</v>
      </c>
      <c r="AB247" s="2" t="s">
        <v>72</v>
      </c>
      <c r="AC247" s="2" t="s">
        <v>72</v>
      </c>
      <c r="AD247" s="2" t="s">
        <v>72</v>
      </c>
      <c r="AE247" s="2" t="s">
        <v>72</v>
      </c>
      <c r="AF247" s="2" t="s">
        <v>72</v>
      </c>
      <c r="AG247" s="2" t="s">
        <v>72</v>
      </c>
      <c r="AH247" s="2" t="s">
        <v>80</v>
      </c>
      <c r="AI247" s="2">
        <v>2</v>
      </c>
    </row>
    <row r="248" spans="1:35" ht="32" x14ac:dyDescent="0.2">
      <c r="A248" s="2">
        <v>31445743</v>
      </c>
      <c r="B248" s="2">
        <f>VLOOKUP(A248,[1]TRATAMIENTI!$A:$B,2,FALSE)</f>
        <v>302</v>
      </c>
      <c r="C248" s="2" t="s">
        <v>570</v>
      </c>
      <c r="D248" s="2">
        <v>3163243216</v>
      </c>
      <c r="E248" s="2" t="s">
        <v>571</v>
      </c>
      <c r="F248" t="s">
        <v>561</v>
      </c>
      <c r="G248" s="2" t="str">
        <f t="shared" si="3"/>
        <v>VALLE DEL CAUCA</v>
      </c>
      <c r="H248" s="2" t="s">
        <v>476</v>
      </c>
      <c r="I248" s="2" t="s">
        <v>477</v>
      </c>
      <c r="J248" s="2" t="s">
        <v>72</v>
      </c>
      <c r="K248" s="2" t="s">
        <v>72</v>
      </c>
      <c r="L248" s="2" t="s">
        <v>72</v>
      </c>
      <c r="M248" s="2" t="s">
        <v>72</v>
      </c>
      <c r="N248" s="2" t="s">
        <v>72</v>
      </c>
      <c r="O248" s="2" t="s">
        <v>71</v>
      </c>
      <c r="P248" s="2" t="s">
        <v>71</v>
      </c>
      <c r="Q248" s="2" t="s">
        <v>71</v>
      </c>
      <c r="R248" s="2" t="s">
        <v>71</v>
      </c>
      <c r="S248" s="2" t="s">
        <v>71</v>
      </c>
      <c r="T248" s="2" t="s">
        <v>71</v>
      </c>
      <c r="U248" s="2" t="s">
        <v>72</v>
      </c>
      <c r="V248" s="2" t="s">
        <v>71</v>
      </c>
      <c r="W248" s="2" t="s">
        <v>71</v>
      </c>
      <c r="X248" s="2" t="s">
        <v>71</v>
      </c>
      <c r="Y248" s="2" t="s">
        <v>71</v>
      </c>
      <c r="Z248" s="2" t="s">
        <v>71</v>
      </c>
      <c r="AA248" s="2" t="s">
        <v>71</v>
      </c>
      <c r="AB248" s="2" t="s">
        <v>71</v>
      </c>
      <c r="AC248" s="2" t="s">
        <v>71</v>
      </c>
      <c r="AD248" s="2" t="s">
        <v>72</v>
      </c>
      <c r="AE248" s="2" t="s">
        <v>72</v>
      </c>
      <c r="AF248" s="2" t="s">
        <v>72</v>
      </c>
      <c r="AG248" s="2" t="s">
        <v>72</v>
      </c>
      <c r="AH248" s="2" t="s">
        <v>256</v>
      </c>
      <c r="AI248" s="2">
        <v>3</v>
      </c>
    </row>
    <row r="249" spans="1:35" ht="32" x14ac:dyDescent="0.2">
      <c r="A249" s="2">
        <v>31537995</v>
      </c>
      <c r="B249" s="2">
        <f>VLOOKUP(A249,[1]TRATAMIENTI!$A:$B,2,FALSE)</f>
        <v>310</v>
      </c>
      <c r="C249" s="2" t="s">
        <v>572</v>
      </c>
      <c r="D249" s="2">
        <v>3126949360</v>
      </c>
      <c r="E249" s="2" t="s">
        <v>573</v>
      </c>
      <c r="F249" s="2" t="s">
        <v>475</v>
      </c>
      <c r="G249" s="2" t="str">
        <f t="shared" si="3"/>
        <v>VALLE DEL CAUCA</v>
      </c>
      <c r="H249" s="2" t="s">
        <v>476</v>
      </c>
      <c r="I249" s="2" t="s">
        <v>480</v>
      </c>
      <c r="J249" s="2" t="s">
        <v>71</v>
      </c>
      <c r="K249" s="2" t="s">
        <v>72</v>
      </c>
      <c r="L249" s="2" t="s">
        <v>72</v>
      </c>
      <c r="M249" s="2" t="s">
        <v>72</v>
      </c>
      <c r="N249" s="2" t="s">
        <v>72</v>
      </c>
      <c r="O249" s="2" t="s">
        <v>72</v>
      </c>
      <c r="P249" s="2" t="s">
        <v>72</v>
      </c>
      <c r="Q249" s="2" t="s">
        <v>72</v>
      </c>
      <c r="R249" s="2" t="s">
        <v>72</v>
      </c>
      <c r="S249" s="2" t="s">
        <v>71</v>
      </c>
      <c r="T249" s="2" t="s">
        <v>72</v>
      </c>
      <c r="U249" s="2" t="s">
        <v>72</v>
      </c>
      <c r="V249" s="2" t="s">
        <v>71</v>
      </c>
      <c r="W249" s="2" t="s">
        <v>71</v>
      </c>
      <c r="X249" s="2" t="s">
        <v>71</v>
      </c>
      <c r="Y249" s="2" t="s">
        <v>71</v>
      </c>
      <c r="Z249" s="2" t="s">
        <v>71</v>
      </c>
      <c r="AA249" s="2" t="s">
        <v>72</v>
      </c>
      <c r="AB249" s="2" t="s">
        <v>72</v>
      </c>
      <c r="AC249" s="2" t="s">
        <v>72</v>
      </c>
      <c r="AD249" s="2" t="s">
        <v>72</v>
      </c>
      <c r="AE249" s="2" t="s">
        <v>72</v>
      </c>
      <c r="AF249" s="2" t="s">
        <v>72</v>
      </c>
      <c r="AG249" s="2" t="s">
        <v>72</v>
      </c>
      <c r="AH249" s="2" t="s">
        <v>80</v>
      </c>
      <c r="AI249" s="2">
        <v>2</v>
      </c>
    </row>
    <row r="250" spans="1:35" ht="32" x14ac:dyDescent="0.2">
      <c r="A250" s="2">
        <v>31830427</v>
      </c>
      <c r="B250" s="2">
        <f>VLOOKUP(A250,[1]TRATAMIENTI!$A:$B,2,FALSE)</f>
        <v>313</v>
      </c>
      <c r="C250" s="2" t="s">
        <v>574</v>
      </c>
      <c r="D250" s="2">
        <v>3104046873</v>
      </c>
      <c r="E250" s="2" t="s">
        <v>575</v>
      </c>
      <c r="F250" t="s">
        <v>561</v>
      </c>
      <c r="G250" s="2" t="str">
        <f t="shared" si="3"/>
        <v>VALLE DEL CAUCA</v>
      </c>
      <c r="H250" s="2" t="s">
        <v>476</v>
      </c>
      <c r="I250" s="2" t="s">
        <v>477</v>
      </c>
      <c r="J250" s="2" t="s">
        <v>72</v>
      </c>
      <c r="K250" s="2" t="s">
        <v>72</v>
      </c>
      <c r="L250" s="2" t="s">
        <v>72</v>
      </c>
      <c r="M250" s="2" t="s">
        <v>72</v>
      </c>
      <c r="N250" s="2" t="s">
        <v>72</v>
      </c>
      <c r="O250" s="2" t="s">
        <v>72</v>
      </c>
      <c r="P250" s="2" t="s">
        <v>72</v>
      </c>
      <c r="Q250" s="2" t="s">
        <v>72</v>
      </c>
      <c r="R250" s="2" t="s">
        <v>72</v>
      </c>
      <c r="S250" s="2" t="s">
        <v>71</v>
      </c>
      <c r="T250" s="2" t="s">
        <v>72</v>
      </c>
      <c r="U250" s="2" t="s">
        <v>72</v>
      </c>
      <c r="V250" s="2" t="s">
        <v>71</v>
      </c>
      <c r="W250" s="2" t="s">
        <v>71</v>
      </c>
      <c r="X250" s="2" t="s">
        <v>71</v>
      </c>
      <c r="Y250" s="2" t="s">
        <v>71</v>
      </c>
      <c r="Z250" s="2" t="s">
        <v>71</v>
      </c>
      <c r="AA250" s="2" t="s">
        <v>71</v>
      </c>
      <c r="AB250" s="2" t="s">
        <v>71</v>
      </c>
      <c r="AC250" s="2" t="s">
        <v>71</v>
      </c>
      <c r="AD250" s="2" t="s">
        <v>72</v>
      </c>
      <c r="AE250" s="2" t="s">
        <v>72</v>
      </c>
      <c r="AF250" s="2" t="s">
        <v>72</v>
      </c>
      <c r="AG250" s="2" t="s">
        <v>72</v>
      </c>
      <c r="AH250" s="2" t="s">
        <v>80</v>
      </c>
      <c r="AI250" s="2">
        <v>1</v>
      </c>
    </row>
    <row r="251" spans="1:35" ht="32" x14ac:dyDescent="0.2">
      <c r="A251" s="2">
        <v>31871549</v>
      </c>
      <c r="B251" s="2">
        <f>VLOOKUP(A251,[1]TRATAMIENTI!$A:$B,2,FALSE)</f>
        <v>315</v>
      </c>
      <c r="C251" s="2" t="s">
        <v>576</v>
      </c>
      <c r="D251" s="2">
        <v>3117993997</v>
      </c>
      <c r="E251" s="2" t="s">
        <v>577</v>
      </c>
      <c r="F251" s="2" t="s">
        <v>475</v>
      </c>
      <c r="G251" s="2" t="str">
        <f t="shared" si="3"/>
        <v>VALLE DEL CAUCA</v>
      </c>
      <c r="H251" s="2" t="s">
        <v>476</v>
      </c>
      <c r="I251" s="2" t="s">
        <v>480</v>
      </c>
      <c r="J251" s="2" t="s">
        <v>72</v>
      </c>
      <c r="K251" s="2" t="s">
        <v>72</v>
      </c>
      <c r="L251" s="2" t="s">
        <v>72</v>
      </c>
      <c r="M251" s="2" t="s">
        <v>72</v>
      </c>
      <c r="N251" s="2" t="s">
        <v>72</v>
      </c>
      <c r="O251" s="2" t="s">
        <v>72</v>
      </c>
      <c r="P251" s="2" t="s">
        <v>72</v>
      </c>
      <c r="Q251" s="2" t="s">
        <v>72</v>
      </c>
      <c r="R251" s="2" t="s">
        <v>72</v>
      </c>
      <c r="S251" s="2" t="s">
        <v>71</v>
      </c>
      <c r="T251" s="2" t="s">
        <v>72</v>
      </c>
      <c r="U251" s="2" t="s">
        <v>72</v>
      </c>
      <c r="V251" s="2" t="s">
        <v>71</v>
      </c>
      <c r="W251" s="2" t="s">
        <v>71</v>
      </c>
      <c r="X251" s="2" t="s">
        <v>71</v>
      </c>
      <c r="Y251" s="2" t="s">
        <v>71</v>
      </c>
      <c r="Z251" s="2" t="s">
        <v>71</v>
      </c>
      <c r="AA251" s="2" t="s">
        <v>72</v>
      </c>
      <c r="AB251" s="2" t="s">
        <v>72</v>
      </c>
      <c r="AC251" s="2" t="s">
        <v>72</v>
      </c>
      <c r="AD251" s="2" t="s">
        <v>72</v>
      </c>
      <c r="AE251" s="2" t="s">
        <v>72</v>
      </c>
      <c r="AF251" s="2" t="s">
        <v>72</v>
      </c>
      <c r="AG251" s="2" t="s">
        <v>72</v>
      </c>
      <c r="AH251" s="2" t="s">
        <v>80</v>
      </c>
      <c r="AI251" s="2">
        <v>1</v>
      </c>
    </row>
    <row r="252" spans="1:35" ht="32" x14ac:dyDescent="0.2">
      <c r="A252" s="2">
        <v>31887694</v>
      </c>
      <c r="B252" s="2">
        <f>VLOOKUP(A252,[1]TRATAMIENTI!$A:$B,2,FALSE)</f>
        <v>316</v>
      </c>
      <c r="C252" s="2" t="s">
        <v>578</v>
      </c>
      <c r="D252" s="2">
        <v>3178661266</v>
      </c>
      <c r="E252" s="2" t="s">
        <v>579</v>
      </c>
      <c r="F252" s="2" t="s">
        <v>475</v>
      </c>
      <c r="G252" s="2" t="str">
        <f t="shared" si="3"/>
        <v>VALLE DEL CAUCA</v>
      </c>
      <c r="H252" s="2" t="s">
        <v>476</v>
      </c>
      <c r="I252" s="2" t="s">
        <v>480</v>
      </c>
      <c r="J252" s="2" t="s">
        <v>71</v>
      </c>
      <c r="K252" s="2" t="s">
        <v>72</v>
      </c>
      <c r="L252" s="2" t="s">
        <v>72</v>
      </c>
      <c r="M252" s="2" t="s">
        <v>72</v>
      </c>
      <c r="N252" s="2" t="s">
        <v>72</v>
      </c>
      <c r="O252" s="2" t="s">
        <v>72</v>
      </c>
      <c r="P252" s="2" t="s">
        <v>72</v>
      </c>
      <c r="Q252" s="2" t="s">
        <v>72</v>
      </c>
      <c r="R252" s="2" t="s">
        <v>71</v>
      </c>
      <c r="S252" s="2" t="s">
        <v>71</v>
      </c>
      <c r="T252" s="2" t="s">
        <v>71</v>
      </c>
      <c r="U252" s="2" t="s">
        <v>72</v>
      </c>
      <c r="V252" s="2" t="s">
        <v>72</v>
      </c>
      <c r="W252" s="2" t="s">
        <v>71</v>
      </c>
      <c r="X252" s="2" t="s">
        <v>71</v>
      </c>
      <c r="Y252" s="2" t="s">
        <v>71</v>
      </c>
      <c r="Z252" s="2" t="s">
        <v>71</v>
      </c>
      <c r="AA252" s="2" t="s">
        <v>71</v>
      </c>
      <c r="AB252" s="2" t="s">
        <v>72</v>
      </c>
      <c r="AC252" s="2" t="s">
        <v>72</v>
      </c>
      <c r="AD252" s="2" t="s">
        <v>71</v>
      </c>
      <c r="AE252" s="2" t="s">
        <v>72</v>
      </c>
      <c r="AF252" s="2" t="s">
        <v>72</v>
      </c>
      <c r="AG252" s="2" t="s">
        <v>72</v>
      </c>
      <c r="AH252" s="2" t="s">
        <v>80</v>
      </c>
      <c r="AI252" s="2">
        <v>2</v>
      </c>
    </row>
    <row r="253" spans="1:35" ht="32" x14ac:dyDescent="0.2">
      <c r="A253" s="2">
        <v>31929380</v>
      </c>
      <c r="B253" s="2">
        <f>VLOOKUP(A253,[1]TRATAMIENTI!$A:$B,2,FALSE)</f>
        <v>320</v>
      </c>
      <c r="C253" t="s">
        <v>580</v>
      </c>
      <c r="D253">
        <v>3206134418</v>
      </c>
      <c r="E253" t="s">
        <v>581</v>
      </c>
      <c r="F253" t="s">
        <v>561</v>
      </c>
      <c r="G253" s="2" t="str">
        <f t="shared" si="3"/>
        <v>VALLE DEL CAUCA</v>
      </c>
      <c r="H253" s="2" t="s">
        <v>476</v>
      </c>
      <c r="I253" s="2" t="s">
        <v>477</v>
      </c>
      <c r="J253" s="2" t="s">
        <v>72</v>
      </c>
      <c r="K253" s="2" t="s">
        <v>72</v>
      </c>
      <c r="L253" s="2" t="s">
        <v>71</v>
      </c>
      <c r="M253" s="2" t="s">
        <v>71</v>
      </c>
      <c r="N253" s="2" t="s">
        <v>71</v>
      </c>
      <c r="O253" s="2" t="s">
        <v>71</v>
      </c>
      <c r="P253" s="2" t="s">
        <v>71</v>
      </c>
      <c r="Q253" s="2" t="s">
        <v>71</v>
      </c>
      <c r="R253" s="2" t="s">
        <v>71</v>
      </c>
      <c r="S253" s="2" t="s">
        <v>71</v>
      </c>
      <c r="T253" s="2" t="s">
        <v>71</v>
      </c>
      <c r="U253" s="2" t="s">
        <v>71</v>
      </c>
      <c r="V253" s="2" t="s">
        <v>71</v>
      </c>
      <c r="W253" s="2" t="s">
        <v>71</v>
      </c>
      <c r="X253" s="2" t="s">
        <v>71</v>
      </c>
      <c r="Y253" s="2" t="s">
        <v>71</v>
      </c>
      <c r="Z253" s="2" t="s">
        <v>71</v>
      </c>
      <c r="AA253" s="2" t="s">
        <v>71</v>
      </c>
      <c r="AB253" s="2" t="s">
        <v>71</v>
      </c>
      <c r="AC253" s="2" t="s">
        <v>71</v>
      </c>
      <c r="AD253" s="2" t="s">
        <v>71</v>
      </c>
      <c r="AE253" s="2" t="s">
        <v>71</v>
      </c>
      <c r="AF253" s="2" t="s">
        <v>71</v>
      </c>
      <c r="AG253" s="2" t="s">
        <v>71</v>
      </c>
      <c r="AH253" s="2" t="s">
        <v>77</v>
      </c>
      <c r="AI253" s="2">
        <v>1</v>
      </c>
    </row>
    <row r="254" spans="1:35" ht="30.75" customHeight="1" x14ac:dyDescent="0.2">
      <c r="A254" s="2">
        <v>31981946</v>
      </c>
      <c r="B254" s="2">
        <f>VLOOKUP(A254,[1]TRATAMIENTI!$A:$B,2,FALSE)</f>
        <v>323</v>
      </c>
      <c r="C254" s="2" t="s">
        <v>582</v>
      </c>
      <c r="D254" s="2">
        <v>3145698122</v>
      </c>
      <c r="E254" s="2" t="s">
        <v>583</v>
      </c>
      <c r="F254" t="s">
        <v>561</v>
      </c>
      <c r="G254" s="2" t="str">
        <f t="shared" si="3"/>
        <v>VALLE DEL CAUCA</v>
      </c>
      <c r="H254" s="2" t="s">
        <v>476</v>
      </c>
      <c r="I254" s="2" t="s">
        <v>477</v>
      </c>
      <c r="J254" s="2" t="s">
        <v>72</v>
      </c>
      <c r="K254" s="2" t="s">
        <v>72</v>
      </c>
      <c r="L254" s="2" t="s">
        <v>72</v>
      </c>
      <c r="M254" s="2" t="s">
        <v>72</v>
      </c>
      <c r="N254" s="2" t="s">
        <v>72</v>
      </c>
      <c r="O254" s="2" t="s">
        <v>72</v>
      </c>
      <c r="P254" s="2" t="s">
        <v>72</v>
      </c>
      <c r="Q254" s="2" t="s">
        <v>72</v>
      </c>
      <c r="R254" s="2" t="s">
        <v>72</v>
      </c>
      <c r="S254" s="2" t="s">
        <v>71</v>
      </c>
      <c r="T254" s="2" t="s">
        <v>72</v>
      </c>
      <c r="U254" s="2" t="s">
        <v>72</v>
      </c>
      <c r="V254" s="2" t="s">
        <v>71</v>
      </c>
      <c r="W254" s="2" t="s">
        <v>71</v>
      </c>
      <c r="X254" s="2" t="s">
        <v>71</v>
      </c>
      <c r="Y254" s="2" t="s">
        <v>71</v>
      </c>
      <c r="Z254" s="2" t="s">
        <v>71</v>
      </c>
      <c r="AA254" s="2" t="s">
        <v>71</v>
      </c>
      <c r="AB254" s="2" t="s">
        <v>71</v>
      </c>
      <c r="AC254" s="2" t="s">
        <v>71</v>
      </c>
      <c r="AD254" s="2" t="s">
        <v>72</v>
      </c>
      <c r="AE254" s="2" t="s">
        <v>72</v>
      </c>
      <c r="AF254" s="2" t="s">
        <v>72</v>
      </c>
      <c r="AG254" s="2" t="s">
        <v>72</v>
      </c>
      <c r="AH254" s="2" t="s">
        <v>256</v>
      </c>
      <c r="AI254" s="2">
        <v>3</v>
      </c>
    </row>
    <row r="255" spans="1:35" ht="32" x14ac:dyDescent="0.2">
      <c r="A255" s="2">
        <v>31983781</v>
      </c>
      <c r="B255" s="2">
        <f>VLOOKUP(A255,[1]TRATAMIENTI!$A:$B,2,FALSE)</f>
        <v>324</v>
      </c>
      <c r="C255" s="2" t="s">
        <v>584</v>
      </c>
      <c r="D255" s="2">
        <v>3183557208</v>
      </c>
      <c r="E255" s="2" t="s">
        <v>585</v>
      </c>
      <c r="F255" s="2" t="s">
        <v>475</v>
      </c>
      <c r="G255" s="2" t="str">
        <f t="shared" si="3"/>
        <v>VALLE DEL CAUCA</v>
      </c>
      <c r="H255" s="2" t="s">
        <v>476</v>
      </c>
      <c r="I255" s="2" t="s">
        <v>480</v>
      </c>
      <c r="J255" s="2" t="s">
        <v>72</v>
      </c>
      <c r="K255" s="2" t="s">
        <v>72</v>
      </c>
      <c r="L255" s="2" t="s">
        <v>72</v>
      </c>
      <c r="M255" s="2" t="s">
        <v>72</v>
      </c>
      <c r="N255" s="2" t="s">
        <v>72</v>
      </c>
      <c r="O255" s="2" t="s">
        <v>72</v>
      </c>
      <c r="P255" s="2" t="s">
        <v>72</v>
      </c>
      <c r="Q255" s="2" t="s">
        <v>72</v>
      </c>
      <c r="R255" s="2" t="s">
        <v>72</v>
      </c>
      <c r="S255" s="2" t="s">
        <v>71</v>
      </c>
      <c r="T255" s="2" t="s">
        <v>72</v>
      </c>
      <c r="U255" s="2" t="s">
        <v>72</v>
      </c>
      <c r="V255" s="2" t="s">
        <v>71</v>
      </c>
      <c r="W255" s="2" t="s">
        <v>71</v>
      </c>
      <c r="X255" s="2" t="s">
        <v>71</v>
      </c>
      <c r="Y255" s="2" t="s">
        <v>71</v>
      </c>
      <c r="Z255" s="2" t="s">
        <v>71</v>
      </c>
      <c r="AA255" s="2" t="s">
        <v>72</v>
      </c>
      <c r="AB255" s="2" t="s">
        <v>72</v>
      </c>
      <c r="AC255" s="2" t="s">
        <v>71</v>
      </c>
      <c r="AD255" s="2" t="s">
        <v>72</v>
      </c>
      <c r="AE255" s="2" t="s">
        <v>72</v>
      </c>
      <c r="AF255" s="2" t="s">
        <v>72</v>
      </c>
      <c r="AG255" s="2" t="s">
        <v>72</v>
      </c>
      <c r="AH255" s="2" t="s">
        <v>80</v>
      </c>
      <c r="AI255" s="2">
        <v>1</v>
      </c>
    </row>
    <row r="256" spans="1:35" ht="32" x14ac:dyDescent="0.2">
      <c r="A256" s="2">
        <v>31992224</v>
      </c>
      <c r="B256" s="2">
        <f>VLOOKUP(A256,[1]TRATAMIENTI!$A:$B,2,FALSE)</f>
        <v>325</v>
      </c>
      <c r="C256" s="2" t="s">
        <v>586</v>
      </c>
      <c r="D256" s="2">
        <v>3213475217</v>
      </c>
      <c r="E256" s="2" t="s">
        <v>587</v>
      </c>
      <c r="F256" t="s">
        <v>561</v>
      </c>
      <c r="G256" s="2" t="str">
        <f t="shared" ref="G256:G286" si="4">IF(H256="CALI","VALLE DEL CAUCA",IF(H256="MEDELLIN","ANTIOQUIA",IF(H256="BARRANQUILLA","ATLANTICO","NO")))</f>
        <v>VALLE DEL CAUCA</v>
      </c>
      <c r="H256" s="2" t="s">
        <v>476</v>
      </c>
      <c r="I256" s="2" t="s">
        <v>480</v>
      </c>
      <c r="J256" s="2" t="s">
        <v>72</v>
      </c>
      <c r="K256" s="2" t="s">
        <v>72</v>
      </c>
      <c r="L256" s="2" t="s">
        <v>72</v>
      </c>
      <c r="M256" s="2" t="s">
        <v>72</v>
      </c>
      <c r="N256" s="2" t="s">
        <v>72</v>
      </c>
      <c r="O256" s="2" t="s">
        <v>71</v>
      </c>
      <c r="P256" s="2" t="s">
        <v>71</v>
      </c>
      <c r="Q256" s="2" t="s">
        <v>71</v>
      </c>
      <c r="R256" s="2" t="s">
        <v>72</v>
      </c>
      <c r="S256" s="2" t="s">
        <v>71</v>
      </c>
      <c r="T256" s="2" t="s">
        <v>71</v>
      </c>
      <c r="U256" s="2" t="s">
        <v>72</v>
      </c>
      <c r="V256" s="2" t="s">
        <v>72</v>
      </c>
      <c r="W256" s="2" t="s">
        <v>71</v>
      </c>
      <c r="X256" s="2" t="s">
        <v>71</v>
      </c>
      <c r="Y256" s="2" t="s">
        <v>71</v>
      </c>
      <c r="Z256" s="2" t="s">
        <v>71</v>
      </c>
      <c r="AA256" s="2" t="s">
        <v>71</v>
      </c>
      <c r="AB256" s="2" t="s">
        <v>72</v>
      </c>
      <c r="AC256" s="2" t="s">
        <v>72</v>
      </c>
      <c r="AD256" s="2" t="s">
        <v>71</v>
      </c>
      <c r="AE256" s="2" t="s">
        <v>72</v>
      </c>
      <c r="AF256" s="2" t="s">
        <v>72</v>
      </c>
      <c r="AG256" s="2" t="s">
        <v>72</v>
      </c>
      <c r="AH256" s="2" t="s">
        <v>85</v>
      </c>
      <c r="AI256" s="2">
        <v>3</v>
      </c>
    </row>
    <row r="257" spans="1:35" ht="32" x14ac:dyDescent="0.2">
      <c r="A257" s="2">
        <v>31992747</v>
      </c>
      <c r="B257" s="2">
        <f>VLOOKUP(A257,[1]TRATAMIENTI!$A:$B,2,FALSE)</f>
        <v>326</v>
      </c>
      <c r="C257" s="2" t="s">
        <v>588</v>
      </c>
      <c r="D257" s="2">
        <v>3207715491</v>
      </c>
      <c r="E257" s="2" t="s">
        <v>589</v>
      </c>
      <c r="F257" s="2" t="s">
        <v>475</v>
      </c>
      <c r="G257" s="2" t="str">
        <f t="shared" si="4"/>
        <v>VALLE DEL CAUCA</v>
      </c>
      <c r="H257" s="2" t="s">
        <v>476</v>
      </c>
      <c r="I257" s="2" t="s">
        <v>480</v>
      </c>
      <c r="J257" s="2" t="s">
        <v>72</v>
      </c>
      <c r="K257" s="2" t="s">
        <v>72</v>
      </c>
      <c r="L257" s="2" t="s">
        <v>72</v>
      </c>
      <c r="M257" s="2" t="s">
        <v>72</v>
      </c>
      <c r="N257" s="2" t="s">
        <v>72</v>
      </c>
      <c r="O257" s="2" t="s">
        <v>71</v>
      </c>
      <c r="P257" s="2" t="s">
        <v>71</v>
      </c>
      <c r="Q257" s="2" t="s">
        <v>71</v>
      </c>
      <c r="R257" s="2" t="s">
        <v>71</v>
      </c>
      <c r="S257" s="2" t="s">
        <v>71</v>
      </c>
      <c r="T257" s="2" t="s">
        <v>71</v>
      </c>
      <c r="U257" s="2" t="s">
        <v>72</v>
      </c>
      <c r="V257" s="2" t="s">
        <v>71</v>
      </c>
      <c r="W257" s="2" t="s">
        <v>71</v>
      </c>
      <c r="X257" s="2" t="s">
        <v>71</v>
      </c>
      <c r="Y257" s="2" t="s">
        <v>71</v>
      </c>
      <c r="Z257" s="2" t="s">
        <v>71</v>
      </c>
      <c r="AA257" s="2" t="s">
        <v>72</v>
      </c>
      <c r="AB257" s="2" t="s">
        <v>72</v>
      </c>
      <c r="AC257" s="2" t="s">
        <v>71</v>
      </c>
      <c r="AD257" s="2" t="s">
        <v>72</v>
      </c>
      <c r="AE257" s="2" t="s">
        <v>72</v>
      </c>
      <c r="AF257" s="2" t="s">
        <v>72</v>
      </c>
      <c r="AG257" s="2" t="s">
        <v>72</v>
      </c>
      <c r="AH257" s="2" t="s">
        <v>256</v>
      </c>
      <c r="AI257" s="2">
        <v>3</v>
      </c>
    </row>
    <row r="258" spans="1:35" ht="32" x14ac:dyDescent="0.2">
      <c r="A258" s="2">
        <v>32285101</v>
      </c>
      <c r="B258" s="2">
        <f>VLOOKUP(A258,[1]TRATAMIENTI!$A:$B,2,FALSE)</f>
        <v>327</v>
      </c>
      <c r="C258" s="2" t="s">
        <v>590</v>
      </c>
      <c r="D258" s="2">
        <v>3159363447</v>
      </c>
      <c r="E258" s="2" t="s">
        <v>591</v>
      </c>
      <c r="F258" s="2" t="s">
        <v>475</v>
      </c>
      <c r="G258" s="2" t="str">
        <f t="shared" si="4"/>
        <v>VALLE DEL CAUCA</v>
      </c>
      <c r="H258" s="2" t="s">
        <v>476</v>
      </c>
      <c r="I258" s="2" t="s">
        <v>477</v>
      </c>
      <c r="J258" s="2" t="s">
        <v>72</v>
      </c>
      <c r="K258" s="2" t="s">
        <v>72</v>
      </c>
      <c r="L258" s="2" t="s">
        <v>72</v>
      </c>
      <c r="M258" s="2" t="s">
        <v>72</v>
      </c>
      <c r="N258" s="2" t="s">
        <v>72</v>
      </c>
      <c r="O258" s="2" t="s">
        <v>72</v>
      </c>
      <c r="P258" s="2" t="s">
        <v>72</v>
      </c>
      <c r="Q258" s="2" t="s">
        <v>72</v>
      </c>
      <c r="R258" s="2" t="s">
        <v>72</v>
      </c>
      <c r="S258" s="2" t="s">
        <v>71</v>
      </c>
      <c r="T258" s="2" t="s">
        <v>72</v>
      </c>
      <c r="U258" s="2" t="s">
        <v>72</v>
      </c>
      <c r="V258" s="2" t="s">
        <v>71</v>
      </c>
      <c r="W258" s="2" t="s">
        <v>71</v>
      </c>
      <c r="X258" s="2" t="s">
        <v>71</v>
      </c>
      <c r="Y258" s="2" t="s">
        <v>71</v>
      </c>
      <c r="Z258" s="2" t="s">
        <v>71</v>
      </c>
      <c r="AA258" s="2" t="s">
        <v>71</v>
      </c>
      <c r="AB258" s="2" t="s">
        <v>71</v>
      </c>
      <c r="AC258" s="2" t="s">
        <v>71</v>
      </c>
      <c r="AD258" s="2" t="s">
        <v>72</v>
      </c>
      <c r="AE258" s="2" t="s">
        <v>72</v>
      </c>
      <c r="AF258" s="2" t="s">
        <v>72</v>
      </c>
      <c r="AG258" s="2" t="s">
        <v>72</v>
      </c>
      <c r="AH258" s="2" t="s">
        <v>80</v>
      </c>
      <c r="AI258" s="2">
        <v>1</v>
      </c>
    </row>
    <row r="259" spans="1:35" ht="32" x14ac:dyDescent="0.2">
      <c r="A259" s="2">
        <v>32285912</v>
      </c>
      <c r="B259" s="2">
        <f>VLOOKUP(A259,[1]TRATAMIENTI!$A:$B,2,FALSE)</f>
        <v>328</v>
      </c>
      <c r="C259" s="2" t="s">
        <v>592</v>
      </c>
      <c r="D259" s="2">
        <v>3178664182</v>
      </c>
      <c r="E259" s="2" t="s">
        <v>593</v>
      </c>
      <c r="F259" s="2" t="s">
        <v>475</v>
      </c>
      <c r="G259" s="2" t="str">
        <f t="shared" si="4"/>
        <v>VALLE DEL CAUCA</v>
      </c>
      <c r="H259" s="2" t="s">
        <v>476</v>
      </c>
      <c r="I259" s="2" t="s">
        <v>480</v>
      </c>
      <c r="J259" s="2" t="s">
        <v>72</v>
      </c>
      <c r="K259" s="2" t="s">
        <v>72</v>
      </c>
      <c r="L259" s="2" t="s">
        <v>71</v>
      </c>
      <c r="M259" s="2" t="s">
        <v>71</v>
      </c>
      <c r="N259" s="2" t="s">
        <v>71</v>
      </c>
      <c r="O259" s="2" t="s">
        <v>71</v>
      </c>
      <c r="P259" s="2" t="s">
        <v>71</v>
      </c>
      <c r="Q259" s="2" t="s">
        <v>71</v>
      </c>
      <c r="R259" s="2" t="s">
        <v>71</v>
      </c>
      <c r="S259" s="2" t="s">
        <v>71</v>
      </c>
      <c r="T259" s="2" t="s">
        <v>71</v>
      </c>
      <c r="U259" s="2" t="s">
        <v>71</v>
      </c>
      <c r="V259" s="2" t="s">
        <v>71</v>
      </c>
      <c r="W259" s="2" t="s">
        <v>71</v>
      </c>
      <c r="X259" s="2" t="s">
        <v>71</v>
      </c>
      <c r="Y259" s="2" t="s">
        <v>71</v>
      </c>
      <c r="Z259" s="2" t="s">
        <v>71</v>
      </c>
      <c r="AA259" s="2" t="s">
        <v>71</v>
      </c>
      <c r="AB259" s="2" t="s">
        <v>71</v>
      </c>
      <c r="AC259" s="2" t="s">
        <v>71</v>
      </c>
      <c r="AD259" s="2" t="s">
        <v>71</v>
      </c>
      <c r="AE259" s="2" t="s">
        <v>71</v>
      </c>
      <c r="AF259" s="2" t="s">
        <v>71</v>
      </c>
      <c r="AG259" s="2" t="s">
        <v>71</v>
      </c>
      <c r="AH259" s="2" t="s">
        <v>73</v>
      </c>
      <c r="AI259" s="2">
        <v>1</v>
      </c>
    </row>
    <row r="260" spans="1:35" ht="32" x14ac:dyDescent="0.2">
      <c r="A260">
        <v>1144037995</v>
      </c>
      <c r="B260" s="2">
        <f>VLOOKUP(A260,[1]TRATAMIENTI!$A:$B,2,FALSE)</f>
        <v>243</v>
      </c>
      <c r="C260" s="2" t="s">
        <v>594</v>
      </c>
      <c r="D260" s="2">
        <v>3138051160</v>
      </c>
      <c r="E260" s="2" t="s">
        <v>595</v>
      </c>
      <c r="F260" t="s">
        <v>561</v>
      </c>
      <c r="G260" s="2" t="str">
        <f t="shared" si="4"/>
        <v>VALLE DEL CAUCA</v>
      </c>
      <c r="H260" s="2" t="s">
        <v>476</v>
      </c>
      <c r="I260" s="2" t="s">
        <v>477</v>
      </c>
      <c r="J260" s="2" t="s">
        <v>72</v>
      </c>
      <c r="K260" s="2" t="s">
        <v>72</v>
      </c>
      <c r="L260" s="2" t="s">
        <v>72</v>
      </c>
      <c r="M260" s="2" t="s">
        <v>72</v>
      </c>
      <c r="N260" s="2" t="s">
        <v>72</v>
      </c>
      <c r="O260" s="2" t="s">
        <v>71</v>
      </c>
      <c r="P260" s="2" t="s">
        <v>72</v>
      </c>
      <c r="Q260" s="2" t="s">
        <v>71</v>
      </c>
      <c r="R260" s="2" t="s">
        <v>71</v>
      </c>
      <c r="S260" s="2" t="s">
        <v>71</v>
      </c>
      <c r="T260" s="2" t="s">
        <v>71</v>
      </c>
      <c r="U260" s="2" t="s">
        <v>72</v>
      </c>
      <c r="V260" s="2" t="s">
        <v>71</v>
      </c>
      <c r="W260" s="2" t="s">
        <v>71</v>
      </c>
      <c r="X260" s="2" t="s">
        <v>71</v>
      </c>
      <c r="Y260" s="2" t="s">
        <v>71</v>
      </c>
      <c r="Z260" s="2" t="s">
        <v>71</v>
      </c>
      <c r="AA260" s="2" t="s">
        <v>71</v>
      </c>
      <c r="AB260" s="2" t="s">
        <v>71</v>
      </c>
      <c r="AC260" s="2" t="s">
        <v>71</v>
      </c>
      <c r="AD260" s="2" t="s">
        <v>72</v>
      </c>
      <c r="AE260" s="2" t="s">
        <v>72</v>
      </c>
      <c r="AF260" s="2" t="s">
        <v>72</v>
      </c>
      <c r="AG260" s="2" t="s">
        <v>72</v>
      </c>
      <c r="AH260" s="2" t="s">
        <v>80</v>
      </c>
      <c r="AI260" s="2">
        <v>2</v>
      </c>
    </row>
    <row r="261" spans="1:35" ht="32" x14ac:dyDescent="0.2">
      <c r="A261" s="2">
        <v>31535355</v>
      </c>
      <c r="B261" s="2">
        <f>VLOOKUP(A261,[1]TRATAMIENTI!$A:$B,2,FALSE)</f>
        <v>309</v>
      </c>
      <c r="C261" t="s">
        <v>596</v>
      </c>
      <c r="D261" s="2">
        <v>3226221443</v>
      </c>
      <c r="E261" s="2" t="s">
        <v>597</v>
      </c>
      <c r="F261" s="2" t="s">
        <v>475</v>
      </c>
      <c r="G261" s="2" t="str">
        <f t="shared" si="4"/>
        <v>VALLE DEL CAUCA</v>
      </c>
      <c r="H261" s="2" t="s">
        <v>476</v>
      </c>
      <c r="I261" s="2" t="s">
        <v>477</v>
      </c>
      <c r="J261" s="2" t="s">
        <v>72</v>
      </c>
      <c r="K261" s="2" t="s">
        <v>72</v>
      </c>
      <c r="L261" s="2" t="s">
        <v>72</v>
      </c>
      <c r="M261" s="2" t="s">
        <v>72</v>
      </c>
      <c r="N261" s="2" t="s">
        <v>72</v>
      </c>
      <c r="O261" s="2" t="s">
        <v>72</v>
      </c>
      <c r="P261" s="2" t="s">
        <v>72</v>
      </c>
      <c r="Q261" s="2" t="s">
        <v>72</v>
      </c>
      <c r="R261" s="2" t="s">
        <v>72</v>
      </c>
      <c r="S261" s="2" t="s">
        <v>71</v>
      </c>
      <c r="T261" s="2" t="s">
        <v>72</v>
      </c>
      <c r="U261" s="2" t="s">
        <v>72</v>
      </c>
      <c r="V261" s="2" t="s">
        <v>71</v>
      </c>
      <c r="W261" s="2" t="s">
        <v>71</v>
      </c>
      <c r="X261" s="2" t="s">
        <v>71</v>
      </c>
      <c r="Y261" s="2" t="s">
        <v>71</v>
      </c>
      <c r="Z261" s="2" t="s">
        <v>71</v>
      </c>
      <c r="AA261" s="2" t="s">
        <v>71</v>
      </c>
      <c r="AB261" s="2" t="s">
        <v>71</v>
      </c>
      <c r="AC261" s="2" t="s">
        <v>71</v>
      </c>
      <c r="AD261" s="2" t="s">
        <v>72</v>
      </c>
      <c r="AE261" s="2" t="s">
        <v>72</v>
      </c>
      <c r="AF261" s="2" t="s">
        <v>72</v>
      </c>
      <c r="AG261" s="2" t="s">
        <v>72</v>
      </c>
      <c r="AH261" s="2" t="s">
        <v>80</v>
      </c>
      <c r="AI261" s="2">
        <v>2</v>
      </c>
    </row>
    <row r="262" spans="1:35" ht="32" x14ac:dyDescent="0.2">
      <c r="A262" s="2">
        <v>31577413</v>
      </c>
      <c r="B262" s="2">
        <f>VLOOKUP(A262,[1]TRATAMIENTI!$A:$B,2,FALSE)</f>
        <v>311</v>
      </c>
      <c r="C262" s="2" t="s">
        <v>598</v>
      </c>
      <c r="D262" s="2">
        <v>3216376028</v>
      </c>
      <c r="E262" s="2" t="s">
        <v>599</v>
      </c>
      <c r="F262" t="s">
        <v>561</v>
      </c>
      <c r="G262" s="2" t="str">
        <f t="shared" si="4"/>
        <v>VALLE DEL CAUCA</v>
      </c>
      <c r="H262" s="2" t="s">
        <v>476</v>
      </c>
      <c r="I262" s="2" t="s">
        <v>477</v>
      </c>
      <c r="J262" s="2" t="s">
        <v>72</v>
      </c>
      <c r="K262" s="2" t="s">
        <v>72</v>
      </c>
      <c r="L262" s="2" t="s">
        <v>72</v>
      </c>
      <c r="M262" s="2" t="s">
        <v>72</v>
      </c>
      <c r="N262" s="2" t="s">
        <v>72</v>
      </c>
      <c r="O262" s="2" t="s">
        <v>71</v>
      </c>
      <c r="P262" s="2" t="s">
        <v>72</v>
      </c>
      <c r="Q262" s="2" t="s">
        <v>72</v>
      </c>
      <c r="R262" s="2" t="s">
        <v>72</v>
      </c>
      <c r="S262" s="2" t="s">
        <v>71</v>
      </c>
      <c r="T262" s="2" t="s">
        <v>72</v>
      </c>
      <c r="U262" s="2" t="s">
        <v>72</v>
      </c>
      <c r="V262" s="2" t="s">
        <v>71</v>
      </c>
      <c r="W262" s="2" t="s">
        <v>71</v>
      </c>
      <c r="X262" s="2" t="s">
        <v>71</v>
      </c>
      <c r="Y262" s="2" t="s">
        <v>71</v>
      </c>
      <c r="Z262" s="2" t="s">
        <v>71</v>
      </c>
      <c r="AA262" s="2" t="s">
        <v>71</v>
      </c>
      <c r="AB262" s="2" t="s">
        <v>71</v>
      </c>
      <c r="AC262" s="2" t="s">
        <v>71</v>
      </c>
      <c r="AD262" s="2" t="s">
        <v>72</v>
      </c>
      <c r="AE262" s="2" t="s">
        <v>72</v>
      </c>
      <c r="AF262" s="2" t="s">
        <v>72</v>
      </c>
      <c r="AG262" s="2" t="s">
        <v>72</v>
      </c>
      <c r="AH262" s="2" t="s">
        <v>80</v>
      </c>
      <c r="AI262" s="2">
        <v>3</v>
      </c>
    </row>
    <row r="263" spans="1:35" ht="32" x14ac:dyDescent="0.2">
      <c r="A263" s="2">
        <v>34572562</v>
      </c>
      <c r="B263" s="2">
        <f>VLOOKUP(A263,[1]TRATAMIENTI!$A:$B,2,FALSE)</f>
        <v>332</v>
      </c>
      <c r="C263" s="2" t="s">
        <v>600</v>
      </c>
      <c r="D263" s="2">
        <v>3136521758</v>
      </c>
      <c r="E263" s="2" t="s">
        <v>601</v>
      </c>
      <c r="F263" s="2" t="s">
        <v>475</v>
      </c>
      <c r="G263" s="2" t="str">
        <f t="shared" si="4"/>
        <v>VALLE DEL CAUCA</v>
      </c>
      <c r="H263" s="2" t="s">
        <v>476</v>
      </c>
      <c r="I263" s="2" t="s">
        <v>480</v>
      </c>
      <c r="J263" s="2" t="s">
        <v>72</v>
      </c>
      <c r="K263" s="2" t="s">
        <v>72</v>
      </c>
      <c r="L263" s="2" t="s">
        <v>72</v>
      </c>
      <c r="M263" s="2" t="s">
        <v>72</v>
      </c>
      <c r="N263" s="2" t="s">
        <v>72</v>
      </c>
      <c r="O263" s="2" t="s">
        <v>72</v>
      </c>
      <c r="P263" s="2" t="s">
        <v>72</v>
      </c>
      <c r="Q263" s="2" t="s">
        <v>72</v>
      </c>
      <c r="R263" s="2" t="s">
        <v>72</v>
      </c>
      <c r="S263" s="2" t="s">
        <v>71</v>
      </c>
      <c r="T263" s="2" t="s">
        <v>72</v>
      </c>
      <c r="U263" s="2" t="s">
        <v>72</v>
      </c>
      <c r="V263" s="2" t="s">
        <v>71</v>
      </c>
      <c r="W263" s="2" t="s">
        <v>71</v>
      </c>
      <c r="X263" s="2" t="s">
        <v>71</v>
      </c>
      <c r="Y263" s="2" t="s">
        <v>71</v>
      </c>
      <c r="Z263" s="2" t="s">
        <v>71</v>
      </c>
      <c r="AA263" s="2" t="s">
        <v>71</v>
      </c>
      <c r="AB263" s="2" t="s">
        <v>71</v>
      </c>
      <c r="AC263" s="2" t="s">
        <v>71</v>
      </c>
      <c r="AD263" s="2" t="s">
        <v>72</v>
      </c>
      <c r="AE263" s="2" t="s">
        <v>72</v>
      </c>
      <c r="AF263" s="2" t="s">
        <v>72</v>
      </c>
      <c r="AG263" s="2" t="s">
        <v>72</v>
      </c>
      <c r="AH263" s="2" t="s">
        <v>85</v>
      </c>
      <c r="AI263" s="2">
        <v>1</v>
      </c>
    </row>
    <row r="264" spans="1:35" ht="32" x14ac:dyDescent="0.2">
      <c r="A264" s="2">
        <v>34573715</v>
      </c>
      <c r="B264" s="2">
        <f>VLOOKUP(A264,[1]TRATAMIENTI!$A:$B,2,FALSE)</f>
        <v>333</v>
      </c>
      <c r="C264" s="2" t="s">
        <v>602</v>
      </c>
      <c r="D264" s="2">
        <v>3127638193</v>
      </c>
      <c r="E264" s="2" t="s">
        <v>603</v>
      </c>
      <c r="F264" t="s">
        <v>561</v>
      </c>
      <c r="G264" s="2" t="str">
        <f t="shared" si="4"/>
        <v>VALLE DEL CAUCA</v>
      </c>
      <c r="H264" s="2" t="s">
        <v>476</v>
      </c>
      <c r="I264" s="2" t="s">
        <v>480</v>
      </c>
      <c r="J264" s="2" t="s">
        <v>72</v>
      </c>
      <c r="K264" s="2" t="s">
        <v>72</v>
      </c>
      <c r="L264" s="2" t="s">
        <v>72</v>
      </c>
      <c r="M264" s="2" t="s">
        <v>72</v>
      </c>
      <c r="N264" s="2" t="s">
        <v>72</v>
      </c>
      <c r="O264" s="2" t="s">
        <v>72</v>
      </c>
      <c r="P264" s="2" t="s">
        <v>72</v>
      </c>
      <c r="Q264" s="2" t="s">
        <v>72</v>
      </c>
      <c r="R264" s="2" t="s">
        <v>72</v>
      </c>
      <c r="S264" s="2" t="s">
        <v>71</v>
      </c>
      <c r="T264" s="2" t="s">
        <v>72</v>
      </c>
      <c r="U264" s="2" t="s">
        <v>72</v>
      </c>
      <c r="V264" s="2" t="s">
        <v>71</v>
      </c>
      <c r="W264" s="2" t="s">
        <v>71</v>
      </c>
      <c r="X264" s="2" t="s">
        <v>71</v>
      </c>
      <c r="Y264" s="2" t="s">
        <v>71</v>
      </c>
      <c r="Z264" s="2" t="s">
        <v>71</v>
      </c>
      <c r="AA264" s="2" t="s">
        <v>71</v>
      </c>
      <c r="AB264" s="2" t="s">
        <v>71</v>
      </c>
      <c r="AC264" s="2" t="s">
        <v>71</v>
      </c>
      <c r="AD264" s="2" t="s">
        <v>72</v>
      </c>
      <c r="AE264" s="2" t="s">
        <v>72</v>
      </c>
      <c r="AF264" s="2" t="s">
        <v>72</v>
      </c>
      <c r="AG264" s="2" t="s">
        <v>72</v>
      </c>
      <c r="AH264" s="2" t="s">
        <v>91</v>
      </c>
      <c r="AI264" s="2">
        <v>1</v>
      </c>
    </row>
    <row r="265" spans="1:35" ht="32" x14ac:dyDescent="0.2">
      <c r="A265" s="2">
        <v>35990267</v>
      </c>
      <c r="B265" s="2">
        <f>VLOOKUP(A265,[1]TRATAMIENTI!$A:$B,2,FALSE)</f>
        <v>336</v>
      </c>
      <c r="C265" s="2" t="s">
        <v>604</v>
      </c>
      <c r="D265" s="2">
        <v>3234987545</v>
      </c>
      <c r="F265" s="2" t="s">
        <v>475</v>
      </c>
      <c r="G265" s="2" t="str">
        <f t="shared" si="4"/>
        <v>VALLE DEL CAUCA</v>
      </c>
      <c r="H265" s="2" t="s">
        <v>476</v>
      </c>
      <c r="I265" s="2" t="s">
        <v>477</v>
      </c>
      <c r="J265" s="2" t="s">
        <v>72</v>
      </c>
      <c r="K265" s="2" t="s">
        <v>72</v>
      </c>
      <c r="L265" s="2" t="s">
        <v>72</v>
      </c>
      <c r="M265" s="2" t="s">
        <v>72</v>
      </c>
      <c r="N265" s="2" t="s">
        <v>72</v>
      </c>
      <c r="O265" s="2" t="s">
        <v>72</v>
      </c>
      <c r="P265" s="2" t="s">
        <v>72</v>
      </c>
      <c r="Q265" s="2" t="s">
        <v>72</v>
      </c>
      <c r="R265" s="2" t="s">
        <v>71</v>
      </c>
      <c r="S265" s="2" t="s">
        <v>71</v>
      </c>
      <c r="T265" s="2" t="s">
        <v>71</v>
      </c>
      <c r="U265" s="2" t="s">
        <v>72</v>
      </c>
      <c r="V265" s="2" t="s">
        <v>72</v>
      </c>
      <c r="W265" s="2" t="s">
        <v>71</v>
      </c>
      <c r="X265" s="2" t="s">
        <v>71</v>
      </c>
      <c r="Y265" s="2" t="s">
        <v>71</v>
      </c>
      <c r="Z265" s="2" t="s">
        <v>71</v>
      </c>
      <c r="AA265" s="2" t="s">
        <v>71</v>
      </c>
      <c r="AB265" s="2" t="s">
        <v>71</v>
      </c>
      <c r="AC265" s="2" t="s">
        <v>71</v>
      </c>
      <c r="AD265" s="2" t="s">
        <v>72</v>
      </c>
      <c r="AE265" s="2" t="s">
        <v>72</v>
      </c>
      <c r="AF265" s="2" t="s">
        <v>72</v>
      </c>
      <c r="AG265" s="2" t="s">
        <v>72</v>
      </c>
      <c r="AH265" s="2" t="s">
        <v>80</v>
      </c>
      <c r="AI265" s="2">
        <v>2</v>
      </c>
    </row>
    <row r="266" spans="1:35" ht="32" x14ac:dyDescent="0.2">
      <c r="A266" s="2">
        <v>37253427</v>
      </c>
      <c r="B266" s="2">
        <f>VLOOKUP(A266,[1]TRATAMIENTI!$A:$B,2,FALSE)</f>
        <v>338</v>
      </c>
      <c r="C266" s="2" t="s">
        <v>605</v>
      </c>
      <c r="D266" s="2">
        <v>3135739656</v>
      </c>
      <c r="E266" s="2" t="s">
        <v>606</v>
      </c>
      <c r="F266" t="s">
        <v>561</v>
      </c>
      <c r="G266" s="2" t="str">
        <f t="shared" si="4"/>
        <v>VALLE DEL CAUCA</v>
      </c>
      <c r="H266" s="2" t="s">
        <v>476</v>
      </c>
      <c r="I266" s="2" t="s">
        <v>480</v>
      </c>
      <c r="J266" s="2" t="s">
        <v>71</v>
      </c>
      <c r="K266" s="2" t="s">
        <v>72</v>
      </c>
      <c r="L266" s="2" t="s">
        <v>72</v>
      </c>
      <c r="M266" s="2" t="s">
        <v>72</v>
      </c>
      <c r="N266" s="2" t="s">
        <v>72</v>
      </c>
      <c r="O266" s="2" t="s">
        <v>71</v>
      </c>
      <c r="P266" s="2" t="s">
        <v>71</v>
      </c>
      <c r="Q266" s="2" t="s">
        <v>71</v>
      </c>
      <c r="R266" s="2" t="s">
        <v>72</v>
      </c>
      <c r="S266" s="2" t="s">
        <v>71</v>
      </c>
      <c r="T266" s="2" t="s">
        <v>71</v>
      </c>
      <c r="U266" s="2" t="s">
        <v>72</v>
      </c>
      <c r="V266" s="2" t="s">
        <v>71</v>
      </c>
      <c r="W266" s="2" t="s">
        <v>71</v>
      </c>
      <c r="X266" s="2" t="s">
        <v>71</v>
      </c>
      <c r="Y266" s="2" t="s">
        <v>71</v>
      </c>
      <c r="Z266" s="2" t="s">
        <v>71</v>
      </c>
      <c r="AA266" s="2" t="s">
        <v>71</v>
      </c>
      <c r="AB266" s="2" t="s">
        <v>71</v>
      </c>
      <c r="AC266" s="2" t="s">
        <v>71</v>
      </c>
      <c r="AD266" s="2" t="s">
        <v>72</v>
      </c>
      <c r="AE266" s="2" t="s">
        <v>72</v>
      </c>
      <c r="AF266" s="2" t="s">
        <v>72</v>
      </c>
      <c r="AG266" s="2" t="s">
        <v>72</v>
      </c>
      <c r="AH266" s="2" t="s">
        <v>91</v>
      </c>
      <c r="AI266" s="2">
        <v>1</v>
      </c>
    </row>
    <row r="267" spans="1:35" ht="32" x14ac:dyDescent="0.2">
      <c r="A267" s="2">
        <v>38601290</v>
      </c>
      <c r="B267" s="2">
        <f>VLOOKUP(A267,[1]TRATAMIENTI!$A:$B,2,FALSE)</f>
        <v>339</v>
      </c>
      <c r="C267" s="2" t="s">
        <v>607</v>
      </c>
      <c r="D267" s="2">
        <v>3107183689</v>
      </c>
      <c r="E267" s="2" t="s">
        <v>608</v>
      </c>
      <c r="F267" s="2" t="s">
        <v>475</v>
      </c>
      <c r="G267" s="2" t="str">
        <f t="shared" si="4"/>
        <v>VALLE DEL CAUCA</v>
      </c>
      <c r="H267" s="2" t="s">
        <v>476</v>
      </c>
      <c r="I267" s="2" t="s">
        <v>480</v>
      </c>
      <c r="J267" s="2" t="s">
        <v>71</v>
      </c>
      <c r="K267" s="2" t="s">
        <v>71</v>
      </c>
      <c r="L267" s="2" t="s">
        <v>72</v>
      </c>
      <c r="M267" s="2" t="s">
        <v>72</v>
      </c>
      <c r="N267" s="2" t="s">
        <v>72</v>
      </c>
      <c r="O267" s="2" t="s">
        <v>72</v>
      </c>
      <c r="P267" s="2" t="s">
        <v>72</v>
      </c>
      <c r="Q267" s="2" t="s">
        <v>72</v>
      </c>
      <c r="R267" s="2" t="s">
        <v>72</v>
      </c>
      <c r="S267" s="2" t="s">
        <v>71</v>
      </c>
      <c r="T267" s="2" t="s">
        <v>72</v>
      </c>
      <c r="U267" s="2" t="s">
        <v>72</v>
      </c>
      <c r="V267" s="2" t="s">
        <v>71</v>
      </c>
      <c r="W267" s="2" t="s">
        <v>71</v>
      </c>
      <c r="X267" s="2" t="s">
        <v>71</v>
      </c>
      <c r="Y267" s="2" t="s">
        <v>71</v>
      </c>
      <c r="Z267" s="2" t="s">
        <v>71</v>
      </c>
      <c r="AA267" s="2" t="s">
        <v>72</v>
      </c>
      <c r="AB267" s="2" t="s">
        <v>72</v>
      </c>
      <c r="AD267" s="2" t="s">
        <v>72</v>
      </c>
      <c r="AE267" s="2" t="s">
        <v>72</v>
      </c>
      <c r="AF267" s="2" t="s">
        <v>72</v>
      </c>
      <c r="AG267" s="2" t="s">
        <v>72</v>
      </c>
      <c r="AH267" s="2" t="s">
        <v>80</v>
      </c>
      <c r="AI267" s="2">
        <v>1</v>
      </c>
    </row>
    <row r="268" spans="1:35" ht="32" x14ac:dyDescent="0.2">
      <c r="A268" s="2">
        <v>38665695</v>
      </c>
      <c r="B268" s="2">
        <f>VLOOKUP(A268,[1]TRATAMIENTI!$A:$B,2,FALSE)</f>
        <v>341</v>
      </c>
      <c r="C268" s="2" t="s">
        <v>609</v>
      </c>
      <c r="D268" s="2">
        <v>3185473733</v>
      </c>
      <c r="E268" s="2" t="s">
        <v>610</v>
      </c>
      <c r="F268" s="2" t="s">
        <v>475</v>
      </c>
      <c r="G268" s="2" t="str">
        <f t="shared" si="4"/>
        <v>VALLE DEL CAUCA</v>
      </c>
      <c r="H268" s="2" t="s">
        <v>476</v>
      </c>
      <c r="I268" s="2" t="s">
        <v>477</v>
      </c>
      <c r="J268" s="2" t="s">
        <v>72</v>
      </c>
      <c r="K268" s="2" t="s">
        <v>72</v>
      </c>
      <c r="L268" s="2" t="s">
        <v>72</v>
      </c>
      <c r="M268" s="2" t="s">
        <v>72</v>
      </c>
      <c r="N268" s="2" t="s">
        <v>72</v>
      </c>
      <c r="O268" s="2" t="s">
        <v>72</v>
      </c>
      <c r="P268" s="2" t="s">
        <v>72</v>
      </c>
      <c r="Q268" s="2" t="s">
        <v>72</v>
      </c>
      <c r="R268" s="2" t="s">
        <v>72</v>
      </c>
      <c r="S268" s="2" t="s">
        <v>71</v>
      </c>
      <c r="T268" s="2" t="s">
        <v>72</v>
      </c>
      <c r="U268" s="2" t="s">
        <v>72</v>
      </c>
      <c r="V268" s="2" t="s">
        <v>71</v>
      </c>
      <c r="W268" s="2" t="s">
        <v>71</v>
      </c>
      <c r="X268" s="2" t="s">
        <v>71</v>
      </c>
      <c r="Y268" s="2" t="s">
        <v>71</v>
      </c>
      <c r="Z268" s="2" t="s">
        <v>71</v>
      </c>
      <c r="AA268" s="2" t="s">
        <v>71</v>
      </c>
      <c r="AB268" s="2" t="s">
        <v>71</v>
      </c>
      <c r="AC268" s="2" t="s">
        <v>71</v>
      </c>
      <c r="AD268" s="2" t="s">
        <v>72</v>
      </c>
      <c r="AE268" s="2" t="s">
        <v>72</v>
      </c>
      <c r="AF268" s="2" t="s">
        <v>72</v>
      </c>
      <c r="AG268" s="2" t="s">
        <v>72</v>
      </c>
      <c r="AH268" s="2" t="s">
        <v>179</v>
      </c>
      <c r="AI268" s="2">
        <v>3</v>
      </c>
    </row>
    <row r="269" spans="1:35" ht="32" x14ac:dyDescent="0.2">
      <c r="A269" s="2">
        <v>38973256</v>
      </c>
      <c r="B269" s="2">
        <f>VLOOKUP(A269,[1]TRATAMIENTI!$A:$B,2,FALSE)</f>
        <v>344</v>
      </c>
      <c r="C269" s="2" t="s">
        <v>611</v>
      </c>
      <c r="D269" s="2">
        <v>3166815308</v>
      </c>
      <c r="E269" s="2" t="s">
        <v>612</v>
      </c>
      <c r="F269" s="2" t="s">
        <v>475</v>
      </c>
      <c r="G269" s="2" t="str">
        <f t="shared" si="4"/>
        <v>VALLE DEL CAUCA</v>
      </c>
      <c r="H269" s="2" t="s">
        <v>476</v>
      </c>
      <c r="I269" s="2" t="s">
        <v>480</v>
      </c>
      <c r="J269" s="2" t="s">
        <v>72</v>
      </c>
      <c r="K269" s="2" t="s">
        <v>72</v>
      </c>
      <c r="L269" s="2" t="s">
        <v>72</v>
      </c>
      <c r="M269" s="2" t="s">
        <v>72</v>
      </c>
      <c r="N269" s="2" t="s">
        <v>72</v>
      </c>
      <c r="O269" s="2" t="s">
        <v>72</v>
      </c>
      <c r="P269" s="2" t="s">
        <v>72</v>
      </c>
      <c r="Q269" s="2" t="s">
        <v>72</v>
      </c>
      <c r="R269" s="2" t="s">
        <v>72</v>
      </c>
      <c r="S269" s="2" t="s">
        <v>71</v>
      </c>
      <c r="T269" s="2" t="s">
        <v>72</v>
      </c>
      <c r="U269" s="2" t="s">
        <v>72</v>
      </c>
      <c r="V269" s="2" t="s">
        <v>71</v>
      </c>
      <c r="W269" s="2" t="s">
        <v>71</v>
      </c>
      <c r="X269" s="2" t="s">
        <v>71</v>
      </c>
      <c r="Y269" s="2" t="s">
        <v>71</v>
      </c>
      <c r="Z269" s="2" t="s">
        <v>71</v>
      </c>
      <c r="AA269" s="2" t="s">
        <v>72</v>
      </c>
      <c r="AB269" s="2" t="s">
        <v>72</v>
      </c>
      <c r="AC269" s="2" t="s">
        <v>72</v>
      </c>
      <c r="AD269" s="2" t="s">
        <v>72</v>
      </c>
      <c r="AE269" s="2" t="s">
        <v>72</v>
      </c>
      <c r="AF269" s="2" t="s">
        <v>72</v>
      </c>
      <c r="AG269" s="2" t="s">
        <v>72</v>
      </c>
      <c r="AH269" s="2" t="s">
        <v>91</v>
      </c>
      <c r="AI269" s="2">
        <v>1</v>
      </c>
    </row>
    <row r="270" spans="1:35" ht="32" x14ac:dyDescent="0.2">
      <c r="A270" s="2">
        <v>38992016</v>
      </c>
      <c r="B270" s="2">
        <f>VLOOKUP(A270,[1]TRATAMIENTI!$A:$B,2,FALSE)</f>
        <v>345</v>
      </c>
      <c r="C270" s="2" t="s">
        <v>613</v>
      </c>
      <c r="D270" s="2">
        <v>3137349435</v>
      </c>
      <c r="E270" s="2" t="s">
        <v>614</v>
      </c>
      <c r="F270" s="2" t="s">
        <v>615</v>
      </c>
      <c r="G270" s="2" t="str">
        <f t="shared" si="4"/>
        <v>VALLE DEL CAUCA</v>
      </c>
      <c r="H270" s="2" t="s">
        <v>476</v>
      </c>
      <c r="J270" s="2" t="s">
        <v>71</v>
      </c>
      <c r="K270" s="2" t="s">
        <v>71</v>
      </c>
      <c r="L270" s="2" t="s">
        <v>71</v>
      </c>
      <c r="M270" s="2" t="s">
        <v>71</v>
      </c>
      <c r="N270" s="2" t="s">
        <v>71</v>
      </c>
      <c r="O270" s="2" t="s">
        <v>72</v>
      </c>
      <c r="P270" s="2" t="s">
        <v>72</v>
      </c>
      <c r="Q270" s="2" t="s">
        <v>72</v>
      </c>
      <c r="R270" s="2" t="s">
        <v>72</v>
      </c>
      <c r="S270" s="2" t="s">
        <v>71</v>
      </c>
      <c r="T270" s="2" t="s">
        <v>72</v>
      </c>
      <c r="U270" s="2" t="s">
        <v>72</v>
      </c>
      <c r="V270" s="2" t="s">
        <v>71</v>
      </c>
      <c r="W270" s="2" t="s">
        <v>71</v>
      </c>
      <c r="X270" s="2" t="s">
        <v>71</v>
      </c>
      <c r="Y270" s="2" t="s">
        <v>71</v>
      </c>
      <c r="Z270" s="2" t="s">
        <v>71</v>
      </c>
      <c r="AA270" s="2" t="s">
        <v>71</v>
      </c>
      <c r="AB270" s="2" t="s">
        <v>71</v>
      </c>
      <c r="AC270" s="2" t="s">
        <v>71</v>
      </c>
      <c r="AD270" s="2" t="s">
        <v>71</v>
      </c>
      <c r="AE270" s="2" t="s">
        <v>71</v>
      </c>
      <c r="AF270" s="2" t="s">
        <v>71</v>
      </c>
      <c r="AG270" s="2" t="s">
        <v>71</v>
      </c>
      <c r="AH270" s="2" t="s">
        <v>179</v>
      </c>
      <c r="AI270" s="2">
        <v>3</v>
      </c>
    </row>
    <row r="271" spans="1:35" ht="32" x14ac:dyDescent="0.2">
      <c r="A271" s="2">
        <v>42061051</v>
      </c>
      <c r="B271" s="2">
        <f>VLOOKUP(A271,[1]TRATAMIENTI!$A:$B,2,FALSE)</f>
        <v>346</v>
      </c>
      <c r="C271" s="2" t="s">
        <v>616</v>
      </c>
      <c r="D271" s="2">
        <v>3167093788</v>
      </c>
      <c r="E271" s="2" t="s">
        <v>617</v>
      </c>
      <c r="F271" s="2" t="s">
        <v>475</v>
      </c>
      <c r="G271" s="2" t="str">
        <f t="shared" si="4"/>
        <v>VALLE DEL CAUCA</v>
      </c>
      <c r="H271" s="2" t="s">
        <v>476</v>
      </c>
      <c r="I271" s="2" t="s">
        <v>480</v>
      </c>
      <c r="J271" s="2" t="s">
        <v>71</v>
      </c>
      <c r="K271" s="2" t="s">
        <v>72</v>
      </c>
      <c r="L271" s="2" t="s">
        <v>72</v>
      </c>
      <c r="M271" s="2" t="s">
        <v>72</v>
      </c>
      <c r="N271" s="2" t="s">
        <v>72</v>
      </c>
      <c r="O271" s="2" t="s">
        <v>71</v>
      </c>
      <c r="P271" s="2" t="s">
        <v>71</v>
      </c>
      <c r="Q271" s="2" t="s">
        <v>71</v>
      </c>
      <c r="R271" s="2" t="s">
        <v>71</v>
      </c>
      <c r="S271" s="2" t="s">
        <v>71</v>
      </c>
      <c r="T271" s="2" t="s">
        <v>71</v>
      </c>
      <c r="U271" s="2" t="s">
        <v>71</v>
      </c>
      <c r="V271" s="2" t="s">
        <v>71</v>
      </c>
      <c r="W271" s="2" t="s">
        <v>71</v>
      </c>
      <c r="X271" s="2" t="s">
        <v>71</v>
      </c>
      <c r="Y271" s="2" t="s">
        <v>71</v>
      </c>
      <c r="Z271" s="2" t="s">
        <v>71</v>
      </c>
      <c r="AA271" s="2" t="s">
        <v>71</v>
      </c>
      <c r="AB271" s="2" t="s">
        <v>71</v>
      </c>
      <c r="AC271" s="2" t="s">
        <v>71</v>
      </c>
      <c r="AD271" s="2" t="s">
        <v>71</v>
      </c>
      <c r="AE271" s="2" t="s">
        <v>71</v>
      </c>
      <c r="AF271" s="2" t="s">
        <v>71</v>
      </c>
      <c r="AG271" s="2" t="s">
        <v>71</v>
      </c>
      <c r="AH271" s="2" t="s">
        <v>80</v>
      </c>
      <c r="AI271" s="2">
        <v>2</v>
      </c>
    </row>
    <row r="272" spans="1:35" ht="32" x14ac:dyDescent="0.2">
      <c r="A272" s="2">
        <v>4698774</v>
      </c>
      <c r="B272" s="2">
        <f>VLOOKUP(A272,[1]TRATAMIENTI!$A:$B,2,FALSE)</f>
        <v>348</v>
      </c>
      <c r="C272" s="2" t="s">
        <v>618</v>
      </c>
      <c r="D272" s="2">
        <v>3113903410</v>
      </c>
      <c r="E272" s="2" t="s">
        <v>619</v>
      </c>
      <c r="F272" s="2" t="s">
        <v>475</v>
      </c>
      <c r="G272" s="2" t="str">
        <f t="shared" si="4"/>
        <v>VALLE DEL CAUCA</v>
      </c>
      <c r="H272" s="2" t="s">
        <v>476</v>
      </c>
      <c r="I272" s="2" t="s">
        <v>513</v>
      </c>
      <c r="J272" s="2" t="s">
        <v>72</v>
      </c>
      <c r="K272" s="2" t="s">
        <v>72</v>
      </c>
      <c r="L272" s="2" t="s">
        <v>72</v>
      </c>
      <c r="M272" s="2" t="s">
        <v>72</v>
      </c>
      <c r="N272" s="2" t="s">
        <v>72</v>
      </c>
      <c r="O272" s="2" t="s">
        <v>72</v>
      </c>
      <c r="P272" s="2" t="s">
        <v>72</v>
      </c>
      <c r="Q272" s="2" t="s">
        <v>72</v>
      </c>
      <c r="R272" s="2" t="s">
        <v>72</v>
      </c>
      <c r="S272" s="2" t="s">
        <v>71</v>
      </c>
      <c r="T272" s="2" t="s">
        <v>72</v>
      </c>
      <c r="U272" s="2" t="s">
        <v>72</v>
      </c>
      <c r="V272" s="2" t="s">
        <v>71</v>
      </c>
      <c r="W272" s="2" t="s">
        <v>71</v>
      </c>
      <c r="X272" s="2" t="s">
        <v>71</v>
      </c>
      <c r="Y272" s="2" t="s">
        <v>71</v>
      </c>
      <c r="Z272" s="2" t="s">
        <v>71</v>
      </c>
      <c r="AA272" s="2" t="s">
        <v>71</v>
      </c>
      <c r="AB272" s="2" t="s">
        <v>71</v>
      </c>
      <c r="AC272" s="2" t="s">
        <v>71</v>
      </c>
      <c r="AD272" s="2" t="s">
        <v>72</v>
      </c>
      <c r="AE272" s="2" t="s">
        <v>72</v>
      </c>
      <c r="AF272" s="2" t="s">
        <v>72</v>
      </c>
      <c r="AG272" s="2" t="s">
        <v>72</v>
      </c>
      <c r="AH272" s="2" t="s">
        <v>91</v>
      </c>
      <c r="AI272" s="2">
        <v>1</v>
      </c>
    </row>
    <row r="273" spans="1:35" ht="32" x14ac:dyDescent="0.2">
      <c r="A273" s="2">
        <v>6307220</v>
      </c>
      <c r="B273" s="2">
        <f>VLOOKUP(A273,[1]TRATAMIENTI!$A:$B,2,FALSE)</f>
        <v>353</v>
      </c>
      <c r="C273" s="2" t="s">
        <v>620</v>
      </c>
      <c r="D273" s="2">
        <v>3182656477</v>
      </c>
      <c r="E273" s="2" t="s">
        <v>621</v>
      </c>
      <c r="F273" s="2" t="s">
        <v>475</v>
      </c>
      <c r="G273" s="2" t="str">
        <f t="shared" si="4"/>
        <v>VALLE DEL CAUCA</v>
      </c>
      <c r="H273" s="2" t="s">
        <v>476</v>
      </c>
      <c r="I273" s="2" t="s">
        <v>480</v>
      </c>
      <c r="J273" s="2" t="s">
        <v>71</v>
      </c>
      <c r="K273" s="2" t="s">
        <v>72</v>
      </c>
      <c r="L273" s="2" t="s">
        <v>71</v>
      </c>
      <c r="M273" s="2" t="s">
        <v>71</v>
      </c>
      <c r="N273" s="2" t="s">
        <v>71</v>
      </c>
      <c r="O273" s="2" t="s">
        <v>72</v>
      </c>
      <c r="P273" s="2" t="s">
        <v>72</v>
      </c>
      <c r="Q273" s="2" t="s">
        <v>72</v>
      </c>
      <c r="R273" s="2" t="s">
        <v>72</v>
      </c>
      <c r="T273" s="2" t="s">
        <v>72</v>
      </c>
      <c r="U273" s="2" t="s">
        <v>72</v>
      </c>
      <c r="V273" s="2" t="s">
        <v>71</v>
      </c>
      <c r="W273" s="2" t="s">
        <v>71</v>
      </c>
      <c r="X273" s="2" t="s">
        <v>71</v>
      </c>
      <c r="Y273" s="2" t="s">
        <v>71</v>
      </c>
      <c r="Z273" s="2" t="s">
        <v>71</v>
      </c>
      <c r="AA273" s="2" t="s">
        <v>72</v>
      </c>
      <c r="AB273" s="2" t="s">
        <v>72</v>
      </c>
      <c r="AC273" s="2" t="s">
        <v>71</v>
      </c>
      <c r="AD273" s="2" t="s">
        <v>72</v>
      </c>
      <c r="AE273" s="2" t="s">
        <v>72</v>
      </c>
      <c r="AF273" s="2" t="s">
        <v>72</v>
      </c>
      <c r="AG273" s="2" t="s">
        <v>72</v>
      </c>
      <c r="AH273" s="2" t="s">
        <v>91</v>
      </c>
      <c r="AI273" s="2">
        <v>1</v>
      </c>
    </row>
    <row r="274" spans="1:35" ht="32" x14ac:dyDescent="0.2">
      <c r="A274" s="2">
        <v>65815427</v>
      </c>
      <c r="B274" s="2">
        <f>VLOOKUP(A274,[1]TRATAMIENTI!$A:$B,2,FALSE)</f>
        <v>354</v>
      </c>
      <c r="C274" s="2" t="s">
        <v>622</v>
      </c>
      <c r="D274" s="2">
        <v>3233793027</v>
      </c>
      <c r="E274" s="2" t="s">
        <v>623</v>
      </c>
      <c r="F274" s="2" t="s">
        <v>475</v>
      </c>
      <c r="G274" s="2" t="str">
        <f t="shared" si="4"/>
        <v>VALLE DEL CAUCA</v>
      </c>
      <c r="H274" s="2" t="s">
        <v>476</v>
      </c>
      <c r="I274" s="2" t="s">
        <v>480</v>
      </c>
      <c r="J274" s="2" t="s">
        <v>72</v>
      </c>
      <c r="K274" s="2" t="s">
        <v>72</v>
      </c>
      <c r="L274" s="2" t="s">
        <v>72</v>
      </c>
      <c r="M274" s="2" t="s">
        <v>72</v>
      </c>
      <c r="N274" s="2" t="s">
        <v>72</v>
      </c>
      <c r="O274" s="2" t="s">
        <v>72</v>
      </c>
      <c r="P274" s="2" t="s">
        <v>72</v>
      </c>
      <c r="Q274" s="2" t="s">
        <v>72</v>
      </c>
      <c r="R274" s="2" t="s">
        <v>72</v>
      </c>
      <c r="S274" s="2" t="s">
        <v>71</v>
      </c>
      <c r="T274" s="2" t="s">
        <v>72</v>
      </c>
      <c r="U274" s="2" t="s">
        <v>72</v>
      </c>
      <c r="V274" s="2" t="s">
        <v>71</v>
      </c>
      <c r="W274" s="2" t="s">
        <v>71</v>
      </c>
      <c r="X274" s="2" t="s">
        <v>71</v>
      </c>
      <c r="Y274" s="2" t="s">
        <v>71</v>
      </c>
      <c r="Z274" s="2" t="s">
        <v>71</v>
      </c>
      <c r="AA274" s="2" t="s">
        <v>72</v>
      </c>
      <c r="AB274" s="2" t="s">
        <v>72</v>
      </c>
      <c r="AC274" s="2" t="s">
        <v>71</v>
      </c>
      <c r="AD274" s="2" t="s">
        <v>72</v>
      </c>
      <c r="AE274" s="2" t="s">
        <v>72</v>
      </c>
      <c r="AF274" s="2" t="s">
        <v>71</v>
      </c>
      <c r="AH274" s="2" t="s">
        <v>80</v>
      </c>
      <c r="AI274" s="2">
        <v>2</v>
      </c>
    </row>
    <row r="275" spans="1:35" ht="32" x14ac:dyDescent="0.2">
      <c r="A275" s="2">
        <v>66819007</v>
      </c>
      <c r="B275" s="2">
        <f>VLOOKUP(A275,[1]TRATAMIENTI!$A:$B,2,FALSE)</f>
        <v>355</v>
      </c>
      <c r="C275" s="2" t="s">
        <v>624</v>
      </c>
      <c r="D275" s="2">
        <v>3108471665</v>
      </c>
      <c r="E275" s="2" t="s">
        <v>625</v>
      </c>
      <c r="F275" s="2" t="s">
        <v>475</v>
      </c>
      <c r="G275" s="2" t="str">
        <f t="shared" si="4"/>
        <v>VALLE DEL CAUCA</v>
      </c>
      <c r="H275" s="2" t="s">
        <v>476</v>
      </c>
      <c r="I275" s="2" t="s">
        <v>480</v>
      </c>
      <c r="J275" s="2" t="s">
        <v>72</v>
      </c>
      <c r="K275" s="2" t="s">
        <v>72</v>
      </c>
      <c r="L275" s="2" t="s">
        <v>72</v>
      </c>
      <c r="M275" s="2" t="s">
        <v>72</v>
      </c>
      <c r="N275" s="2" t="s">
        <v>72</v>
      </c>
      <c r="O275" s="2" t="s">
        <v>71</v>
      </c>
      <c r="P275" s="2" t="s">
        <v>71</v>
      </c>
      <c r="Q275" s="2" t="s">
        <v>71</v>
      </c>
      <c r="R275" s="2" t="s">
        <v>72</v>
      </c>
      <c r="S275" s="2" t="s">
        <v>71</v>
      </c>
      <c r="T275" s="2" t="s">
        <v>72</v>
      </c>
      <c r="U275" s="2" t="s">
        <v>72</v>
      </c>
      <c r="V275" s="2" t="s">
        <v>71</v>
      </c>
      <c r="W275" s="2" t="s">
        <v>71</v>
      </c>
      <c r="X275" s="2" t="s">
        <v>71</v>
      </c>
      <c r="Y275" s="2" t="s">
        <v>71</v>
      </c>
      <c r="Z275" s="2" t="s">
        <v>71</v>
      </c>
      <c r="AA275" s="2" t="s">
        <v>72</v>
      </c>
      <c r="AB275" s="2" t="s">
        <v>72</v>
      </c>
      <c r="AC275" s="2" t="s">
        <v>71</v>
      </c>
      <c r="AD275" s="2" t="s">
        <v>72</v>
      </c>
      <c r="AE275" s="2" t="s">
        <v>72</v>
      </c>
      <c r="AF275" s="2" t="s">
        <v>72</v>
      </c>
      <c r="AG275" s="2" t="s">
        <v>72</v>
      </c>
      <c r="AH275" s="2" t="s">
        <v>85</v>
      </c>
      <c r="AI275" s="2">
        <v>1</v>
      </c>
    </row>
    <row r="276" spans="1:35" ht="32" x14ac:dyDescent="0.2">
      <c r="A276" s="2">
        <v>66850119</v>
      </c>
      <c r="B276" s="2">
        <f>VLOOKUP(A276,[1]TRATAMIENTI!$A:$B,2,FALSE)</f>
        <v>357</v>
      </c>
      <c r="C276" s="2" t="s">
        <v>626</v>
      </c>
      <c r="D276" s="2">
        <v>3045844131</v>
      </c>
      <c r="E276" s="2" t="s">
        <v>627</v>
      </c>
      <c r="F276" s="2" t="s">
        <v>475</v>
      </c>
      <c r="G276" s="2" t="str">
        <f t="shared" si="4"/>
        <v>VALLE DEL CAUCA</v>
      </c>
      <c r="H276" s="2" t="s">
        <v>476</v>
      </c>
      <c r="I276" s="2" t="s">
        <v>480</v>
      </c>
      <c r="J276" s="2" t="s">
        <v>72</v>
      </c>
      <c r="K276" s="2" t="s">
        <v>71</v>
      </c>
      <c r="L276" s="2" t="s">
        <v>72</v>
      </c>
      <c r="M276" s="2" t="s">
        <v>72</v>
      </c>
      <c r="N276" s="2" t="s">
        <v>72</v>
      </c>
      <c r="O276" s="2" t="s">
        <v>72</v>
      </c>
      <c r="P276" s="2" t="s">
        <v>72</v>
      </c>
      <c r="Q276" s="2" t="s">
        <v>72</v>
      </c>
      <c r="R276" s="2" t="s">
        <v>72</v>
      </c>
      <c r="S276" s="2" t="s">
        <v>72</v>
      </c>
      <c r="T276" s="2" t="s">
        <v>72</v>
      </c>
      <c r="U276" s="2" t="s">
        <v>72</v>
      </c>
      <c r="V276" s="2" t="s">
        <v>71</v>
      </c>
      <c r="W276" s="2" t="s">
        <v>71</v>
      </c>
      <c r="X276" s="2" t="s">
        <v>71</v>
      </c>
      <c r="Y276" s="2" t="s">
        <v>71</v>
      </c>
      <c r="Z276" s="2" t="s">
        <v>71</v>
      </c>
      <c r="AA276" s="2" t="s">
        <v>71</v>
      </c>
      <c r="AB276" s="2" t="s">
        <v>71</v>
      </c>
      <c r="AC276" s="2" t="s">
        <v>71</v>
      </c>
      <c r="AD276" s="2" t="s">
        <v>72</v>
      </c>
      <c r="AE276" s="2" t="s">
        <v>72</v>
      </c>
      <c r="AF276" s="2" t="s">
        <v>72</v>
      </c>
      <c r="AG276" s="2" t="s">
        <v>72</v>
      </c>
      <c r="AH276" s="2" t="s">
        <v>80</v>
      </c>
      <c r="AI276" s="2">
        <v>1</v>
      </c>
    </row>
    <row r="277" spans="1:35" ht="32" x14ac:dyDescent="0.2">
      <c r="A277" s="2">
        <v>66865510</v>
      </c>
      <c r="B277" s="2">
        <f>VLOOKUP(A277,[1]TRATAMIENTI!$A:$B,2,FALSE)</f>
        <v>358</v>
      </c>
      <c r="C277" s="2" t="s">
        <v>628</v>
      </c>
      <c r="D277" s="2">
        <v>3163984190</v>
      </c>
      <c r="E277" s="2" t="s">
        <v>629</v>
      </c>
      <c r="F277" s="2" t="s">
        <v>475</v>
      </c>
      <c r="G277" s="2" t="str">
        <f t="shared" si="4"/>
        <v>VALLE DEL CAUCA</v>
      </c>
      <c r="H277" s="2" t="s">
        <v>476</v>
      </c>
      <c r="I277" s="2" t="s">
        <v>480</v>
      </c>
      <c r="J277" s="2" t="s">
        <v>72</v>
      </c>
      <c r="K277" s="2" t="s">
        <v>72</v>
      </c>
      <c r="L277" s="2" t="s">
        <v>72</v>
      </c>
      <c r="M277" s="2" t="s">
        <v>72</v>
      </c>
      <c r="N277" s="2" t="s">
        <v>72</v>
      </c>
      <c r="O277" s="2" t="s">
        <v>72</v>
      </c>
      <c r="P277" s="2" t="s">
        <v>72</v>
      </c>
      <c r="Q277" s="2" t="s">
        <v>72</v>
      </c>
      <c r="S277" s="2" t="s">
        <v>71</v>
      </c>
      <c r="T277" s="2" t="s">
        <v>72</v>
      </c>
      <c r="U277" s="2" t="s">
        <v>72</v>
      </c>
      <c r="V277" s="2" t="s">
        <v>71</v>
      </c>
      <c r="W277" s="2" t="s">
        <v>71</v>
      </c>
      <c r="X277" s="2" t="s">
        <v>71</v>
      </c>
      <c r="Y277" s="2" t="s">
        <v>71</v>
      </c>
      <c r="Z277" s="2" t="s">
        <v>71</v>
      </c>
      <c r="AA277" s="2" t="s">
        <v>71</v>
      </c>
      <c r="AB277" s="2" t="s">
        <v>71</v>
      </c>
      <c r="AC277" s="2" t="s">
        <v>71</v>
      </c>
      <c r="AD277" s="2" t="s">
        <v>72</v>
      </c>
      <c r="AE277" s="2" t="s">
        <v>72</v>
      </c>
      <c r="AF277" s="2" t="s">
        <v>72</v>
      </c>
      <c r="AG277" s="2" t="s">
        <v>72</v>
      </c>
      <c r="AH277" s="2" t="s">
        <v>91</v>
      </c>
      <c r="AI277" s="2">
        <v>1</v>
      </c>
    </row>
    <row r="278" spans="1:35" ht="32" x14ac:dyDescent="0.2">
      <c r="A278" s="2">
        <v>66914158</v>
      </c>
      <c r="B278" s="2">
        <f>VLOOKUP(A278,[1]TRATAMIENTI!$A:$B,2,FALSE)</f>
        <v>363</v>
      </c>
      <c r="C278" s="2" t="s">
        <v>630</v>
      </c>
      <c r="D278" s="2">
        <v>3137402468</v>
      </c>
      <c r="E278" s="2" t="s">
        <v>631</v>
      </c>
      <c r="F278" s="2" t="s">
        <v>475</v>
      </c>
      <c r="G278" s="2" t="str">
        <f t="shared" si="4"/>
        <v>VALLE DEL CAUCA</v>
      </c>
      <c r="H278" s="2" t="s">
        <v>476</v>
      </c>
      <c r="I278" s="2" t="s">
        <v>477</v>
      </c>
      <c r="J278" s="2" t="s">
        <v>71</v>
      </c>
      <c r="K278" s="2" t="s">
        <v>71</v>
      </c>
      <c r="L278" s="2" t="s">
        <v>71</v>
      </c>
      <c r="M278" s="2" t="s">
        <v>71</v>
      </c>
      <c r="N278" s="2" t="s">
        <v>71</v>
      </c>
      <c r="O278" s="2" t="s">
        <v>72</v>
      </c>
      <c r="P278" s="2" t="s">
        <v>72</v>
      </c>
      <c r="Q278" s="2" t="s">
        <v>72</v>
      </c>
      <c r="R278" s="2" t="s">
        <v>72</v>
      </c>
      <c r="S278" s="2" t="s">
        <v>71</v>
      </c>
      <c r="T278" s="2" t="s">
        <v>72</v>
      </c>
      <c r="U278" s="2" t="s">
        <v>72</v>
      </c>
      <c r="V278" s="2" t="s">
        <v>71</v>
      </c>
      <c r="W278" s="2" t="s">
        <v>71</v>
      </c>
      <c r="X278" s="2" t="s">
        <v>71</v>
      </c>
      <c r="Y278" s="2" t="s">
        <v>71</v>
      </c>
      <c r="Z278" s="2" t="s">
        <v>71</v>
      </c>
      <c r="AA278" s="2" t="s">
        <v>71</v>
      </c>
      <c r="AB278" s="2" t="s">
        <v>71</v>
      </c>
      <c r="AC278" s="2" t="s">
        <v>71</v>
      </c>
      <c r="AD278" s="2" t="s">
        <v>72</v>
      </c>
      <c r="AE278" s="2" t="s">
        <v>72</v>
      </c>
      <c r="AF278" s="2" t="s">
        <v>72</v>
      </c>
      <c r="AG278" s="2" t="s">
        <v>72</v>
      </c>
      <c r="AH278" s="2" t="s">
        <v>179</v>
      </c>
      <c r="AI278" s="2">
        <v>3</v>
      </c>
    </row>
    <row r="279" spans="1:35" ht="32" x14ac:dyDescent="0.2">
      <c r="A279" s="2">
        <v>66914781</v>
      </c>
      <c r="B279" s="2">
        <f>VLOOKUP(A279,[1]TRATAMIENTI!$A:$B,2,FALSE)</f>
        <v>364</v>
      </c>
      <c r="C279" s="2" t="s">
        <v>632</v>
      </c>
      <c r="D279" s="2">
        <v>3104633547</v>
      </c>
      <c r="E279" s="2" t="s">
        <v>633</v>
      </c>
      <c r="F279" s="2" t="s">
        <v>475</v>
      </c>
      <c r="G279" s="2" t="str">
        <f t="shared" si="4"/>
        <v>VALLE DEL CAUCA</v>
      </c>
      <c r="H279" s="2" t="s">
        <v>476</v>
      </c>
      <c r="I279" s="2" t="s">
        <v>480</v>
      </c>
      <c r="J279" s="2" t="s">
        <v>72</v>
      </c>
      <c r="K279" s="2" t="s">
        <v>72</v>
      </c>
      <c r="L279" s="2" t="s">
        <v>72</v>
      </c>
      <c r="M279" s="2" t="s">
        <v>72</v>
      </c>
      <c r="N279" s="2" t="s">
        <v>72</v>
      </c>
      <c r="O279" s="2" t="s">
        <v>71</v>
      </c>
      <c r="P279" s="2" t="s">
        <v>71</v>
      </c>
      <c r="Q279" s="2" t="s">
        <v>71</v>
      </c>
      <c r="R279" s="2" t="s">
        <v>71</v>
      </c>
      <c r="T279" s="2" t="s">
        <v>71</v>
      </c>
      <c r="U279" s="2" t="s">
        <v>72</v>
      </c>
      <c r="V279" s="2" t="s">
        <v>71</v>
      </c>
      <c r="W279" s="2" t="s">
        <v>71</v>
      </c>
      <c r="X279" s="2" t="s">
        <v>71</v>
      </c>
      <c r="Y279" s="2" t="s">
        <v>71</v>
      </c>
      <c r="Z279" s="2" t="s">
        <v>71</v>
      </c>
      <c r="AA279" s="2" t="s">
        <v>72</v>
      </c>
      <c r="AB279" s="2" t="s">
        <v>72</v>
      </c>
      <c r="AC279" s="2" t="s">
        <v>71</v>
      </c>
      <c r="AD279" s="2" t="s">
        <v>72</v>
      </c>
      <c r="AE279" s="2" t="s">
        <v>72</v>
      </c>
      <c r="AF279" s="2" t="s">
        <v>72</v>
      </c>
      <c r="AG279" s="2" t="s">
        <v>72</v>
      </c>
      <c r="AH279" s="2" t="s">
        <v>256</v>
      </c>
      <c r="AI279" s="2">
        <v>3</v>
      </c>
    </row>
    <row r="280" spans="1:35" ht="32" x14ac:dyDescent="0.2">
      <c r="A280" s="2">
        <v>66922979</v>
      </c>
      <c r="B280" s="2">
        <f>VLOOKUP(A280,[1]TRATAMIENTI!$A:$B,2,FALSE)</f>
        <v>365</v>
      </c>
      <c r="C280" s="2" t="s">
        <v>634</v>
      </c>
      <c r="D280" s="2">
        <v>3136812264</v>
      </c>
      <c r="E280" s="2" t="s">
        <v>635</v>
      </c>
      <c r="F280" s="2" t="s">
        <v>475</v>
      </c>
      <c r="G280" s="2" t="str">
        <f t="shared" si="4"/>
        <v>VALLE DEL CAUCA</v>
      </c>
      <c r="H280" s="2" t="s">
        <v>476</v>
      </c>
      <c r="I280" s="2" t="s">
        <v>480</v>
      </c>
      <c r="J280" s="2" t="s">
        <v>71</v>
      </c>
      <c r="K280" s="2" t="s">
        <v>71</v>
      </c>
      <c r="L280" s="2" t="s">
        <v>72</v>
      </c>
      <c r="M280" s="2" t="s">
        <v>72</v>
      </c>
      <c r="N280" s="2" t="s">
        <v>72</v>
      </c>
      <c r="O280" s="2" t="s">
        <v>71</v>
      </c>
      <c r="P280" s="2" t="s">
        <v>72</v>
      </c>
      <c r="Q280" s="2" t="s">
        <v>72</v>
      </c>
      <c r="R280" s="2" t="s">
        <v>72</v>
      </c>
      <c r="S280" s="2" t="s">
        <v>71</v>
      </c>
      <c r="T280" s="2" t="s">
        <v>72</v>
      </c>
      <c r="U280" s="2" t="s">
        <v>72</v>
      </c>
      <c r="V280" s="2" t="s">
        <v>71</v>
      </c>
      <c r="W280" s="2" t="s">
        <v>71</v>
      </c>
      <c r="X280" s="2" t="s">
        <v>71</v>
      </c>
      <c r="Y280" s="2" t="s">
        <v>71</v>
      </c>
      <c r="Z280" s="2" t="s">
        <v>71</v>
      </c>
      <c r="AA280" s="2" t="s">
        <v>72</v>
      </c>
      <c r="AB280" s="2" t="s">
        <v>72</v>
      </c>
      <c r="AC280" s="2" t="s">
        <v>71</v>
      </c>
      <c r="AD280" s="2" t="s">
        <v>72</v>
      </c>
      <c r="AE280" s="2" t="s">
        <v>72</v>
      </c>
      <c r="AF280" s="2" t="s">
        <v>72</v>
      </c>
      <c r="AG280" s="2" t="s">
        <v>72</v>
      </c>
      <c r="AH280" s="2" t="s">
        <v>80</v>
      </c>
      <c r="AI280" s="2">
        <v>2</v>
      </c>
    </row>
    <row r="281" spans="1:35" ht="32" x14ac:dyDescent="0.2">
      <c r="A281" s="2">
        <v>66983263</v>
      </c>
      <c r="B281" s="2">
        <f>VLOOKUP(A281,[1]TRATAMIENTI!$A:$B,2,FALSE)</f>
        <v>366</v>
      </c>
      <c r="C281" s="2" t="s">
        <v>636</v>
      </c>
      <c r="D281" s="2">
        <v>3173598248</v>
      </c>
      <c r="E281" s="2" t="s">
        <v>637</v>
      </c>
      <c r="F281" s="2" t="s">
        <v>615</v>
      </c>
      <c r="G281" s="2" t="str">
        <f t="shared" si="4"/>
        <v>VALLE DEL CAUCA</v>
      </c>
      <c r="H281" s="2" t="s">
        <v>476</v>
      </c>
      <c r="I281" s="2" t="s">
        <v>477</v>
      </c>
      <c r="J281" s="2" t="s">
        <v>72</v>
      </c>
      <c r="K281" s="2" t="s">
        <v>72</v>
      </c>
      <c r="L281" s="2" t="s">
        <v>72</v>
      </c>
      <c r="M281" s="2" t="s">
        <v>72</v>
      </c>
      <c r="N281" s="2" t="s">
        <v>72</v>
      </c>
      <c r="O281" s="2" t="s">
        <v>72</v>
      </c>
      <c r="P281" s="2" t="s">
        <v>72</v>
      </c>
      <c r="Q281" s="2" t="s">
        <v>72</v>
      </c>
      <c r="R281" s="2" t="s">
        <v>72</v>
      </c>
      <c r="S281" s="2" t="s">
        <v>71</v>
      </c>
      <c r="T281" s="2" t="s">
        <v>72</v>
      </c>
      <c r="U281" s="2" t="s">
        <v>72</v>
      </c>
      <c r="V281" s="2" t="s">
        <v>71</v>
      </c>
      <c r="W281" s="2" t="s">
        <v>71</v>
      </c>
      <c r="X281" s="2" t="s">
        <v>71</v>
      </c>
      <c r="Y281" s="2" t="s">
        <v>71</v>
      </c>
      <c r="Z281" s="2" t="s">
        <v>71</v>
      </c>
      <c r="AA281" s="2" t="s">
        <v>71</v>
      </c>
      <c r="AB281" s="2" t="s">
        <v>71</v>
      </c>
      <c r="AC281" s="2" t="s">
        <v>71</v>
      </c>
      <c r="AD281" s="2" t="s">
        <v>72</v>
      </c>
      <c r="AE281" s="2" t="s">
        <v>72</v>
      </c>
      <c r="AF281" s="2" t="s">
        <v>72</v>
      </c>
      <c r="AG281" s="2" t="s">
        <v>72</v>
      </c>
      <c r="AH281" s="2" t="s">
        <v>80</v>
      </c>
      <c r="AI281" s="2">
        <v>1</v>
      </c>
    </row>
    <row r="282" spans="1:35" ht="32" x14ac:dyDescent="0.2">
      <c r="A282" s="2">
        <v>66993543</v>
      </c>
      <c r="B282" s="2">
        <f>VLOOKUP(A282,[1]TRATAMIENTI!$A:$B,2,FALSE)</f>
        <v>367</v>
      </c>
      <c r="C282" s="2" t="s">
        <v>638</v>
      </c>
      <c r="D282" s="2">
        <v>3216478912</v>
      </c>
      <c r="E282" s="2" t="s">
        <v>639</v>
      </c>
      <c r="F282" s="2" t="s">
        <v>475</v>
      </c>
      <c r="G282" s="2" t="str">
        <f t="shared" si="4"/>
        <v>VALLE DEL CAUCA</v>
      </c>
      <c r="H282" s="2" t="s">
        <v>476</v>
      </c>
      <c r="I282" s="2" t="s">
        <v>480</v>
      </c>
      <c r="K282" s="2" t="s">
        <v>72</v>
      </c>
      <c r="L282" s="2" t="s">
        <v>72</v>
      </c>
      <c r="M282" s="2" t="s">
        <v>72</v>
      </c>
      <c r="N282" s="2" t="s">
        <v>72</v>
      </c>
      <c r="O282" s="2" t="s">
        <v>72</v>
      </c>
      <c r="P282" s="2" t="s">
        <v>72</v>
      </c>
      <c r="Q282" s="2" t="s">
        <v>72</v>
      </c>
      <c r="R282" s="2" t="s">
        <v>72</v>
      </c>
      <c r="S282" s="2" t="s">
        <v>71</v>
      </c>
      <c r="T282" s="2" t="s">
        <v>72</v>
      </c>
      <c r="U282" s="2" t="s">
        <v>72</v>
      </c>
      <c r="V282" s="2" t="s">
        <v>71</v>
      </c>
      <c r="W282" s="2" t="s">
        <v>71</v>
      </c>
      <c r="X282" s="2" t="s">
        <v>71</v>
      </c>
      <c r="Y282" s="2" t="s">
        <v>71</v>
      </c>
      <c r="Z282" s="2" t="s">
        <v>71</v>
      </c>
      <c r="AA282" s="2" t="s">
        <v>71</v>
      </c>
      <c r="AB282" s="2" t="s">
        <v>71</v>
      </c>
      <c r="AC282" s="2" t="s">
        <v>71</v>
      </c>
      <c r="AD282" s="2" t="s">
        <v>72</v>
      </c>
      <c r="AE282" s="2" t="s">
        <v>72</v>
      </c>
      <c r="AF282" s="2" t="s">
        <v>72</v>
      </c>
      <c r="AG282" s="2" t="s">
        <v>72</v>
      </c>
      <c r="AH282" s="2" t="s">
        <v>80</v>
      </c>
      <c r="AI282" s="2">
        <v>1</v>
      </c>
    </row>
    <row r="283" spans="1:35" ht="32" x14ac:dyDescent="0.2">
      <c r="A283" s="2">
        <v>66996132</v>
      </c>
      <c r="B283" s="2">
        <f>VLOOKUP(A283,[1]TRATAMIENTI!$A:$B,2,FALSE)</f>
        <v>368</v>
      </c>
      <c r="C283" s="2" t="s">
        <v>640</v>
      </c>
      <c r="D283" s="2">
        <v>3105455926</v>
      </c>
      <c r="E283" s="2" t="s">
        <v>641</v>
      </c>
      <c r="F283" s="2" t="s">
        <v>475</v>
      </c>
      <c r="G283" s="2" t="str">
        <f t="shared" si="4"/>
        <v>VALLE DEL CAUCA</v>
      </c>
      <c r="H283" s="2" t="s">
        <v>476</v>
      </c>
      <c r="I283" s="2" t="s">
        <v>480</v>
      </c>
      <c r="J283" s="2" t="s">
        <v>71</v>
      </c>
      <c r="K283" s="2" t="s">
        <v>72</v>
      </c>
      <c r="L283" s="2" t="s">
        <v>72</v>
      </c>
      <c r="M283" s="2" t="s">
        <v>72</v>
      </c>
      <c r="N283" s="2" t="s">
        <v>72</v>
      </c>
      <c r="O283" s="2" t="s">
        <v>72</v>
      </c>
      <c r="P283" s="2" t="s">
        <v>72</v>
      </c>
      <c r="Q283" s="2" t="s">
        <v>72</v>
      </c>
      <c r="R283" s="2" t="s">
        <v>72</v>
      </c>
      <c r="T283" s="2" t="s">
        <v>72</v>
      </c>
      <c r="U283" s="2" t="s">
        <v>72</v>
      </c>
      <c r="V283" s="2" t="s">
        <v>71</v>
      </c>
      <c r="W283" s="2" t="s">
        <v>71</v>
      </c>
      <c r="X283" s="2" t="s">
        <v>71</v>
      </c>
      <c r="Y283" s="2" t="s">
        <v>71</v>
      </c>
      <c r="Z283" s="2" t="s">
        <v>71</v>
      </c>
      <c r="AA283" s="2" t="s">
        <v>72</v>
      </c>
      <c r="AB283" s="2" t="s">
        <v>72</v>
      </c>
      <c r="AC283" s="2" t="s">
        <v>71</v>
      </c>
      <c r="AD283" s="2" t="s">
        <v>72</v>
      </c>
      <c r="AE283" s="2" t="s">
        <v>72</v>
      </c>
      <c r="AF283" s="2" t="s">
        <v>72</v>
      </c>
      <c r="AG283" s="2" t="s">
        <v>72</v>
      </c>
      <c r="AH283" s="2" t="s">
        <v>80</v>
      </c>
      <c r="AI283" s="2">
        <v>1</v>
      </c>
    </row>
    <row r="284" spans="1:35" ht="32" x14ac:dyDescent="0.2">
      <c r="A284" s="2">
        <v>67033667</v>
      </c>
      <c r="B284" s="2">
        <f>VLOOKUP(A284,[1]TRATAMIENTI!$A:$B,2,FALSE)</f>
        <v>371</v>
      </c>
      <c r="C284" s="2" t="s">
        <v>642</v>
      </c>
      <c r="D284" s="2">
        <v>3113441701</v>
      </c>
      <c r="E284" s="2" t="s">
        <v>643</v>
      </c>
      <c r="F284" s="2" t="s">
        <v>475</v>
      </c>
      <c r="G284" s="2" t="str">
        <f t="shared" si="4"/>
        <v>VALLE DEL CAUCA</v>
      </c>
      <c r="H284" s="2" t="s">
        <v>476</v>
      </c>
      <c r="I284" s="2" t="s">
        <v>477</v>
      </c>
      <c r="J284" s="2" t="s">
        <v>72</v>
      </c>
      <c r="K284" s="2" t="s">
        <v>72</v>
      </c>
      <c r="L284" s="2" t="s">
        <v>72</v>
      </c>
      <c r="M284" s="2" t="s">
        <v>72</v>
      </c>
      <c r="N284" s="2" t="s">
        <v>72</v>
      </c>
      <c r="O284" s="2" t="s">
        <v>72</v>
      </c>
      <c r="P284" s="2" t="s">
        <v>72</v>
      </c>
      <c r="Q284" s="2" t="s">
        <v>72</v>
      </c>
      <c r="R284" s="2" t="s">
        <v>72</v>
      </c>
      <c r="S284" s="2" t="s">
        <v>71</v>
      </c>
      <c r="T284" s="2" t="s">
        <v>72</v>
      </c>
      <c r="U284" s="2" t="s">
        <v>72</v>
      </c>
      <c r="V284" s="2" t="s">
        <v>71</v>
      </c>
      <c r="W284" s="2" t="s">
        <v>71</v>
      </c>
      <c r="X284" s="2" t="s">
        <v>71</v>
      </c>
      <c r="Y284" s="2" t="s">
        <v>71</v>
      </c>
      <c r="Z284" s="2" t="s">
        <v>71</v>
      </c>
      <c r="AA284" s="2" t="s">
        <v>71</v>
      </c>
      <c r="AB284" s="2" t="s">
        <v>71</v>
      </c>
      <c r="AC284" s="2" t="s">
        <v>71</v>
      </c>
      <c r="AD284" s="2" t="s">
        <v>72</v>
      </c>
      <c r="AE284" s="2" t="s">
        <v>72</v>
      </c>
      <c r="AF284" s="2" t="s">
        <v>72</v>
      </c>
      <c r="AG284" s="2" t="s">
        <v>72</v>
      </c>
      <c r="AH284" s="2" t="s">
        <v>80</v>
      </c>
      <c r="AI284" s="2">
        <v>1</v>
      </c>
    </row>
    <row r="285" spans="1:35" ht="32" x14ac:dyDescent="0.2">
      <c r="A285" s="2">
        <v>76324402</v>
      </c>
      <c r="B285" s="2">
        <f>VLOOKUP(A285,[1]TRATAMIENTI!$A:$B,2,FALSE)</f>
        <v>374</v>
      </c>
      <c r="C285" s="2" t="s">
        <v>644</v>
      </c>
      <c r="D285" s="2">
        <v>3177561526</v>
      </c>
      <c r="E285" s="2" t="s">
        <v>645</v>
      </c>
      <c r="F285" s="2" t="s">
        <v>475</v>
      </c>
      <c r="G285" s="2" t="str">
        <f t="shared" si="4"/>
        <v>VALLE DEL CAUCA</v>
      </c>
      <c r="H285" s="2" t="s">
        <v>476</v>
      </c>
      <c r="I285" s="2" t="s">
        <v>477</v>
      </c>
      <c r="J285" s="2" t="s">
        <v>72</v>
      </c>
      <c r="K285" s="2" t="s">
        <v>72</v>
      </c>
      <c r="L285" s="2" t="s">
        <v>72</v>
      </c>
      <c r="M285" s="2" t="s">
        <v>72</v>
      </c>
      <c r="N285" s="2" t="s">
        <v>72</v>
      </c>
      <c r="O285" s="2" t="s">
        <v>72</v>
      </c>
      <c r="P285" s="2" t="s">
        <v>72</v>
      </c>
      <c r="Q285" s="2" t="s">
        <v>72</v>
      </c>
      <c r="R285" s="2" t="s">
        <v>72</v>
      </c>
      <c r="S285" s="2" t="s">
        <v>71</v>
      </c>
      <c r="T285" s="2" t="s">
        <v>72</v>
      </c>
      <c r="U285" s="2" t="s">
        <v>72</v>
      </c>
      <c r="V285" s="2" t="s">
        <v>71</v>
      </c>
      <c r="W285" s="2" t="s">
        <v>71</v>
      </c>
      <c r="X285" s="2" t="s">
        <v>71</v>
      </c>
      <c r="Y285" s="2" t="s">
        <v>71</v>
      </c>
      <c r="Z285" s="2" t="s">
        <v>71</v>
      </c>
      <c r="AA285" s="2" t="s">
        <v>71</v>
      </c>
      <c r="AB285" s="2" t="s">
        <v>71</v>
      </c>
      <c r="AC285" s="2" t="s">
        <v>71</v>
      </c>
      <c r="AD285" s="2" t="s">
        <v>72</v>
      </c>
      <c r="AE285" s="2" t="s">
        <v>72</v>
      </c>
      <c r="AF285" s="2" t="s">
        <v>72</v>
      </c>
      <c r="AG285" s="2" t="s">
        <v>72</v>
      </c>
      <c r="AH285" s="2" t="s">
        <v>80</v>
      </c>
      <c r="AI285" s="2">
        <v>2</v>
      </c>
    </row>
    <row r="286" spans="1:35" ht="32" x14ac:dyDescent="0.2">
      <c r="A286" s="2">
        <v>94513261</v>
      </c>
      <c r="B286" s="2">
        <f>VLOOKUP(A286,[1]TRATAMIENTI!$A:$B,2,FALSE)</f>
        <v>380</v>
      </c>
      <c r="C286" s="2" t="s">
        <v>646</v>
      </c>
      <c r="D286" s="2">
        <v>3177210488</v>
      </c>
      <c r="E286" s="2" t="s">
        <v>647</v>
      </c>
      <c r="F286" s="2" t="s">
        <v>475</v>
      </c>
      <c r="G286" s="2" t="str">
        <f t="shared" si="4"/>
        <v>VALLE DEL CAUCA</v>
      </c>
      <c r="H286" s="2" t="s">
        <v>476</v>
      </c>
      <c r="I286" s="2" t="s">
        <v>477</v>
      </c>
      <c r="J286" s="2" t="s">
        <v>71</v>
      </c>
      <c r="K286" s="2" t="s">
        <v>72</v>
      </c>
      <c r="L286" s="2" t="s">
        <v>72</v>
      </c>
      <c r="M286" s="2" t="s">
        <v>72</v>
      </c>
      <c r="N286" s="2" t="s">
        <v>72</v>
      </c>
      <c r="O286" s="2" t="s">
        <v>72</v>
      </c>
      <c r="P286" s="2" t="s">
        <v>72</v>
      </c>
      <c r="Q286" s="2" t="s">
        <v>72</v>
      </c>
      <c r="R286" s="2" t="s">
        <v>72</v>
      </c>
      <c r="S286" s="2" t="s">
        <v>71</v>
      </c>
      <c r="T286" s="2" t="s">
        <v>72</v>
      </c>
      <c r="U286" s="2" t="s">
        <v>72</v>
      </c>
      <c r="V286" s="2" t="s">
        <v>71</v>
      </c>
      <c r="W286" s="2" t="s">
        <v>71</v>
      </c>
      <c r="X286" s="2" t="s">
        <v>71</v>
      </c>
      <c r="Y286" s="2" t="s">
        <v>71</v>
      </c>
      <c r="Z286" s="2" t="s">
        <v>71</v>
      </c>
      <c r="AA286" s="2" t="s">
        <v>71</v>
      </c>
      <c r="AB286" s="2" t="s">
        <v>71</v>
      </c>
      <c r="AC286" s="2" t="s">
        <v>71</v>
      </c>
      <c r="AD286" s="2" t="s">
        <v>72</v>
      </c>
      <c r="AE286" s="2" t="s">
        <v>72</v>
      </c>
      <c r="AF286" s="2" t="s">
        <v>72</v>
      </c>
      <c r="AG286" s="2" t="s">
        <v>72</v>
      </c>
      <c r="AH286" s="2" t="s">
        <v>80</v>
      </c>
      <c r="AI286" s="2">
        <v>2</v>
      </c>
    </row>
    <row r="396" spans="2:2" x14ac:dyDescent="0.2">
      <c r="B396" s="2" t="e">
        <f>VLOOKUP(A396,[1]TRATAMIENTI!$A:$B,2,FALSE)</f>
        <v>#N/A</v>
      </c>
    </row>
    <row r="397" spans="2:2" x14ac:dyDescent="0.2">
      <c r="B397" s="2" t="e">
        <f>VLOOKUP(A397,[1]TRATAMIENTI!$A:$B,2,FALSE)</f>
        <v>#N/A</v>
      </c>
    </row>
  </sheetData>
  <autoFilter ref="A1:AJ397" xr:uid="{2D0951B7-2CFF-41C2-99B6-96E00E9A60CF}"/>
  <sortState xmlns:xlrd2="http://schemas.microsoft.com/office/spreadsheetml/2017/richdata2" ref="A2:AH276">
    <sortCondition ref="B2:B276"/>
  </sortState>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BD86A78C-841C-4AC0-BC98-620E8080AED8}">
          <x14:formula1>
            <xm:f>Hoja2!$A$1:$A$3</xm:f>
          </x14:formula1>
          <xm:sqref>K191 J2:AG190 AD273:AG273 AA273:AB273 T273:U273 O273:R273 K273:K445 J274:J445 L274:AG445 J192:AG272</xm:sqref>
        </x14:dataValidation>
        <x14:dataValidation type="list" allowBlank="1" showInputMessage="1" showErrorMessage="1" xr:uid="{CDDE3321-0755-470F-BA3B-69B19518F3C1}">
          <x14:formula1>
            <xm:f>Hoja2!$A$6:$A$8</xm:f>
          </x14:formula1>
          <xm:sqref>H2:H198</xm:sqref>
        </x14:dataValidation>
        <x14:dataValidation type="list" allowBlank="1" showInputMessage="1" showErrorMessage="1" xr:uid="{4C188A38-DB40-427C-AEEF-6241CB2B371B}">
          <x14:formula1>
            <xm:f>Hoja2!$A$11:$A$17</xm:f>
          </x14:formula1>
          <xm:sqref>AH2:AH437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B77AC-C019-4B4F-A8EB-99FC01E612ED}">
  <sheetPr filterMode="1"/>
  <dimension ref="A1:AG308"/>
  <sheetViews>
    <sheetView zoomScale="69" zoomScaleNormal="80" workbookViewId="0">
      <pane ySplit="1" topLeftCell="A97" activePane="bottomLeft" state="frozen"/>
      <selection activeCell="U1" sqref="U1"/>
      <selection pane="bottomLeft" activeCell="J97" sqref="J97"/>
    </sheetView>
  </sheetViews>
  <sheetFormatPr baseColWidth="10" defaultColWidth="11.5" defaultRowHeight="15" x14ac:dyDescent="0.2"/>
  <cols>
    <col min="1" max="1" width="12.33203125" bestFit="1" customWidth="1"/>
    <col min="4" max="4" width="13.33203125" customWidth="1"/>
    <col min="9" max="9" width="11.5" style="4"/>
    <col min="10" max="10" width="11" bestFit="1" customWidth="1"/>
    <col min="11" max="11" width="11" customWidth="1"/>
    <col min="31" max="31" width="29.6640625" customWidth="1"/>
    <col min="32" max="32" width="58.6640625" customWidth="1"/>
  </cols>
  <sheetData>
    <row r="1" spans="1:33" s="1" customFormat="1" ht="84" x14ac:dyDescent="0.2">
      <c r="A1" s="1" t="s">
        <v>1</v>
      </c>
      <c r="B1" s="1" t="s">
        <v>2</v>
      </c>
      <c r="C1" s="1" t="s">
        <v>3</v>
      </c>
      <c r="D1" s="1" t="s">
        <v>4</v>
      </c>
      <c r="E1" s="1" t="s">
        <v>5</v>
      </c>
      <c r="F1" s="1" t="s">
        <v>6</v>
      </c>
      <c r="G1" s="1" t="s">
        <v>7</v>
      </c>
      <c r="H1" s="1" t="s">
        <v>8</v>
      </c>
      <c r="I1" s="1" t="s">
        <v>9</v>
      </c>
      <c r="J1" s="1" t="s">
        <v>10</v>
      </c>
      <c r="K1" s="1" t="s">
        <v>35</v>
      </c>
      <c r="L1" s="1" t="s">
        <v>11</v>
      </c>
      <c r="M1" s="1" t="s">
        <v>36</v>
      </c>
      <c r="N1" s="1" t="s">
        <v>37</v>
      </c>
      <c r="O1" s="1" t="s">
        <v>12</v>
      </c>
      <c r="P1" s="1" t="s">
        <v>38</v>
      </c>
      <c r="Q1" s="1" t="s">
        <v>39</v>
      </c>
      <c r="R1" s="1" t="s">
        <v>40</v>
      </c>
      <c r="S1" s="1" t="s">
        <v>41</v>
      </c>
      <c r="T1" s="1" t="s">
        <v>42</v>
      </c>
      <c r="U1" s="1" t="s">
        <v>43</v>
      </c>
      <c r="V1" s="1" t="s">
        <v>44</v>
      </c>
      <c r="W1" s="1" t="s">
        <v>45</v>
      </c>
      <c r="X1" s="1" t="s">
        <v>46</v>
      </c>
      <c r="Y1" s="1" t="s">
        <v>47</v>
      </c>
      <c r="Z1" s="1" t="s">
        <v>48</v>
      </c>
      <c r="AA1" s="1" t="s">
        <v>49</v>
      </c>
      <c r="AB1" s="1" t="s">
        <v>50</v>
      </c>
      <c r="AC1" s="1" t="s">
        <v>51</v>
      </c>
      <c r="AD1" s="1" t="s">
        <v>52</v>
      </c>
      <c r="AE1" s="1" t="s">
        <v>55</v>
      </c>
      <c r="AF1" s="1" t="s">
        <v>648</v>
      </c>
      <c r="AG1" s="1" t="s">
        <v>65</v>
      </c>
    </row>
    <row r="2" spans="1:33" ht="64" hidden="1" x14ac:dyDescent="0.2">
      <c r="A2">
        <v>1005873832</v>
      </c>
      <c r="B2" s="2">
        <f>VLOOKUP(A2,[1]TRATAMIENTI!$A:$B,2,FALSE)</f>
        <v>202</v>
      </c>
      <c r="C2" t="s">
        <v>649</v>
      </c>
      <c r="D2">
        <v>3113913831</v>
      </c>
      <c r="E2" t="s">
        <v>650</v>
      </c>
      <c r="F2" t="s">
        <v>561</v>
      </c>
      <c r="G2" s="2" t="str">
        <f t="shared" ref="G2:G62" si="0">IF(H2="CALI","VALLE DEL CAUCA",IF(H2="MEDELLIN","ANTIOQUIA",IF(H2="BARRANQUILLA","ATLANTICO","NO")))</f>
        <v>VALLE DEL CAUCA</v>
      </c>
      <c r="H2" t="s">
        <v>476</v>
      </c>
      <c r="I2" s="4" t="s">
        <v>651</v>
      </c>
      <c r="J2" s="2" t="s">
        <v>71</v>
      </c>
      <c r="K2" s="2" t="s">
        <v>76</v>
      </c>
      <c r="L2" s="2" t="s">
        <v>71</v>
      </c>
      <c r="M2" s="2" t="s">
        <v>71</v>
      </c>
      <c r="N2" s="2" t="s">
        <v>71</v>
      </c>
      <c r="O2" s="2" t="s">
        <v>71</v>
      </c>
      <c r="P2" s="2" t="s">
        <v>71</v>
      </c>
      <c r="Q2" s="2" t="s">
        <v>71</v>
      </c>
      <c r="R2" s="2" t="s">
        <v>71</v>
      </c>
      <c r="S2" s="2" t="s">
        <v>71</v>
      </c>
      <c r="T2" s="2" t="s">
        <v>71</v>
      </c>
      <c r="U2" s="2" t="s">
        <v>71</v>
      </c>
      <c r="V2" s="2" t="s">
        <v>71</v>
      </c>
      <c r="W2" s="2" t="s">
        <v>71</v>
      </c>
      <c r="X2" s="2" t="s">
        <v>71</v>
      </c>
      <c r="Y2" s="2" t="s">
        <v>71</v>
      </c>
      <c r="Z2" s="2" t="s">
        <v>71</v>
      </c>
      <c r="AA2" s="2" t="s">
        <v>72</v>
      </c>
      <c r="AB2" s="2" t="s">
        <v>76</v>
      </c>
      <c r="AC2" s="2" t="s">
        <v>72</v>
      </c>
      <c r="AD2" s="2" t="s">
        <v>72</v>
      </c>
      <c r="AE2" s="2" t="s">
        <v>77</v>
      </c>
      <c r="AF2" s="5" t="s">
        <v>652</v>
      </c>
      <c r="AG2">
        <v>1</v>
      </c>
    </row>
    <row r="3" spans="1:33" ht="64" hidden="1" x14ac:dyDescent="0.2">
      <c r="A3">
        <v>10375239</v>
      </c>
      <c r="B3" s="2">
        <f>VLOOKUP(A3,[1]TRATAMIENTI!$A:$B,2,FALSE)</f>
        <v>204</v>
      </c>
      <c r="C3" t="s">
        <v>653</v>
      </c>
      <c r="D3">
        <v>3164206902</v>
      </c>
      <c r="E3" t="s">
        <v>654</v>
      </c>
      <c r="F3" t="s">
        <v>561</v>
      </c>
      <c r="G3" s="2" t="str">
        <f t="shared" si="0"/>
        <v>VALLE DEL CAUCA</v>
      </c>
      <c r="H3" t="s">
        <v>476</v>
      </c>
      <c r="I3" s="4" t="s">
        <v>651</v>
      </c>
      <c r="J3" s="2" t="s">
        <v>71</v>
      </c>
      <c r="K3" s="2" t="s">
        <v>71</v>
      </c>
      <c r="L3" s="2" t="s">
        <v>71</v>
      </c>
      <c r="M3" s="2" t="s">
        <v>71</v>
      </c>
      <c r="N3" s="2" t="s">
        <v>71</v>
      </c>
      <c r="O3" s="2" t="s">
        <v>71</v>
      </c>
      <c r="P3" s="2" t="s">
        <v>71</v>
      </c>
      <c r="Q3" s="2" t="s">
        <v>71</v>
      </c>
      <c r="R3" s="2" t="s">
        <v>71</v>
      </c>
      <c r="S3" s="2" t="s">
        <v>71</v>
      </c>
      <c r="T3" s="2" t="s">
        <v>71</v>
      </c>
      <c r="U3" s="2" t="s">
        <v>71</v>
      </c>
      <c r="V3" s="2" t="s">
        <v>76</v>
      </c>
      <c r="W3" s="2" t="s">
        <v>72</v>
      </c>
      <c r="X3" s="2" t="s">
        <v>76</v>
      </c>
      <c r="Y3" s="2" t="s">
        <v>76</v>
      </c>
      <c r="Z3" s="2" t="s">
        <v>76</v>
      </c>
      <c r="AA3" s="2" t="s">
        <v>72</v>
      </c>
      <c r="AB3" s="2" t="s">
        <v>76</v>
      </c>
      <c r="AC3" s="2" t="s">
        <v>72</v>
      </c>
      <c r="AD3" s="2" t="s">
        <v>71</v>
      </c>
      <c r="AE3" s="2" t="s">
        <v>80</v>
      </c>
      <c r="AF3" s="5" t="s">
        <v>655</v>
      </c>
      <c r="AG3">
        <v>2</v>
      </c>
    </row>
    <row r="4" spans="1:33" ht="64" hidden="1" x14ac:dyDescent="0.2">
      <c r="A4">
        <v>10472271</v>
      </c>
      <c r="B4" s="2">
        <f>VLOOKUP(A4,[1]TRATAMIENTI!$A:$B,2,FALSE)</f>
        <v>205</v>
      </c>
      <c r="C4" t="s">
        <v>656</v>
      </c>
      <c r="D4">
        <v>3205454499</v>
      </c>
      <c r="E4" t="s">
        <v>657</v>
      </c>
      <c r="F4" t="s">
        <v>561</v>
      </c>
      <c r="G4" s="2" t="str">
        <f t="shared" si="0"/>
        <v>VALLE DEL CAUCA</v>
      </c>
      <c r="H4" t="s">
        <v>476</v>
      </c>
      <c r="I4" s="4" t="s">
        <v>651</v>
      </c>
      <c r="J4" s="2" t="s">
        <v>71</v>
      </c>
      <c r="K4" s="2" t="s">
        <v>71</v>
      </c>
      <c r="L4" s="2" t="s">
        <v>71</v>
      </c>
      <c r="M4" s="2" t="s">
        <v>72</v>
      </c>
      <c r="N4" s="2" t="s">
        <v>71</v>
      </c>
      <c r="O4" s="2" t="s">
        <v>72</v>
      </c>
      <c r="P4" s="2" t="s">
        <v>72</v>
      </c>
      <c r="Q4" s="2" t="s">
        <v>72</v>
      </c>
      <c r="R4" s="2" t="s">
        <v>76</v>
      </c>
      <c r="S4" s="2" t="s">
        <v>72</v>
      </c>
      <c r="T4" s="2" t="s">
        <v>71</v>
      </c>
      <c r="U4" s="2" t="s">
        <v>71</v>
      </c>
      <c r="V4" s="2" t="s">
        <v>71</v>
      </c>
      <c r="W4" s="2" t="s">
        <v>72</v>
      </c>
      <c r="X4" s="2" t="s">
        <v>76</v>
      </c>
      <c r="Y4" s="2" t="s">
        <v>76</v>
      </c>
      <c r="Z4" s="2" t="s">
        <v>76</v>
      </c>
      <c r="AA4" s="2" t="s">
        <v>72</v>
      </c>
      <c r="AB4" s="2" t="s">
        <v>76</v>
      </c>
      <c r="AC4" s="2" t="s">
        <v>76</v>
      </c>
      <c r="AD4" s="2" t="s">
        <v>72</v>
      </c>
      <c r="AE4" s="2" t="s">
        <v>80</v>
      </c>
      <c r="AF4" s="5" t="s">
        <v>658</v>
      </c>
      <c r="AG4">
        <v>2</v>
      </c>
    </row>
    <row r="5" spans="1:33" ht="64" hidden="1" x14ac:dyDescent="0.2">
      <c r="A5">
        <v>1059044849</v>
      </c>
      <c r="B5" s="2">
        <f>VLOOKUP(A5,[1]TRATAMIENTI!$A:$B,2,FALSE)</f>
        <v>206</v>
      </c>
      <c r="C5" t="s">
        <v>659</v>
      </c>
      <c r="D5">
        <v>3212965341</v>
      </c>
      <c r="E5" t="s">
        <v>660</v>
      </c>
      <c r="F5" t="s">
        <v>561</v>
      </c>
      <c r="G5" s="2" t="str">
        <f t="shared" si="0"/>
        <v>VALLE DEL CAUCA</v>
      </c>
      <c r="H5" t="s">
        <v>476</v>
      </c>
      <c r="I5" s="4" t="s">
        <v>651</v>
      </c>
      <c r="J5" s="2" t="s">
        <v>71</v>
      </c>
      <c r="K5" s="2" t="s">
        <v>71</v>
      </c>
      <c r="L5" s="2" t="s">
        <v>71</v>
      </c>
      <c r="M5" s="2" t="s">
        <v>72</v>
      </c>
      <c r="N5" s="2" t="s">
        <v>71</v>
      </c>
      <c r="O5" s="2" t="s">
        <v>72</v>
      </c>
      <c r="P5" s="2" t="s">
        <v>72</v>
      </c>
      <c r="Q5" s="2" t="s">
        <v>72</v>
      </c>
      <c r="R5" s="2" t="s">
        <v>76</v>
      </c>
      <c r="S5" s="2" t="s">
        <v>71</v>
      </c>
      <c r="T5" s="2" t="s">
        <v>71</v>
      </c>
      <c r="U5" s="2" t="s">
        <v>72</v>
      </c>
      <c r="V5" s="2" t="s">
        <v>71</v>
      </c>
      <c r="W5" s="2" t="s">
        <v>72</v>
      </c>
      <c r="X5" s="2" t="s">
        <v>71</v>
      </c>
      <c r="Y5" s="2" t="s">
        <v>71</v>
      </c>
      <c r="Z5" s="2" t="s">
        <v>71</v>
      </c>
      <c r="AA5" s="2" t="s">
        <v>71</v>
      </c>
      <c r="AB5" s="2" t="s">
        <v>71</v>
      </c>
      <c r="AC5" s="2" t="s">
        <v>71</v>
      </c>
      <c r="AD5" s="2" t="s">
        <v>71</v>
      </c>
      <c r="AE5" s="2" t="s">
        <v>256</v>
      </c>
      <c r="AF5" s="5" t="s">
        <v>661</v>
      </c>
      <c r="AG5">
        <v>3</v>
      </c>
    </row>
    <row r="6" spans="1:33" ht="64" hidden="1" x14ac:dyDescent="0.2">
      <c r="A6" s="2">
        <v>1059986053</v>
      </c>
      <c r="B6" s="2">
        <f>VLOOKUP(A6,[1]TRATAMIENTI!$A:$B,2,FALSE)</f>
        <v>208</v>
      </c>
      <c r="C6" t="s">
        <v>662</v>
      </c>
      <c r="D6">
        <v>3207143579</v>
      </c>
      <c r="E6" t="s">
        <v>663</v>
      </c>
      <c r="F6" t="s">
        <v>561</v>
      </c>
      <c r="G6" s="2" t="str">
        <f t="shared" si="0"/>
        <v>VALLE DEL CAUCA</v>
      </c>
      <c r="H6" t="s">
        <v>476</v>
      </c>
      <c r="I6" s="4" t="s">
        <v>651</v>
      </c>
      <c r="J6" s="2" t="s">
        <v>71</v>
      </c>
      <c r="K6" s="2" t="s">
        <v>71</v>
      </c>
      <c r="L6" s="2" t="s">
        <v>71</v>
      </c>
      <c r="M6" s="2" t="s">
        <v>72</v>
      </c>
      <c r="N6" s="2" t="s">
        <v>76</v>
      </c>
      <c r="O6" s="2" t="s">
        <v>72</v>
      </c>
      <c r="P6" s="2" t="s">
        <v>72</v>
      </c>
      <c r="Q6" s="2" t="s">
        <v>72</v>
      </c>
      <c r="R6" s="2" t="s">
        <v>76</v>
      </c>
      <c r="S6" s="2" t="s">
        <v>71</v>
      </c>
      <c r="T6" s="2" t="s">
        <v>71</v>
      </c>
      <c r="U6" s="2" t="s">
        <v>72</v>
      </c>
      <c r="V6" s="2" t="s">
        <v>72</v>
      </c>
      <c r="W6" s="2" t="s">
        <v>72</v>
      </c>
      <c r="X6" s="2" t="s">
        <v>76</v>
      </c>
      <c r="Y6" s="2" t="s">
        <v>76</v>
      </c>
      <c r="Z6" s="2" t="s">
        <v>76</v>
      </c>
      <c r="AA6" s="2" t="s">
        <v>72</v>
      </c>
      <c r="AB6" s="2" t="s">
        <v>76</v>
      </c>
      <c r="AC6" s="2" t="s">
        <v>72</v>
      </c>
      <c r="AD6" s="2" t="s">
        <v>72</v>
      </c>
      <c r="AE6" s="2" t="s">
        <v>80</v>
      </c>
      <c r="AF6" s="5" t="s">
        <v>664</v>
      </c>
      <c r="AG6">
        <v>2</v>
      </c>
    </row>
    <row r="7" spans="1:33" ht="64" hidden="1" x14ac:dyDescent="0.2">
      <c r="A7">
        <v>1060102242</v>
      </c>
      <c r="B7" s="2">
        <f>VLOOKUP(A7,[1]TRATAMIENTI!$A:$B,2,FALSE)</f>
        <v>209</v>
      </c>
      <c r="C7" t="s">
        <v>665</v>
      </c>
      <c r="D7">
        <v>3146769002</v>
      </c>
      <c r="E7" t="s">
        <v>666</v>
      </c>
      <c r="F7" t="s">
        <v>561</v>
      </c>
      <c r="G7" s="2" t="str">
        <f t="shared" si="0"/>
        <v>VALLE DEL CAUCA</v>
      </c>
      <c r="H7" t="s">
        <v>476</v>
      </c>
      <c r="I7" s="4" t="s">
        <v>651</v>
      </c>
      <c r="J7" s="2" t="s">
        <v>71</v>
      </c>
      <c r="K7" s="2" t="s">
        <v>71</v>
      </c>
      <c r="L7" s="2" t="s">
        <v>71</v>
      </c>
      <c r="M7" s="2" t="s">
        <v>72</v>
      </c>
      <c r="N7" s="2" t="s">
        <v>71</v>
      </c>
      <c r="O7" s="2" t="s">
        <v>72</v>
      </c>
      <c r="P7" s="2" t="s">
        <v>72</v>
      </c>
      <c r="Q7" s="2" t="s">
        <v>72</v>
      </c>
      <c r="R7" s="2" t="s">
        <v>76</v>
      </c>
      <c r="S7" s="2" t="s">
        <v>72</v>
      </c>
      <c r="T7" s="2" t="s">
        <v>71</v>
      </c>
      <c r="U7" s="2" t="s">
        <v>71</v>
      </c>
      <c r="V7" s="2" t="s">
        <v>76</v>
      </c>
      <c r="W7" s="2" t="s">
        <v>72</v>
      </c>
      <c r="X7" s="2" t="s">
        <v>76</v>
      </c>
      <c r="Y7" s="2" t="s">
        <v>76</v>
      </c>
      <c r="Z7" s="2" t="s">
        <v>76</v>
      </c>
      <c r="AA7" s="2" t="s">
        <v>71</v>
      </c>
      <c r="AB7" s="2" t="s">
        <v>76</v>
      </c>
      <c r="AC7" s="2" t="s">
        <v>71</v>
      </c>
      <c r="AD7" s="2" t="s">
        <v>71</v>
      </c>
      <c r="AE7" s="2" t="s">
        <v>80</v>
      </c>
      <c r="AF7" s="5" t="s">
        <v>667</v>
      </c>
      <c r="AG7">
        <v>2</v>
      </c>
    </row>
    <row r="8" spans="1:33" ht="64" hidden="1" x14ac:dyDescent="0.2">
      <c r="A8">
        <v>1061433798</v>
      </c>
      <c r="B8" s="2">
        <f>VLOOKUP(A8,[1]TRATAMIENTI!$A:$B,2,FALSE)</f>
        <v>210</v>
      </c>
      <c r="C8" t="s">
        <v>668</v>
      </c>
      <c r="D8">
        <v>3158926573</v>
      </c>
      <c r="E8" t="s">
        <v>669</v>
      </c>
      <c r="F8" t="s">
        <v>561</v>
      </c>
      <c r="G8" s="2" t="str">
        <f t="shared" si="0"/>
        <v>VALLE DEL CAUCA</v>
      </c>
      <c r="H8" t="s">
        <v>476</v>
      </c>
      <c r="I8" s="4" t="s">
        <v>651</v>
      </c>
      <c r="J8" s="2" t="s">
        <v>71</v>
      </c>
      <c r="K8" s="2" t="s">
        <v>71</v>
      </c>
      <c r="L8" s="2" t="s">
        <v>71</v>
      </c>
      <c r="M8" s="2" t="s">
        <v>72</v>
      </c>
      <c r="N8" s="2" t="s">
        <v>76</v>
      </c>
      <c r="O8" s="2" t="s">
        <v>72</v>
      </c>
      <c r="P8" s="2" t="s">
        <v>72</v>
      </c>
      <c r="Q8" s="2" t="s">
        <v>72</v>
      </c>
      <c r="R8" s="2" t="s">
        <v>76</v>
      </c>
      <c r="S8" s="2" t="s">
        <v>72</v>
      </c>
      <c r="T8" s="2" t="s">
        <v>71</v>
      </c>
      <c r="U8" s="2" t="s">
        <v>71</v>
      </c>
      <c r="V8" s="2" t="s">
        <v>76</v>
      </c>
      <c r="W8" s="2" t="s">
        <v>72</v>
      </c>
      <c r="X8" s="2" t="s">
        <v>76</v>
      </c>
      <c r="Y8" s="2" t="s">
        <v>76</v>
      </c>
      <c r="Z8" s="2" t="s">
        <v>76</v>
      </c>
      <c r="AA8" s="2" t="s">
        <v>72</v>
      </c>
      <c r="AB8" s="2" t="s">
        <v>76</v>
      </c>
      <c r="AC8" s="2" t="s">
        <v>76</v>
      </c>
      <c r="AD8" s="2" t="s">
        <v>72</v>
      </c>
      <c r="AE8" s="2" t="s">
        <v>80</v>
      </c>
      <c r="AF8" s="5" t="s">
        <v>670</v>
      </c>
      <c r="AG8">
        <v>1</v>
      </c>
    </row>
    <row r="9" spans="1:33" ht="64" hidden="1" x14ac:dyDescent="0.2">
      <c r="A9">
        <v>1062297779</v>
      </c>
      <c r="B9" s="2">
        <f>VLOOKUP(A9,[1]TRATAMIENTI!$A:$B,2,FALSE)</f>
        <v>211</v>
      </c>
      <c r="C9" t="s">
        <v>671</v>
      </c>
      <c r="D9">
        <v>3233794660</v>
      </c>
      <c r="E9" t="s">
        <v>672</v>
      </c>
      <c r="F9" t="s">
        <v>561</v>
      </c>
      <c r="G9" s="2" t="str">
        <f t="shared" si="0"/>
        <v>VALLE DEL CAUCA</v>
      </c>
      <c r="H9" t="s">
        <v>476</v>
      </c>
      <c r="I9" s="4" t="s">
        <v>651</v>
      </c>
      <c r="J9" s="2" t="s">
        <v>71</v>
      </c>
      <c r="K9" s="2" t="s">
        <v>71</v>
      </c>
      <c r="L9" s="2" t="s">
        <v>71</v>
      </c>
      <c r="M9" s="2" t="s">
        <v>72</v>
      </c>
      <c r="N9" s="2" t="s">
        <v>76</v>
      </c>
      <c r="O9" s="2" t="s">
        <v>72</v>
      </c>
      <c r="P9" s="2" t="s">
        <v>72</v>
      </c>
      <c r="Q9" s="2" t="s">
        <v>72</v>
      </c>
      <c r="R9" s="2" t="s">
        <v>76</v>
      </c>
      <c r="S9" s="2" t="s">
        <v>72</v>
      </c>
      <c r="T9" s="2" t="s">
        <v>71</v>
      </c>
      <c r="U9" s="2" t="s">
        <v>71</v>
      </c>
      <c r="V9" s="2" t="s">
        <v>76</v>
      </c>
      <c r="W9" s="2" t="s">
        <v>72</v>
      </c>
      <c r="X9" s="2" t="s">
        <v>71</v>
      </c>
      <c r="Y9" s="2" t="s">
        <v>71</v>
      </c>
      <c r="Z9" s="2" t="s">
        <v>71</v>
      </c>
      <c r="AA9" s="2" t="s">
        <v>71</v>
      </c>
      <c r="AB9" s="2" t="s">
        <v>71</v>
      </c>
      <c r="AC9" s="2" t="s">
        <v>71</v>
      </c>
      <c r="AD9" s="2" t="s">
        <v>71</v>
      </c>
      <c r="AE9" s="2" t="s">
        <v>256</v>
      </c>
      <c r="AF9" s="5" t="s">
        <v>673</v>
      </c>
      <c r="AG9">
        <v>3</v>
      </c>
    </row>
    <row r="10" spans="1:33" ht="61" hidden="1" x14ac:dyDescent="0.2">
      <c r="A10">
        <v>1067461300</v>
      </c>
      <c r="B10" s="2">
        <f>VLOOKUP(A10,[1]TRATAMIENTI!$A:$B,2,FALSE)</f>
        <v>212</v>
      </c>
      <c r="C10" t="s">
        <v>674</v>
      </c>
      <c r="D10">
        <v>3202776554</v>
      </c>
      <c r="E10" t="s">
        <v>675</v>
      </c>
      <c r="F10" t="s">
        <v>561</v>
      </c>
      <c r="G10" s="2" t="str">
        <f t="shared" si="0"/>
        <v>VALLE DEL CAUCA</v>
      </c>
      <c r="H10" t="s">
        <v>476</v>
      </c>
      <c r="I10" s="4" t="s">
        <v>651</v>
      </c>
      <c r="J10" s="2" t="s">
        <v>76</v>
      </c>
      <c r="K10" s="2" t="s">
        <v>76</v>
      </c>
      <c r="L10" s="2" t="s">
        <v>71</v>
      </c>
      <c r="M10" s="2" t="s">
        <v>72</v>
      </c>
      <c r="N10" s="2" t="s">
        <v>71</v>
      </c>
      <c r="O10" s="2" t="s">
        <v>72</v>
      </c>
      <c r="P10" s="2" t="s">
        <v>72</v>
      </c>
      <c r="Q10" s="2" t="s">
        <v>72</v>
      </c>
      <c r="R10" s="2" t="s">
        <v>76</v>
      </c>
      <c r="S10" s="2" t="s">
        <v>71</v>
      </c>
      <c r="T10" s="2" t="s">
        <v>71</v>
      </c>
      <c r="U10" s="2" t="s">
        <v>72</v>
      </c>
      <c r="V10" s="2" t="s">
        <v>76</v>
      </c>
      <c r="W10" s="2" t="s">
        <v>72</v>
      </c>
      <c r="X10" s="2" t="s">
        <v>76</v>
      </c>
      <c r="Y10" s="2" t="s">
        <v>76</v>
      </c>
      <c r="Z10" s="2" t="s">
        <v>76</v>
      </c>
      <c r="AA10" s="2" t="s">
        <v>72</v>
      </c>
      <c r="AB10" s="2" t="s">
        <v>76</v>
      </c>
      <c r="AC10" s="2" t="s">
        <v>72</v>
      </c>
      <c r="AD10" s="2" t="s">
        <v>71</v>
      </c>
      <c r="AE10" s="2" t="s">
        <v>91</v>
      </c>
      <c r="AF10" s="5" t="s">
        <v>676</v>
      </c>
      <c r="AG10">
        <v>1</v>
      </c>
    </row>
    <row r="11" spans="1:33" ht="85" hidden="1" x14ac:dyDescent="0.2">
      <c r="A11">
        <v>10741712</v>
      </c>
      <c r="B11" s="2">
        <f>VLOOKUP(A11,[1]TRATAMIENTI!$A:$B,2,FALSE)</f>
        <v>213</v>
      </c>
      <c r="C11" t="s">
        <v>677</v>
      </c>
      <c r="D11">
        <v>3166175439</v>
      </c>
      <c r="E11" t="s">
        <v>678</v>
      </c>
      <c r="F11" t="s">
        <v>561</v>
      </c>
      <c r="G11" s="2" t="str">
        <f t="shared" si="0"/>
        <v>VALLE DEL CAUCA</v>
      </c>
      <c r="H11" t="s">
        <v>476</v>
      </c>
      <c r="I11" s="4" t="s">
        <v>651</v>
      </c>
      <c r="J11" s="2" t="s">
        <v>76</v>
      </c>
      <c r="K11" s="2" t="s">
        <v>76</v>
      </c>
      <c r="L11" s="2" t="s">
        <v>71</v>
      </c>
      <c r="M11" s="2" t="s">
        <v>72</v>
      </c>
      <c r="N11" s="2" t="s">
        <v>72</v>
      </c>
      <c r="O11" s="2" t="s">
        <v>72</v>
      </c>
      <c r="P11" s="2" t="s">
        <v>72</v>
      </c>
      <c r="Q11" s="2" t="s">
        <v>72</v>
      </c>
      <c r="R11" s="2" t="s">
        <v>76</v>
      </c>
      <c r="S11" s="2" t="s">
        <v>72</v>
      </c>
      <c r="T11" s="2" t="s">
        <v>71</v>
      </c>
      <c r="U11" s="2" t="s">
        <v>71</v>
      </c>
      <c r="V11" s="2" t="s">
        <v>76</v>
      </c>
      <c r="W11" s="2" t="s">
        <v>72</v>
      </c>
      <c r="X11" s="2" t="s">
        <v>71</v>
      </c>
      <c r="Y11" s="2" t="s">
        <v>71</v>
      </c>
      <c r="Z11" s="2" t="s">
        <v>71</v>
      </c>
      <c r="AA11" s="2" t="s">
        <v>72</v>
      </c>
      <c r="AB11" s="2" t="s">
        <v>76</v>
      </c>
      <c r="AC11" s="2" t="s">
        <v>72</v>
      </c>
      <c r="AD11" s="2" t="s">
        <v>71</v>
      </c>
      <c r="AE11" s="2" t="s">
        <v>91</v>
      </c>
      <c r="AF11" s="5" t="s">
        <v>679</v>
      </c>
      <c r="AG11">
        <v>2</v>
      </c>
    </row>
    <row r="12" spans="1:33" ht="64" hidden="1" x14ac:dyDescent="0.2">
      <c r="A12">
        <v>1080835928</v>
      </c>
      <c r="B12" s="2">
        <f>VLOOKUP(A12,[1]TRATAMIENTI!$A:$B,2,FALSE)</f>
        <v>215</v>
      </c>
      <c r="C12" t="s">
        <v>680</v>
      </c>
      <c r="D12">
        <v>3166277286</v>
      </c>
      <c r="E12" t="s">
        <v>681</v>
      </c>
      <c r="F12" t="s">
        <v>561</v>
      </c>
      <c r="G12" s="2" t="str">
        <f t="shared" si="0"/>
        <v>VALLE DEL CAUCA</v>
      </c>
      <c r="H12" t="s">
        <v>476</v>
      </c>
      <c r="I12" s="4" t="s">
        <v>651</v>
      </c>
      <c r="J12" s="2" t="s">
        <v>71</v>
      </c>
      <c r="K12" s="2" t="s">
        <v>71</v>
      </c>
      <c r="L12" s="2" t="s">
        <v>71</v>
      </c>
      <c r="M12" s="2" t="s">
        <v>72</v>
      </c>
      <c r="N12" s="2" t="s">
        <v>71</v>
      </c>
      <c r="O12" s="2" t="s">
        <v>72</v>
      </c>
      <c r="P12" s="2" t="s">
        <v>72</v>
      </c>
      <c r="Q12" s="2" t="s">
        <v>72</v>
      </c>
      <c r="R12" s="2" t="s">
        <v>76</v>
      </c>
      <c r="S12" s="2" t="s">
        <v>72</v>
      </c>
      <c r="T12" s="2" t="s">
        <v>71</v>
      </c>
      <c r="U12" s="2" t="s">
        <v>71</v>
      </c>
      <c r="V12" s="2" t="s">
        <v>71</v>
      </c>
      <c r="W12" s="2" t="s">
        <v>72</v>
      </c>
      <c r="X12" s="2" t="s">
        <v>71</v>
      </c>
      <c r="Y12" s="2" t="s">
        <v>71</v>
      </c>
      <c r="Z12" s="2" t="s">
        <v>71</v>
      </c>
      <c r="AA12" s="2" t="s">
        <v>71</v>
      </c>
      <c r="AB12" s="2" t="s">
        <v>71</v>
      </c>
      <c r="AC12" s="2" t="s">
        <v>71</v>
      </c>
      <c r="AD12" s="2" t="s">
        <v>71</v>
      </c>
      <c r="AE12" s="2" t="s">
        <v>256</v>
      </c>
      <c r="AF12" s="5" t="s">
        <v>682</v>
      </c>
      <c r="AG12">
        <v>3</v>
      </c>
    </row>
    <row r="13" spans="1:33" ht="64" hidden="1" x14ac:dyDescent="0.2">
      <c r="A13">
        <v>1107036712</v>
      </c>
      <c r="B13" s="2">
        <f>VLOOKUP(A13,[1]TRATAMIENTI!$A:$B,2,FALSE)</f>
        <v>216</v>
      </c>
      <c r="C13" t="s">
        <v>683</v>
      </c>
      <c r="D13">
        <v>3122818769</v>
      </c>
      <c r="E13" t="s">
        <v>684</v>
      </c>
      <c r="F13" t="s">
        <v>561</v>
      </c>
      <c r="G13" s="2" t="str">
        <f t="shared" si="0"/>
        <v>VALLE DEL CAUCA</v>
      </c>
      <c r="H13" t="s">
        <v>476</v>
      </c>
      <c r="I13" s="4" t="s">
        <v>651</v>
      </c>
      <c r="J13" s="2" t="s">
        <v>71</v>
      </c>
      <c r="K13" s="2" t="s">
        <v>71</v>
      </c>
      <c r="L13" s="2" t="s">
        <v>71</v>
      </c>
      <c r="M13" s="2" t="s">
        <v>72</v>
      </c>
      <c r="N13" s="2" t="s">
        <v>76</v>
      </c>
      <c r="O13" s="2" t="s">
        <v>72</v>
      </c>
      <c r="P13" s="2" t="s">
        <v>72</v>
      </c>
      <c r="Q13" s="2" t="s">
        <v>72</v>
      </c>
      <c r="R13" s="2" t="s">
        <v>76</v>
      </c>
      <c r="S13" s="2" t="s">
        <v>72</v>
      </c>
      <c r="T13" s="2" t="s">
        <v>71</v>
      </c>
      <c r="U13" s="2" t="s">
        <v>71</v>
      </c>
      <c r="V13" s="2" t="s">
        <v>76</v>
      </c>
      <c r="W13" s="2" t="s">
        <v>72</v>
      </c>
      <c r="X13" s="2" t="s">
        <v>76</v>
      </c>
      <c r="Y13" s="2" t="s">
        <v>76</v>
      </c>
      <c r="Z13" s="2" t="s">
        <v>76</v>
      </c>
      <c r="AA13" s="2" t="s">
        <v>72</v>
      </c>
      <c r="AB13" s="2" t="s">
        <v>76</v>
      </c>
      <c r="AC13" s="2" t="s">
        <v>76</v>
      </c>
      <c r="AD13" s="2" t="s">
        <v>72</v>
      </c>
      <c r="AE13" s="2" t="s">
        <v>80</v>
      </c>
      <c r="AG13">
        <v>1</v>
      </c>
    </row>
    <row r="14" spans="1:33" ht="64" hidden="1" x14ac:dyDescent="0.2">
      <c r="A14">
        <v>1107038099</v>
      </c>
      <c r="B14" s="2">
        <f>VLOOKUP(A14,[1]TRATAMIENTI!$A:$B,2,FALSE)</f>
        <v>217</v>
      </c>
      <c r="C14" t="s">
        <v>685</v>
      </c>
      <c r="D14">
        <v>3116542953</v>
      </c>
      <c r="E14" t="s">
        <v>686</v>
      </c>
      <c r="F14" t="s">
        <v>561</v>
      </c>
      <c r="G14" s="2" t="str">
        <f t="shared" si="0"/>
        <v>VALLE DEL CAUCA</v>
      </c>
      <c r="H14" t="s">
        <v>476</v>
      </c>
      <c r="I14" s="4" t="s">
        <v>651</v>
      </c>
      <c r="J14" s="2" t="s">
        <v>71</v>
      </c>
      <c r="K14" s="2" t="s">
        <v>71</v>
      </c>
      <c r="L14" s="2" t="s">
        <v>71</v>
      </c>
      <c r="M14" s="2" t="s">
        <v>72</v>
      </c>
      <c r="N14" s="2" t="s">
        <v>71</v>
      </c>
      <c r="O14" s="2" t="s">
        <v>72</v>
      </c>
      <c r="P14" s="2" t="s">
        <v>72</v>
      </c>
      <c r="Q14" s="2" t="s">
        <v>72</v>
      </c>
      <c r="R14" s="2" t="s">
        <v>76</v>
      </c>
      <c r="S14" s="2" t="s">
        <v>72</v>
      </c>
      <c r="T14" s="2" t="s">
        <v>71</v>
      </c>
      <c r="U14" s="2" t="s">
        <v>71</v>
      </c>
      <c r="V14" s="2" t="s">
        <v>76</v>
      </c>
      <c r="W14" s="2" t="s">
        <v>71</v>
      </c>
      <c r="X14" s="2" t="s">
        <v>76</v>
      </c>
      <c r="Y14" s="2" t="s">
        <v>76</v>
      </c>
      <c r="Z14" s="2" t="s">
        <v>76</v>
      </c>
      <c r="AA14" s="2" t="s">
        <v>72</v>
      </c>
      <c r="AB14" s="2" t="s">
        <v>76</v>
      </c>
      <c r="AC14" s="2" t="s">
        <v>72</v>
      </c>
      <c r="AD14" s="2" t="s">
        <v>72</v>
      </c>
      <c r="AE14" s="2" t="s">
        <v>80</v>
      </c>
      <c r="AF14" s="5" t="s">
        <v>687</v>
      </c>
      <c r="AG14">
        <v>1</v>
      </c>
    </row>
    <row r="15" spans="1:33" ht="64" hidden="1" x14ac:dyDescent="0.2">
      <c r="A15">
        <v>1107101692</v>
      </c>
      <c r="B15" s="2">
        <f>VLOOKUP(A15,[1]TRATAMIENTI!$A:$B,2,FALSE)</f>
        <v>220</v>
      </c>
      <c r="C15" t="s">
        <v>688</v>
      </c>
      <c r="D15">
        <v>3218984054</v>
      </c>
      <c r="E15" t="s">
        <v>689</v>
      </c>
      <c r="F15" t="s">
        <v>561</v>
      </c>
      <c r="G15" s="2" t="str">
        <f t="shared" si="0"/>
        <v>VALLE DEL CAUCA</v>
      </c>
      <c r="H15" t="s">
        <v>476</v>
      </c>
      <c r="I15" s="4" t="s">
        <v>651</v>
      </c>
      <c r="J15" s="2" t="s">
        <v>71</v>
      </c>
      <c r="K15" s="2" t="s">
        <v>76</v>
      </c>
      <c r="L15" s="2" t="s">
        <v>71</v>
      </c>
      <c r="M15" s="2" t="s">
        <v>72</v>
      </c>
      <c r="N15" s="2" t="s">
        <v>76</v>
      </c>
      <c r="O15" s="2" t="s">
        <v>72</v>
      </c>
      <c r="P15" s="2" t="s">
        <v>72</v>
      </c>
      <c r="Q15" s="2" t="s">
        <v>72</v>
      </c>
      <c r="R15" s="2" t="s">
        <v>76</v>
      </c>
      <c r="S15" s="2" t="s">
        <v>71</v>
      </c>
      <c r="T15" s="2" t="s">
        <v>71</v>
      </c>
      <c r="U15" s="2" t="s">
        <v>72</v>
      </c>
      <c r="V15" s="2" t="s">
        <v>72</v>
      </c>
      <c r="W15" s="2" t="s">
        <v>72</v>
      </c>
      <c r="X15" s="2" t="s">
        <v>76</v>
      </c>
      <c r="Y15" s="2" t="s">
        <v>76</v>
      </c>
      <c r="Z15" s="2" t="s">
        <v>76</v>
      </c>
      <c r="AA15" s="2" t="s">
        <v>72</v>
      </c>
      <c r="AB15" s="2" t="s">
        <v>76</v>
      </c>
      <c r="AC15" s="2" t="s">
        <v>72</v>
      </c>
      <c r="AD15" s="2" t="s">
        <v>72</v>
      </c>
      <c r="AE15" s="2" t="s">
        <v>91</v>
      </c>
      <c r="AF15" s="5" t="s">
        <v>690</v>
      </c>
      <c r="AG15">
        <v>1</v>
      </c>
    </row>
    <row r="16" spans="1:33" ht="73" hidden="1" x14ac:dyDescent="0.2">
      <c r="A16">
        <v>1107528203</v>
      </c>
      <c r="B16" s="2">
        <f>VLOOKUP(A16,[1]TRATAMIENTI!$A:$B,2,FALSE)</f>
        <v>221</v>
      </c>
      <c r="C16" t="s">
        <v>691</v>
      </c>
      <c r="D16" t="s">
        <v>692</v>
      </c>
      <c r="E16" t="s">
        <v>693</v>
      </c>
      <c r="F16" t="s">
        <v>561</v>
      </c>
      <c r="G16" s="2" t="str">
        <f t="shared" si="0"/>
        <v>VALLE DEL CAUCA</v>
      </c>
      <c r="H16" t="s">
        <v>476</v>
      </c>
      <c r="I16" s="4" t="s">
        <v>651</v>
      </c>
      <c r="J16" s="2" t="s">
        <v>71</v>
      </c>
      <c r="K16" s="2" t="s">
        <v>76</v>
      </c>
      <c r="L16" s="2" t="s">
        <v>71</v>
      </c>
      <c r="M16" s="2" t="s">
        <v>72</v>
      </c>
      <c r="N16" s="2" t="s">
        <v>71</v>
      </c>
      <c r="O16" s="2" t="s">
        <v>72</v>
      </c>
      <c r="P16" s="2" t="s">
        <v>72</v>
      </c>
      <c r="Q16" s="2" t="s">
        <v>72</v>
      </c>
      <c r="R16" s="2" t="s">
        <v>76</v>
      </c>
      <c r="S16" s="2" t="s">
        <v>71</v>
      </c>
      <c r="T16" s="2" t="s">
        <v>71</v>
      </c>
      <c r="U16" s="2" t="s">
        <v>72</v>
      </c>
      <c r="V16" s="2" t="s">
        <v>76</v>
      </c>
      <c r="W16" s="2" t="s">
        <v>72</v>
      </c>
      <c r="X16" s="2" t="s">
        <v>76</v>
      </c>
      <c r="Y16" s="2" t="s">
        <v>76</v>
      </c>
      <c r="Z16" s="2" t="s">
        <v>76</v>
      </c>
      <c r="AA16" s="2" t="s">
        <v>72</v>
      </c>
      <c r="AB16" s="2" t="s">
        <v>76</v>
      </c>
      <c r="AC16" s="2" t="s">
        <v>72</v>
      </c>
      <c r="AD16" s="2" t="s">
        <v>72</v>
      </c>
      <c r="AE16" s="2" t="s">
        <v>91</v>
      </c>
      <c r="AF16" s="5" t="s">
        <v>694</v>
      </c>
      <c r="AG16">
        <v>1</v>
      </c>
    </row>
    <row r="17" spans="1:33" ht="64" hidden="1" x14ac:dyDescent="0.2">
      <c r="A17">
        <v>1112459228</v>
      </c>
      <c r="B17" s="2">
        <f>VLOOKUP(A17,[1]TRATAMIENTI!$A:$B,2,FALSE)</f>
        <v>222</v>
      </c>
      <c r="C17" t="s">
        <v>695</v>
      </c>
      <c r="D17">
        <v>3146769002</v>
      </c>
      <c r="E17" t="s">
        <v>696</v>
      </c>
      <c r="F17" t="s">
        <v>561</v>
      </c>
      <c r="G17" s="2" t="str">
        <f t="shared" si="0"/>
        <v>VALLE DEL CAUCA</v>
      </c>
      <c r="H17" t="s">
        <v>476</v>
      </c>
      <c r="I17" s="4" t="s">
        <v>651</v>
      </c>
      <c r="J17" s="2" t="s">
        <v>71</v>
      </c>
      <c r="K17" s="2" t="s">
        <v>76</v>
      </c>
      <c r="L17" s="2" t="s">
        <v>71</v>
      </c>
      <c r="M17" s="2" t="s">
        <v>71</v>
      </c>
      <c r="N17" s="2" t="s">
        <v>71</v>
      </c>
      <c r="O17" s="2" t="s">
        <v>71</v>
      </c>
      <c r="P17" s="2" t="s">
        <v>71</v>
      </c>
      <c r="Q17" s="2" t="s">
        <v>71</v>
      </c>
      <c r="R17" s="2" t="s">
        <v>71</v>
      </c>
      <c r="S17" s="2" t="s">
        <v>71</v>
      </c>
      <c r="T17" s="2" t="s">
        <v>71</v>
      </c>
      <c r="U17" s="2" t="s">
        <v>71</v>
      </c>
      <c r="V17" s="2" t="s">
        <v>71</v>
      </c>
      <c r="W17" s="2" t="s">
        <v>71</v>
      </c>
      <c r="X17" s="2" t="s">
        <v>76</v>
      </c>
      <c r="Y17" s="2" t="s">
        <v>76</v>
      </c>
      <c r="Z17" s="2" t="s">
        <v>76</v>
      </c>
      <c r="AA17" s="2" t="s">
        <v>72</v>
      </c>
      <c r="AB17" s="2" t="s">
        <v>76</v>
      </c>
      <c r="AC17" s="2" t="s">
        <v>72</v>
      </c>
      <c r="AD17" s="2" t="s">
        <v>72</v>
      </c>
      <c r="AE17" s="2" t="s">
        <v>77</v>
      </c>
      <c r="AF17" s="5" t="s">
        <v>697</v>
      </c>
      <c r="AG17">
        <v>1</v>
      </c>
    </row>
    <row r="18" spans="1:33" ht="64" hidden="1" x14ac:dyDescent="0.2">
      <c r="A18">
        <v>1112460885</v>
      </c>
      <c r="B18" s="2">
        <f>VLOOKUP(A18,[1]TRATAMIENTI!$A:$B,2,FALSE)</f>
        <v>223</v>
      </c>
      <c r="C18" t="s">
        <v>698</v>
      </c>
      <c r="D18">
        <v>3206387194</v>
      </c>
      <c r="E18" t="s">
        <v>699</v>
      </c>
      <c r="F18" t="s">
        <v>561</v>
      </c>
      <c r="G18" s="2" t="str">
        <f t="shared" si="0"/>
        <v>VALLE DEL CAUCA</v>
      </c>
      <c r="H18" t="s">
        <v>476</v>
      </c>
      <c r="I18" s="4" t="s">
        <v>651</v>
      </c>
      <c r="J18" s="2" t="s">
        <v>71</v>
      </c>
      <c r="K18" s="2" t="s">
        <v>71</v>
      </c>
      <c r="L18" s="2" t="s">
        <v>71</v>
      </c>
      <c r="M18" s="2" t="s">
        <v>72</v>
      </c>
      <c r="N18" s="2" t="s">
        <v>71</v>
      </c>
      <c r="O18" s="2" t="s">
        <v>71</v>
      </c>
      <c r="P18" s="2" t="s">
        <v>72</v>
      </c>
      <c r="Q18" s="2" t="s">
        <v>72</v>
      </c>
      <c r="R18" s="2" t="s">
        <v>76</v>
      </c>
      <c r="S18" s="2" t="s">
        <v>71</v>
      </c>
      <c r="T18" s="2" t="s">
        <v>71</v>
      </c>
      <c r="U18" s="2" t="s">
        <v>71</v>
      </c>
      <c r="V18" s="2" t="s">
        <v>71</v>
      </c>
      <c r="W18" s="2" t="s">
        <v>71</v>
      </c>
      <c r="X18" s="2" t="s">
        <v>76</v>
      </c>
      <c r="Y18" s="2" t="s">
        <v>76</v>
      </c>
      <c r="Z18" s="2" t="s">
        <v>76</v>
      </c>
      <c r="AA18" s="2" t="s">
        <v>71</v>
      </c>
      <c r="AB18" s="2" t="s">
        <v>76</v>
      </c>
      <c r="AC18" s="2" t="s">
        <v>71</v>
      </c>
      <c r="AD18" s="2" t="s">
        <v>71</v>
      </c>
      <c r="AE18" s="2" t="s">
        <v>80</v>
      </c>
      <c r="AF18" s="5" t="s">
        <v>700</v>
      </c>
      <c r="AG18">
        <v>2</v>
      </c>
    </row>
    <row r="19" spans="1:33" ht="64" hidden="1" x14ac:dyDescent="0.2">
      <c r="A19">
        <v>1112464691</v>
      </c>
      <c r="B19" s="2">
        <f>VLOOKUP(A19,[1]TRATAMIENTI!$A:$B,2,FALSE)</f>
        <v>224</v>
      </c>
      <c r="C19" t="s">
        <v>701</v>
      </c>
      <c r="D19">
        <v>3142873274</v>
      </c>
      <c r="E19" t="s">
        <v>702</v>
      </c>
      <c r="F19" t="s">
        <v>561</v>
      </c>
      <c r="G19" s="2" t="str">
        <f t="shared" si="0"/>
        <v>VALLE DEL CAUCA</v>
      </c>
      <c r="H19" t="s">
        <v>476</v>
      </c>
      <c r="I19" s="4" t="s">
        <v>651</v>
      </c>
      <c r="J19" s="2" t="s">
        <v>71</v>
      </c>
      <c r="K19" s="2" t="s">
        <v>71</v>
      </c>
      <c r="L19" s="2" t="s">
        <v>71</v>
      </c>
      <c r="M19" s="2" t="s">
        <v>72</v>
      </c>
      <c r="N19" s="2" t="s">
        <v>76</v>
      </c>
      <c r="O19" s="2" t="s">
        <v>72</v>
      </c>
      <c r="P19" s="2" t="s">
        <v>72</v>
      </c>
      <c r="Q19" s="2" t="s">
        <v>72</v>
      </c>
      <c r="R19" s="2" t="s">
        <v>76</v>
      </c>
      <c r="S19" s="2" t="s">
        <v>72</v>
      </c>
      <c r="T19" s="2" t="s">
        <v>71</v>
      </c>
      <c r="U19" s="2" t="s">
        <v>71</v>
      </c>
      <c r="V19" s="2" t="s">
        <v>76</v>
      </c>
      <c r="W19" s="2" t="s">
        <v>72</v>
      </c>
      <c r="X19" s="2" t="s">
        <v>76</v>
      </c>
      <c r="Y19" s="2" t="s">
        <v>76</v>
      </c>
      <c r="Z19" s="2" t="s">
        <v>76</v>
      </c>
      <c r="AA19" s="2" t="s">
        <v>71</v>
      </c>
      <c r="AB19" s="2" t="s">
        <v>76</v>
      </c>
      <c r="AC19" s="2" t="s">
        <v>71</v>
      </c>
      <c r="AD19" s="2" t="s">
        <v>71</v>
      </c>
      <c r="AE19" s="2" t="s">
        <v>80</v>
      </c>
      <c r="AF19" s="5" t="s">
        <v>703</v>
      </c>
      <c r="AG19">
        <v>3</v>
      </c>
    </row>
    <row r="20" spans="1:33" ht="48" hidden="1" x14ac:dyDescent="0.2">
      <c r="A20">
        <v>1114729169</v>
      </c>
      <c r="B20" s="2">
        <f>VLOOKUP(A20,[1]TRATAMIENTI!$A:$B,2,FALSE)</f>
        <v>225</v>
      </c>
      <c r="C20" t="s">
        <v>704</v>
      </c>
      <c r="D20">
        <v>3202663175</v>
      </c>
      <c r="E20" t="s">
        <v>705</v>
      </c>
      <c r="F20" t="s">
        <v>561</v>
      </c>
      <c r="G20" s="2" t="str">
        <f t="shared" si="0"/>
        <v>VALLE DEL CAUCA</v>
      </c>
      <c r="H20" t="s">
        <v>476</v>
      </c>
      <c r="I20" s="4" t="s">
        <v>651</v>
      </c>
      <c r="J20" s="2" t="s">
        <v>76</v>
      </c>
      <c r="K20" s="2" t="s">
        <v>76</v>
      </c>
      <c r="L20" s="2" t="s">
        <v>71</v>
      </c>
      <c r="M20" s="2" t="s">
        <v>71</v>
      </c>
      <c r="N20" s="2" t="s">
        <v>71</v>
      </c>
      <c r="O20" s="2" t="s">
        <v>71</v>
      </c>
      <c r="P20" s="2" t="s">
        <v>71</v>
      </c>
      <c r="Q20" s="2" t="s">
        <v>71</v>
      </c>
      <c r="R20" s="2" t="s">
        <v>71</v>
      </c>
      <c r="S20" s="2" t="s">
        <v>71</v>
      </c>
      <c r="T20" s="2" t="s">
        <v>71</v>
      </c>
      <c r="U20" s="2" t="s">
        <v>71</v>
      </c>
      <c r="V20" s="2" t="s">
        <v>71</v>
      </c>
      <c r="W20" s="2" t="s">
        <v>71</v>
      </c>
      <c r="X20" s="2" t="s">
        <v>71</v>
      </c>
      <c r="Y20" s="2" t="s">
        <v>71</v>
      </c>
      <c r="Z20" s="2" t="s">
        <v>71</v>
      </c>
      <c r="AA20" s="2" t="s">
        <v>71</v>
      </c>
      <c r="AB20" s="2" t="s">
        <v>71</v>
      </c>
      <c r="AC20" s="2" t="s">
        <v>71</v>
      </c>
      <c r="AD20" s="2" t="s">
        <v>71</v>
      </c>
      <c r="AE20" s="2" t="s">
        <v>73</v>
      </c>
      <c r="AF20" s="5" t="s">
        <v>706</v>
      </c>
      <c r="AG20">
        <v>1</v>
      </c>
    </row>
    <row r="21" spans="1:33" ht="64" hidden="1" x14ac:dyDescent="0.2">
      <c r="A21">
        <v>1130591575</v>
      </c>
      <c r="B21" s="2">
        <f>VLOOKUP(A21,[1]TRATAMIENTI!$A:$B,2,FALSE)</f>
        <v>228</v>
      </c>
      <c r="C21" t="s">
        <v>707</v>
      </c>
      <c r="D21">
        <v>3105927103</v>
      </c>
      <c r="E21" t="s">
        <v>708</v>
      </c>
      <c r="F21" t="s">
        <v>561</v>
      </c>
      <c r="G21" s="2" t="str">
        <f t="shared" si="0"/>
        <v>VALLE DEL CAUCA</v>
      </c>
      <c r="H21" t="s">
        <v>476</v>
      </c>
      <c r="I21" s="4" t="s">
        <v>651</v>
      </c>
      <c r="J21" s="2" t="s">
        <v>71</v>
      </c>
      <c r="K21" s="2" t="s">
        <v>71</v>
      </c>
      <c r="L21" s="2" t="s">
        <v>71</v>
      </c>
      <c r="M21" s="2" t="s">
        <v>72</v>
      </c>
      <c r="N21" s="2" t="s">
        <v>71</v>
      </c>
      <c r="O21" s="2" t="s">
        <v>72</v>
      </c>
      <c r="P21" s="2" t="s">
        <v>72</v>
      </c>
      <c r="Q21" s="2" t="s">
        <v>72</v>
      </c>
      <c r="R21" s="2" t="s">
        <v>76</v>
      </c>
      <c r="S21" s="2" t="s">
        <v>71</v>
      </c>
      <c r="T21" s="2" t="s">
        <v>71</v>
      </c>
      <c r="U21" s="2" t="s">
        <v>72</v>
      </c>
      <c r="V21" s="2" t="s">
        <v>72</v>
      </c>
      <c r="W21" s="2" t="s">
        <v>72</v>
      </c>
      <c r="X21" s="2" t="s">
        <v>76</v>
      </c>
      <c r="Y21" s="2" t="s">
        <v>76</v>
      </c>
      <c r="Z21" s="2" t="s">
        <v>76</v>
      </c>
      <c r="AA21" s="2" t="s">
        <v>71</v>
      </c>
      <c r="AB21" s="2" t="s">
        <v>76</v>
      </c>
      <c r="AC21" s="2" t="s">
        <v>71</v>
      </c>
      <c r="AD21" s="2" t="s">
        <v>72</v>
      </c>
      <c r="AE21" s="2" t="s">
        <v>80</v>
      </c>
      <c r="AF21" s="5" t="s">
        <v>709</v>
      </c>
      <c r="AG21">
        <v>2</v>
      </c>
    </row>
    <row r="22" spans="1:33" ht="64" hidden="1" x14ac:dyDescent="0.2">
      <c r="A22">
        <v>1130609656</v>
      </c>
      <c r="B22" s="2">
        <f>VLOOKUP(A22,[1]TRATAMIENTI!$A:$B,2,FALSE)</f>
        <v>229</v>
      </c>
      <c r="C22" t="s">
        <v>710</v>
      </c>
      <c r="D22">
        <v>3146760645</v>
      </c>
      <c r="E22" t="s">
        <v>711</v>
      </c>
      <c r="F22" t="s">
        <v>561</v>
      </c>
      <c r="G22" s="2" t="str">
        <f t="shared" si="0"/>
        <v>VALLE DEL CAUCA</v>
      </c>
      <c r="H22" t="s">
        <v>476</v>
      </c>
      <c r="I22" s="4" t="s">
        <v>651</v>
      </c>
      <c r="J22" s="2" t="s">
        <v>71</v>
      </c>
      <c r="K22" s="2" t="s">
        <v>71</v>
      </c>
      <c r="L22" s="2" t="s">
        <v>71</v>
      </c>
      <c r="M22" s="2" t="s">
        <v>72</v>
      </c>
      <c r="N22" s="2" t="s">
        <v>76</v>
      </c>
      <c r="O22" s="2" t="s">
        <v>72</v>
      </c>
      <c r="P22" s="2" t="s">
        <v>72</v>
      </c>
      <c r="Q22" s="2" t="s">
        <v>72</v>
      </c>
      <c r="R22" s="2" t="s">
        <v>76</v>
      </c>
      <c r="S22" s="2" t="s">
        <v>72</v>
      </c>
      <c r="T22" s="2" t="s">
        <v>71</v>
      </c>
      <c r="U22" s="2" t="s">
        <v>71</v>
      </c>
      <c r="V22" s="2" t="s">
        <v>72</v>
      </c>
      <c r="W22" s="2" t="s">
        <v>72</v>
      </c>
      <c r="X22" s="2" t="s">
        <v>76</v>
      </c>
      <c r="Y22" s="2" t="s">
        <v>76</v>
      </c>
      <c r="Z22" s="2" t="s">
        <v>76</v>
      </c>
      <c r="AA22" s="2" t="s">
        <v>72</v>
      </c>
      <c r="AB22" s="2" t="s">
        <v>72</v>
      </c>
      <c r="AC22" s="2" t="s">
        <v>72</v>
      </c>
      <c r="AD22" s="2" t="s">
        <v>71</v>
      </c>
      <c r="AE22" s="2" t="s">
        <v>80</v>
      </c>
      <c r="AF22" s="5" t="s">
        <v>712</v>
      </c>
      <c r="AG22">
        <v>2</v>
      </c>
    </row>
    <row r="23" spans="1:33" ht="49" hidden="1" x14ac:dyDescent="0.2">
      <c r="A23">
        <v>1130611960</v>
      </c>
      <c r="B23" s="2">
        <f>VLOOKUP(A23,[1]TRATAMIENTI!$A:$B,2,FALSE)</f>
        <v>230</v>
      </c>
      <c r="C23" t="s">
        <v>713</v>
      </c>
      <c r="E23" t="s">
        <v>714</v>
      </c>
      <c r="F23" t="s">
        <v>561</v>
      </c>
      <c r="G23" s="2" t="str">
        <f t="shared" si="0"/>
        <v>VALLE DEL CAUCA</v>
      </c>
      <c r="H23" t="s">
        <v>476</v>
      </c>
      <c r="I23" s="4" t="s">
        <v>651</v>
      </c>
      <c r="J23" s="2" t="s">
        <v>76</v>
      </c>
      <c r="K23" s="2" t="s">
        <v>76</v>
      </c>
      <c r="L23" s="2" t="s">
        <v>71</v>
      </c>
      <c r="M23" s="2" t="s">
        <v>71</v>
      </c>
      <c r="N23" s="2" t="s">
        <v>71</v>
      </c>
      <c r="O23" s="2" t="s">
        <v>71</v>
      </c>
      <c r="P23" s="2" t="s">
        <v>71</v>
      </c>
      <c r="Q23" s="2" t="s">
        <v>71</v>
      </c>
      <c r="R23" s="2" t="s">
        <v>71</v>
      </c>
      <c r="S23" s="2" t="s">
        <v>71</v>
      </c>
      <c r="T23" s="2" t="s">
        <v>71</v>
      </c>
      <c r="U23" s="2" t="s">
        <v>71</v>
      </c>
      <c r="V23" s="2" t="s">
        <v>71</v>
      </c>
      <c r="W23" s="2" t="s">
        <v>71</v>
      </c>
      <c r="X23" s="2" t="s">
        <v>76</v>
      </c>
      <c r="Y23" s="2" t="s">
        <v>76</v>
      </c>
      <c r="Z23" s="2" t="s">
        <v>76</v>
      </c>
      <c r="AA23" s="2" t="s">
        <v>72</v>
      </c>
      <c r="AB23" s="2" t="s">
        <v>76</v>
      </c>
      <c r="AC23" s="2" t="s">
        <v>72</v>
      </c>
      <c r="AD23" s="2" t="s">
        <v>72</v>
      </c>
      <c r="AE23" s="2" t="s">
        <v>77</v>
      </c>
      <c r="AF23" s="5" t="s">
        <v>715</v>
      </c>
      <c r="AG23">
        <v>1</v>
      </c>
    </row>
    <row r="24" spans="1:33" ht="64" hidden="1" x14ac:dyDescent="0.2">
      <c r="A24" s="2">
        <v>1136060053</v>
      </c>
      <c r="B24" s="2">
        <f>VLOOKUP(A24,[1]TRATAMIENTI!$A:$B,2,FALSE)</f>
        <v>233</v>
      </c>
      <c r="C24" t="s">
        <v>716</v>
      </c>
      <c r="D24">
        <v>3239870168</v>
      </c>
      <c r="E24" t="s">
        <v>717</v>
      </c>
      <c r="F24" t="s">
        <v>561</v>
      </c>
      <c r="G24" s="2" t="str">
        <f t="shared" si="0"/>
        <v>VALLE DEL CAUCA</v>
      </c>
      <c r="H24" t="s">
        <v>476</v>
      </c>
      <c r="I24" s="4" t="s">
        <v>651</v>
      </c>
      <c r="J24" s="2" t="s">
        <v>71</v>
      </c>
      <c r="K24" s="2" t="s">
        <v>71</v>
      </c>
      <c r="L24" s="2" t="s">
        <v>71</v>
      </c>
      <c r="M24" s="2" t="s">
        <v>72</v>
      </c>
      <c r="N24" s="2" t="s">
        <v>71</v>
      </c>
      <c r="O24" s="2" t="s">
        <v>72</v>
      </c>
      <c r="P24" s="2" t="s">
        <v>72</v>
      </c>
      <c r="Q24" s="2" t="s">
        <v>72</v>
      </c>
      <c r="R24" s="2" t="s">
        <v>76</v>
      </c>
      <c r="S24" s="2" t="s">
        <v>71</v>
      </c>
      <c r="T24" s="2" t="s">
        <v>71</v>
      </c>
      <c r="U24" s="2" t="s">
        <v>72</v>
      </c>
      <c r="V24" s="2" t="s">
        <v>71</v>
      </c>
      <c r="W24" s="2" t="s">
        <v>72</v>
      </c>
      <c r="X24" s="2" t="s">
        <v>76</v>
      </c>
      <c r="Y24" s="2" t="s">
        <v>76</v>
      </c>
      <c r="Z24" s="2" t="s">
        <v>76</v>
      </c>
      <c r="AA24" s="2" t="s">
        <v>72</v>
      </c>
      <c r="AB24" s="2" t="s">
        <v>72</v>
      </c>
      <c r="AC24" s="2" t="s">
        <v>72</v>
      </c>
      <c r="AD24" s="2" t="s">
        <v>72</v>
      </c>
      <c r="AE24" s="2" t="s">
        <v>80</v>
      </c>
      <c r="AF24" s="5" t="s">
        <v>718</v>
      </c>
      <c r="AG24">
        <v>1</v>
      </c>
    </row>
    <row r="25" spans="1:33" ht="64" hidden="1" x14ac:dyDescent="0.2">
      <c r="A25" s="2">
        <v>1143841537</v>
      </c>
      <c r="B25" s="2">
        <f>VLOOKUP(A25,[1]TRATAMIENTI!$A:$B,2,FALSE)</f>
        <v>236</v>
      </c>
      <c r="C25" t="s">
        <v>719</v>
      </c>
      <c r="D25" t="s">
        <v>720</v>
      </c>
      <c r="E25" t="s">
        <v>721</v>
      </c>
      <c r="F25" t="s">
        <v>561</v>
      </c>
      <c r="G25" s="2" t="str">
        <f t="shared" si="0"/>
        <v>VALLE DEL CAUCA</v>
      </c>
      <c r="H25" t="s">
        <v>476</v>
      </c>
      <c r="I25" s="4" t="s">
        <v>651</v>
      </c>
      <c r="J25" s="2" t="s">
        <v>71</v>
      </c>
      <c r="K25" s="2" t="s">
        <v>71</v>
      </c>
      <c r="L25" s="2" t="s">
        <v>71</v>
      </c>
      <c r="M25" s="2" t="s">
        <v>72</v>
      </c>
      <c r="N25" s="2" t="s">
        <v>71</v>
      </c>
      <c r="O25" s="2" t="s">
        <v>72</v>
      </c>
      <c r="P25" s="2" t="s">
        <v>72</v>
      </c>
      <c r="Q25" s="2" t="s">
        <v>72</v>
      </c>
      <c r="R25" s="2" t="s">
        <v>76</v>
      </c>
      <c r="S25" s="2" t="s">
        <v>72</v>
      </c>
      <c r="T25" s="2" t="s">
        <v>71</v>
      </c>
      <c r="U25" s="2" t="s">
        <v>71</v>
      </c>
      <c r="V25" s="2" t="s">
        <v>76</v>
      </c>
      <c r="W25" s="2" t="s">
        <v>72</v>
      </c>
      <c r="X25" s="2" t="s">
        <v>71</v>
      </c>
      <c r="Y25" s="2" t="s">
        <v>71</v>
      </c>
      <c r="Z25" s="2" t="s">
        <v>71</v>
      </c>
      <c r="AA25" s="2" t="s">
        <v>71</v>
      </c>
      <c r="AB25" s="2" t="s">
        <v>71</v>
      </c>
      <c r="AC25" s="2" t="s">
        <v>71</v>
      </c>
      <c r="AD25" s="2" t="s">
        <v>71</v>
      </c>
      <c r="AE25" s="2" t="s">
        <v>256</v>
      </c>
      <c r="AF25" s="5" t="s">
        <v>722</v>
      </c>
      <c r="AG25">
        <v>3</v>
      </c>
    </row>
    <row r="26" spans="1:33" ht="64" hidden="1" x14ac:dyDescent="0.2">
      <c r="A26" s="2">
        <v>1144030139</v>
      </c>
      <c r="B26" s="2">
        <f>VLOOKUP(A26,[1]TRATAMIENTI!$A:$B,2,FALSE)</f>
        <v>239</v>
      </c>
      <c r="C26" t="s">
        <v>723</v>
      </c>
      <c r="D26">
        <v>3107454069</v>
      </c>
      <c r="E26" s="2">
        <v>0</v>
      </c>
      <c r="F26" t="s">
        <v>561</v>
      </c>
      <c r="G26" s="2" t="str">
        <f t="shared" si="0"/>
        <v>VALLE DEL CAUCA</v>
      </c>
      <c r="H26" t="s">
        <v>476</v>
      </c>
      <c r="I26" s="4" t="s">
        <v>651</v>
      </c>
      <c r="J26" s="2" t="s">
        <v>71</v>
      </c>
      <c r="K26" s="2" t="s">
        <v>71</v>
      </c>
      <c r="L26" s="2" t="s">
        <v>71</v>
      </c>
      <c r="M26" s="2" t="s">
        <v>72</v>
      </c>
      <c r="N26" s="2" t="s">
        <v>71</v>
      </c>
      <c r="O26" s="2" t="s">
        <v>72</v>
      </c>
      <c r="P26" s="2" t="s">
        <v>72</v>
      </c>
      <c r="Q26" s="2" t="s">
        <v>72</v>
      </c>
      <c r="R26" s="2" t="s">
        <v>76</v>
      </c>
      <c r="S26" s="2" t="s">
        <v>71</v>
      </c>
      <c r="T26" s="2" t="s">
        <v>71</v>
      </c>
      <c r="U26" s="2" t="s">
        <v>72</v>
      </c>
      <c r="V26" s="2" t="s">
        <v>76</v>
      </c>
      <c r="W26" s="2" t="s">
        <v>72</v>
      </c>
      <c r="X26" s="2" t="s">
        <v>76</v>
      </c>
      <c r="Y26" s="2" t="s">
        <v>76</v>
      </c>
      <c r="Z26" s="2" t="s">
        <v>76</v>
      </c>
      <c r="AA26" s="2" t="s">
        <v>71</v>
      </c>
      <c r="AB26" s="2" t="s">
        <v>76</v>
      </c>
      <c r="AC26" s="2" t="s">
        <v>71</v>
      </c>
      <c r="AD26" s="2" t="s">
        <v>72</v>
      </c>
      <c r="AE26" s="2" t="s">
        <v>80</v>
      </c>
      <c r="AF26" s="5" t="s">
        <v>724</v>
      </c>
      <c r="AG26">
        <v>2</v>
      </c>
    </row>
    <row r="27" spans="1:33" ht="64" hidden="1" x14ac:dyDescent="0.2">
      <c r="A27" s="2">
        <v>1144034037</v>
      </c>
      <c r="B27" s="2">
        <f>VLOOKUP(A27,[1]TRATAMIENTI!$A:$B,2,FALSE)</f>
        <v>241</v>
      </c>
      <c r="C27" t="s">
        <v>725</v>
      </c>
      <c r="D27">
        <v>3174535250</v>
      </c>
      <c r="E27" t="s">
        <v>726</v>
      </c>
      <c r="F27" t="s">
        <v>561</v>
      </c>
      <c r="G27" s="2" t="str">
        <f t="shared" si="0"/>
        <v>VALLE DEL CAUCA</v>
      </c>
      <c r="H27" t="s">
        <v>476</v>
      </c>
      <c r="I27" s="4" t="s">
        <v>651</v>
      </c>
      <c r="J27" s="2" t="s">
        <v>71</v>
      </c>
      <c r="K27" s="2" t="s">
        <v>71</v>
      </c>
      <c r="L27" s="2" t="s">
        <v>71</v>
      </c>
      <c r="M27" s="2" t="s">
        <v>72</v>
      </c>
      <c r="N27" s="2" t="s">
        <v>71</v>
      </c>
      <c r="O27" s="2" t="s">
        <v>72</v>
      </c>
      <c r="P27" s="2" t="s">
        <v>72</v>
      </c>
      <c r="Q27" s="2" t="s">
        <v>72</v>
      </c>
      <c r="R27" s="2" t="s">
        <v>76</v>
      </c>
      <c r="S27" s="2" t="s">
        <v>71</v>
      </c>
      <c r="T27" s="2" t="s">
        <v>71</v>
      </c>
      <c r="U27" s="2" t="s">
        <v>72</v>
      </c>
      <c r="V27" s="2" t="s">
        <v>71</v>
      </c>
      <c r="W27" s="2" t="s">
        <v>72</v>
      </c>
      <c r="X27" s="2" t="s">
        <v>76</v>
      </c>
      <c r="Y27" s="2" t="s">
        <v>76</v>
      </c>
      <c r="Z27" s="2" t="s">
        <v>76</v>
      </c>
      <c r="AA27" s="2" t="s">
        <v>72</v>
      </c>
      <c r="AB27" s="2" t="s">
        <v>72</v>
      </c>
      <c r="AC27" s="2" t="s">
        <v>72</v>
      </c>
      <c r="AD27" s="2" t="s">
        <v>72</v>
      </c>
      <c r="AE27" s="2" t="s">
        <v>80</v>
      </c>
      <c r="AF27" s="5" t="s">
        <v>727</v>
      </c>
      <c r="AG27">
        <v>1</v>
      </c>
    </row>
    <row r="28" spans="1:33" ht="64" hidden="1" x14ac:dyDescent="0.2">
      <c r="A28" s="2">
        <v>1144045256</v>
      </c>
      <c r="B28" s="2">
        <f>VLOOKUP(A28,[1]TRATAMIENTI!$A:$B,2,FALSE)</f>
        <v>247</v>
      </c>
      <c r="C28" t="s">
        <v>728</v>
      </c>
      <c r="D28">
        <v>3164258746</v>
      </c>
      <c r="E28" t="s">
        <v>729</v>
      </c>
      <c r="F28" t="s">
        <v>561</v>
      </c>
      <c r="G28" s="2" t="str">
        <f t="shared" si="0"/>
        <v>VALLE DEL CAUCA</v>
      </c>
      <c r="H28" t="s">
        <v>476</v>
      </c>
      <c r="I28" s="4" t="s">
        <v>651</v>
      </c>
      <c r="J28" s="2" t="s">
        <v>71</v>
      </c>
      <c r="K28" s="2" t="s">
        <v>71</v>
      </c>
      <c r="L28" s="2" t="s">
        <v>71</v>
      </c>
      <c r="M28" s="2" t="s">
        <v>72</v>
      </c>
      <c r="N28" s="2" t="s">
        <v>71</v>
      </c>
      <c r="O28" s="2" t="s">
        <v>72</v>
      </c>
      <c r="P28" s="2" t="s">
        <v>72</v>
      </c>
      <c r="Q28" s="2" t="s">
        <v>72</v>
      </c>
      <c r="R28" s="2" t="s">
        <v>76</v>
      </c>
      <c r="S28" s="2" t="s">
        <v>72</v>
      </c>
      <c r="T28" s="2" t="s">
        <v>71</v>
      </c>
      <c r="U28" s="2" t="s">
        <v>71</v>
      </c>
      <c r="V28" s="2" t="s">
        <v>72</v>
      </c>
      <c r="W28" s="2" t="s">
        <v>72</v>
      </c>
      <c r="X28" s="2" t="s">
        <v>76</v>
      </c>
      <c r="Y28" s="2" t="s">
        <v>76</v>
      </c>
      <c r="Z28" s="2" t="s">
        <v>76</v>
      </c>
      <c r="AA28" s="2" t="s">
        <v>71</v>
      </c>
      <c r="AB28" s="2" t="s">
        <v>76</v>
      </c>
      <c r="AC28" s="2" t="s">
        <v>71</v>
      </c>
      <c r="AD28" s="2" t="s">
        <v>76</v>
      </c>
      <c r="AE28" s="2" t="s">
        <v>80</v>
      </c>
      <c r="AF28" s="5" t="s">
        <v>730</v>
      </c>
      <c r="AG28">
        <v>2</v>
      </c>
    </row>
    <row r="29" spans="1:33" ht="64" hidden="1" x14ac:dyDescent="0.2">
      <c r="A29" s="2">
        <v>1144046952</v>
      </c>
      <c r="B29" s="2">
        <f>VLOOKUP(A29,[1]TRATAMIENTI!$A:$B,2,FALSE)</f>
        <v>249</v>
      </c>
      <c r="C29" t="s">
        <v>731</v>
      </c>
      <c r="D29">
        <v>3127869602</v>
      </c>
      <c r="E29" t="s">
        <v>732</v>
      </c>
      <c r="F29" t="s">
        <v>561</v>
      </c>
      <c r="G29" s="2" t="str">
        <f t="shared" si="0"/>
        <v>VALLE DEL CAUCA</v>
      </c>
      <c r="H29" t="s">
        <v>476</v>
      </c>
      <c r="I29" s="4" t="s">
        <v>651</v>
      </c>
      <c r="J29" s="2" t="s">
        <v>71</v>
      </c>
      <c r="K29" s="2" t="s">
        <v>71</v>
      </c>
      <c r="L29" s="2" t="s">
        <v>71</v>
      </c>
      <c r="M29" s="2" t="s">
        <v>72</v>
      </c>
      <c r="N29" s="2" t="s">
        <v>71</v>
      </c>
      <c r="O29" s="2" t="s">
        <v>72</v>
      </c>
      <c r="P29" s="2" t="s">
        <v>72</v>
      </c>
      <c r="Q29" s="2" t="s">
        <v>72</v>
      </c>
      <c r="R29" s="2" t="s">
        <v>76</v>
      </c>
      <c r="S29" s="2" t="s">
        <v>72</v>
      </c>
      <c r="T29" s="2" t="s">
        <v>71</v>
      </c>
      <c r="U29" s="2" t="s">
        <v>71</v>
      </c>
      <c r="V29" s="2" t="s">
        <v>76</v>
      </c>
      <c r="W29" s="2" t="s">
        <v>72</v>
      </c>
      <c r="X29" s="2" t="s">
        <v>76</v>
      </c>
      <c r="Y29" s="2" t="s">
        <v>76</v>
      </c>
      <c r="Z29" s="2" t="s">
        <v>76</v>
      </c>
      <c r="AA29" s="2" t="s">
        <v>72</v>
      </c>
      <c r="AB29" s="2" t="s">
        <v>76</v>
      </c>
      <c r="AC29" s="2" t="s">
        <v>72</v>
      </c>
      <c r="AD29" s="2" t="s">
        <v>71</v>
      </c>
      <c r="AE29" s="2" t="s">
        <v>80</v>
      </c>
      <c r="AF29" s="5" t="s">
        <v>733</v>
      </c>
      <c r="AG29">
        <v>2</v>
      </c>
    </row>
    <row r="30" spans="1:33" ht="48" hidden="1" x14ac:dyDescent="0.2">
      <c r="A30" s="2">
        <v>1144051270</v>
      </c>
      <c r="B30" s="2">
        <f>VLOOKUP(A30,[1]TRATAMIENTI!$A:$B,2,FALSE)</f>
        <v>250</v>
      </c>
      <c r="C30" t="s">
        <v>734</v>
      </c>
      <c r="D30">
        <v>3204811110</v>
      </c>
      <c r="E30" t="s">
        <v>735</v>
      </c>
      <c r="F30" t="s">
        <v>561</v>
      </c>
      <c r="G30" s="2" t="str">
        <f t="shared" si="0"/>
        <v>VALLE DEL CAUCA</v>
      </c>
      <c r="H30" t="s">
        <v>476</v>
      </c>
      <c r="I30" s="4" t="s">
        <v>651</v>
      </c>
      <c r="J30" s="2" t="s">
        <v>76</v>
      </c>
      <c r="K30" s="2" t="s">
        <v>76</v>
      </c>
      <c r="L30" s="2" t="s">
        <v>71</v>
      </c>
      <c r="M30" s="2" t="s">
        <v>71</v>
      </c>
      <c r="N30" s="2" t="s">
        <v>71</v>
      </c>
      <c r="O30" s="2" t="s">
        <v>71</v>
      </c>
      <c r="P30" s="2" t="s">
        <v>71</v>
      </c>
      <c r="Q30" s="2" t="s">
        <v>71</v>
      </c>
      <c r="R30" s="2" t="s">
        <v>71</v>
      </c>
      <c r="S30" s="2" t="s">
        <v>71</v>
      </c>
      <c r="T30" s="2" t="s">
        <v>71</v>
      </c>
      <c r="U30" s="2" t="s">
        <v>71</v>
      </c>
      <c r="V30" s="2" t="s">
        <v>71</v>
      </c>
      <c r="W30" s="2" t="s">
        <v>71</v>
      </c>
      <c r="X30" s="2" t="s">
        <v>71</v>
      </c>
      <c r="Y30" s="2" t="s">
        <v>71</v>
      </c>
      <c r="Z30" s="2" t="s">
        <v>71</v>
      </c>
      <c r="AA30" s="2" t="s">
        <v>71</v>
      </c>
      <c r="AB30" s="2" t="s">
        <v>71</v>
      </c>
      <c r="AC30" s="2" t="s">
        <v>71</v>
      </c>
      <c r="AD30" s="2" t="s">
        <v>71</v>
      </c>
      <c r="AE30" s="2" t="s">
        <v>73</v>
      </c>
      <c r="AF30" s="5" t="s">
        <v>736</v>
      </c>
      <c r="AG30">
        <v>3</v>
      </c>
    </row>
    <row r="31" spans="1:33" ht="61" hidden="1" x14ac:dyDescent="0.2">
      <c r="A31" s="2">
        <v>1144065963</v>
      </c>
      <c r="B31" s="2">
        <f>VLOOKUP(A31,[1]TRATAMIENTI!$A:$B,2,FALSE)</f>
        <v>252</v>
      </c>
      <c r="C31" t="s">
        <v>737</v>
      </c>
      <c r="D31">
        <v>3117245233</v>
      </c>
      <c r="E31" t="s">
        <v>738</v>
      </c>
      <c r="F31" t="s">
        <v>561</v>
      </c>
      <c r="G31" s="2" t="str">
        <f t="shared" si="0"/>
        <v>VALLE DEL CAUCA</v>
      </c>
      <c r="H31" t="s">
        <v>476</v>
      </c>
      <c r="I31" s="4" t="s">
        <v>651</v>
      </c>
      <c r="J31" s="2" t="s">
        <v>76</v>
      </c>
      <c r="K31" s="2" t="s">
        <v>76</v>
      </c>
      <c r="L31" s="2" t="s">
        <v>71</v>
      </c>
      <c r="M31" s="2" t="s">
        <v>72</v>
      </c>
      <c r="N31" s="2" t="s">
        <v>76</v>
      </c>
      <c r="O31" s="2" t="s">
        <v>72</v>
      </c>
      <c r="P31" s="2" t="s">
        <v>72</v>
      </c>
      <c r="Q31" s="2" t="s">
        <v>72</v>
      </c>
      <c r="R31" s="2" t="s">
        <v>76</v>
      </c>
      <c r="S31" s="2" t="s">
        <v>72</v>
      </c>
      <c r="T31" s="2" t="s">
        <v>71</v>
      </c>
      <c r="U31" s="2" t="s">
        <v>71</v>
      </c>
      <c r="V31" s="2" t="s">
        <v>76</v>
      </c>
      <c r="W31" s="2" t="s">
        <v>72</v>
      </c>
      <c r="X31" s="2" t="s">
        <v>76</v>
      </c>
      <c r="Y31" s="2" t="s">
        <v>76</v>
      </c>
      <c r="Z31" s="2" t="s">
        <v>76</v>
      </c>
      <c r="AA31" s="2" t="s">
        <v>72</v>
      </c>
      <c r="AB31" s="2" t="s">
        <v>76</v>
      </c>
      <c r="AC31" s="2" t="s">
        <v>72</v>
      </c>
      <c r="AD31" s="2" t="s">
        <v>72</v>
      </c>
      <c r="AE31" s="2" t="s">
        <v>91</v>
      </c>
      <c r="AF31" s="5" t="s">
        <v>739</v>
      </c>
      <c r="AG31">
        <v>1</v>
      </c>
    </row>
    <row r="32" spans="1:33" ht="64" hidden="1" x14ac:dyDescent="0.2">
      <c r="A32" s="2">
        <v>1144071056</v>
      </c>
      <c r="B32" s="2">
        <f>VLOOKUP(A32,[1]TRATAMIENTI!$A:$B,2,FALSE)</f>
        <v>253</v>
      </c>
      <c r="C32" t="s">
        <v>740</v>
      </c>
      <c r="D32">
        <v>0</v>
      </c>
      <c r="E32" t="s">
        <v>741</v>
      </c>
      <c r="F32" t="s">
        <v>561</v>
      </c>
      <c r="G32" s="2" t="str">
        <f t="shared" si="0"/>
        <v>VALLE DEL CAUCA</v>
      </c>
      <c r="H32" t="s">
        <v>476</v>
      </c>
      <c r="I32" s="4" t="s">
        <v>651</v>
      </c>
      <c r="J32" s="2" t="s">
        <v>72</v>
      </c>
      <c r="K32" s="2" t="s">
        <v>71</v>
      </c>
      <c r="L32" s="2" t="s">
        <v>71</v>
      </c>
      <c r="M32" s="2" t="s">
        <v>72</v>
      </c>
      <c r="N32" s="2" t="s">
        <v>76</v>
      </c>
      <c r="O32" s="2" t="s">
        <v>72</v>
      </c>
      <c r="P32" s="2" t="s">
        <v>72</v>
      </c>
      <c r="Q32" s="2" t="s">
        <v>72</v>
      </c>
      <c r="R32" s="2" t="s">
        <v>76</v>
      </c>
      <c r="S32" s="2" t="s">
        <v>72</v>
      </c>
      <c r="T32" s="2" t="s">
        <v>71</v>
      </c>
      <c r="U32" s="2" t="s">
        <v>71</v>
      </c>
      <c r="V32" s="2" t="s">
        <v>76</v>
      </c>
      <c r="W32" s="2" t="s">
        <v>72</v>
      </c>
      <c r="X32" s="2" t="s">
        <v>76</v>
      </c>
      <c r="Y32" s="2" t="s">
        <v>76</v>
      </c>
      <c r="Z32" s="2" t="s">
        <v>76</v>
      </c>
      <c r="AA32" s="2" t="s">
        <v>72</v>
      </c>
      <c r="AB32" s="2" t="s">
        <v>76</v>
      </c>
      <c r="AC32" s="2" t="s">
        <v>72</v>
      </c>
      <c r="AD32" s="2" t="s">
        <v>72</v>
      </c>
      <c r="AE32" s="2" t="s">
        <v>80</v>
      </c>
      <c r="AF32" s="5" t="s">
        <v>742</v>
      </c>
      <c r="AG32">
        <v>1</v>
      </c>
    </row>
    <row r="33" spans="1:33" ht="73" hidden="1" x14ac:dyDescent="0.2">
      <c r="A33" s="2">
        <v>1144160399</v>
      </c>
      <c r="B33" s="2">
        <f>VLOOKUP(A33,[1]TRATAMIENTI!$A:$B,2,FALSE)</f>
        <v>257</v>
      </c>
      <c r="C33" t="s">
        <v>743</v>
      </c>
      <c r="D33">
        <v>3174202310</v>
      </c>
      <c r="E33" t="s">
        <v>744</v>
      </c>
      <c r="F33" t="s">
        <v>561</v>
      </c>
      <c r="G33" s="2" t="str">
        <f t="shared" si="0"/>
        <v>VALLE DEL CAUCA</v>
      </c>
      <c r="H33" t="s">
        <v>476</v>
      </c>
      <c r="I33" s="4" t="s">
        <v>651</v>
      </c>
      <c r="J33" s="2" t="s">
        <v>71</v>
      </c>
      <c r="K33" s="2" t="s">
        <v>76</v>
      </c>
      <c r="L33" s="2" t="s">
        <v>71</v>
      </c>
      <c r="M33" s="2" t="s">
        <v>72</v>
      </c>
      <c r="N33" s="2" t="s">
        <v>71</v>
      </c>
      <c r="O33" s="2" t="s">
        <v>72</v>
      </c>
      <c r="P33" s="2" t="s">
        <v>72</v>
      </c>
      <c r="Q33" s="2" t="s">
        <v>72</v>
      </c>
      <c r="R33" s="2" t="s">
        <v>76</v>
      </c>
      <c r="S33" s="2" t="s">
        <v>71</v>
      </c>
      <c r="T33" s="2" t="s">
        <v>71</v>
      </c>
      <c r="U33" s="2" t="s">
        <v>76</v>
      </c>
      <c r="V33" s="2" t="s">
        <v>72</v>
      </c>
      <c r="W33" s="2" t="s">
        <v>71</v>
      </c>
      <c r="X33" s="2" t="s">
        <v>71</v>
      </c>
      <c r="Y33" s="2" t="s">
        <v>71</v>
      </c>
      <c r="Z33" s="2" t="s">
        <v>71</v>
      </c>
      <c r="AA33" s="2" t="s">
        <v>71</v>
      </c>
      <c r="AB33" s="2" t="s">
        <v>71</v>
      </c>
      <c r="AC33" s="2" t="s">
        <v>71</v>
      </c>
      <c r="AD33" s="2" t="s">
        <v>71</v>
      </c>
      <c r="AE33" s="2" t="s">
        <v>91</v>
      </c>
      <c r="AF33" s="5" t="s">
        <v>745</v>
      </c>
      <c r="AG33">
        <v>2</v>
      </c>
    </row>
    <row r="34" spans="1:33" ht="64" hidden="1" x14ac:dyDescent="0.2">
      <c r="A34" s="2">
        <v>12798984</v>
      </c>
      <c r="B34" s="2">
        <f>VLOOKUP(A34,[1]TRATAMIENTI!$A:$B,2,FALSE)</f>
        <v>259</v>
      </c>
      <c r="C34" t="s">
        <v>746</v>
      </c>
      <c r="D34">
        <v>3027788168</v>
      </c>
      <c r="E34">
        <v>0</v>
      </c>
      <c r="F34" t="s">
        <v>561</v>
      </c>
      <c r="G34" s="2" t="str">
        <f t="shared" si="0"/>
        <v>VALLE DEL CAUCA</v>
      </c>
      <c r="H34" t="s">
        <v>476</v>
      </c>
      <c r="I34" s="4" t="s">
        <v>651</v>
      </c>
      <c r="J34" s="2" t="s">
        <v>71</v>
      </c>
      <c r="K34" s="2" t="s">
        <v>71</v>
      </c>
      <c r="L34" s="2" t="s">
        <v>71</v>
      </c>
      <c r="M34" s="2" t="s">
        <v>72</v>
      </c>
      <c r="N34" s="2" t="s">
        <v>71</v>
      </c>
      <c r="O34" s="2" t="s">
        <v>72</v>
      </c>
      <c r="P34" s="2" t="s">
        <v>72</v>
      </c>
      <c r="Q34" s="2" t="s">
        <v>72</v>
      </c>
      <c r="R34" s="2" t="s">
        <v>76</v>
      </c>
      <c r="S34" s="2" t="s">
        <v>72</v>
      </c>
      <c r="T34" s="2" t="s">
        <v>76</v>
      </c>
      <c r="U34" s="2" t="s">
        <v>72</v>
      </c>
      <c r="V34" s="2" t="s">
        <v>76</v>
      </c>
      <c r="W34" s="2" t="s">
        <v>76</v>
      </c>
      <c r="X34" s="2" t="s">
        <v>76</v>
      </c>
      <c r="Y34" s="2" t="s">
        <v>72</v>
      </c>
      <c r="Z34" s="2" t="s">
        <v>72</v>
      </c>
      <c r="AA34" s="2" t="s">
        <v>72</v>
      </c>
      <c r="AB34" s="2" t="s">
        <v>72</v>
      </c>
      <c r="AC34" s="2"/>
      <c r="AD34" s="2"/>
      <c r="AE34" s="2" t="s">
        <v>80</v>
      </c>
      <c r="AG34">
        <v>1</v>
      </c>
    </row>
    <row r="35" spans="1:33" ht="64" hidden="1" x14ac:dyDescent="0.2">
      <c r="A35" s="2">
        <v>1381356</v>
      </c>
      <c r="B35" s="2">
        <f>VLOOKUP(A35,[1]TRATAMIENTI!$A:$B,2,FALSE)</f>
        <v>260</v>
      </c>
      <c r="C35" t="s">
        <v>747</v>
      </c>
      <c r="D35">
        <v>3127569316</v>
      </c>
      <c r="E35" t="s">
        <v>748</v>
      </c>
      <c r="F35" t="s">
        <v>561</v>
      </c>
      <c r="G35" s="2" t="str">
        <f t="shared" si="0"/>
        <v>VALLE DEL CAUCA</v>
      </c>
      <c r="H35" t="s">
        <v>476</v>
      </c>
      <c r="I35" s="4" t="s">
        <v>651</v>
      </c>
      <c r="J35" s="2" t="s">
        <v>71</v>
      </c>
      <c r="K35" s="2" t="s">
        <v>76</v>
      </c>
      <c r="L35" s="2" t="s">
        <v>71</v>
      </c>
      <c r="M35" s="2" t="s">
        <v>72</v>
      </c>
      <c r="N35" s="2" t="s">
        <v>76</v>
      </c>
      <c r="O35" s="2" t="s">
        <v>72</v>
      </c>
      <c r="P35" s="2" t="s">
        <v>72</v>
      </c>
      <c r="Q35" s="2" t="s">
        <v>72</v>
      </c>
      <c r="R35" s="2" t="s">
        <v>76</v>
      </c>
      <c r="S35" s="2" t="s">
        <v>72</v>
      </c>
      <c r="T35" s="2" t="s">
        <v>71</v>
      </c>
      <c r="U35" s="2" t="s">
        <v>71</v>
      </c>
      <c r="V35" s="2" t="s">
        <v>76</v>
      </c>
      <c r="W35" s="2" t="s">
        <v>72</v>
      </c>
      <c r="X35" s="2" t="s">
        <v>71</v>
      </c>
      <c r="Y35" s="2" t="s">
        <v>71</v>
      </c>
      <c r="Z35" s="2" t="s">
        <v>71</v>
      </c>
      <c r="AA35" s="2" t="s">
        <v>71</v>
      </c>
      <c r="AB35" s="2" t="s">
        <v>71</v>
      </c>
      <c r="AC35" s="2" t="s">
        <v>71</v>
      </c>
      <c r="AD35" s="2" t="s">
        <v>71</v>
      </c>
      <c r="AE35" s="2" t="s">
        <v>85</v>
      </c>
      <c r="AF35" s="5" t="s">
        <v>749</v>
      </c>
      <c r="AG35">
        <v>2</v>
      </c>
    </row>
    <row r="36" spans="1:33" ht="73" hidden="1" x14ac:dyDescent="0.2">
      <c r="A36" s="2">
        <v>14446046</v>
      </c>
      <c r="B36" s="2">
        <f>VLOOKUP(A36,[1]TRATAMIENTI!$A:$B,2,FALSE)</f>
        <v>261</v>
      </c>
      <c r="C36" t="s">
        <v>750</v>
      </c>
      <c r="D36">
        <v>3155617786</v>
      </c>
      <c r="E36" t="s">
        <v>751</v>
      </c>
      <c r="F36" t="s">
        <v>561</v>
      </c>
      <c r="G36" s="2" t="str">
        <f t="shared" si="0"/>
        <v>VALLE DEL CAUCA</v>
      </c>
      <c r="H36" t="s">
        <v>476</v>
      </c>
      <c r="I36" s="4" t="s">
        <v>651</v>
      </c>
      <c r="J36" s="2" t="s">
        <v>71</v>
      </c>
      <c r="K36" s="2" t="s">
        <v>76</v>
      </c>
      <c r="L36" s="2" t="s">
        <v>71</v>
      </c>
      <c r="M36" s="2" t="s">
        <v>72</v>
      </c>
      <c r="N36" s="2" t="s">
        <v>71</v>
      </c>
      <c r="O36" s="2" t="s">
        <v>72</v>
      </c>
      <c r="P36" s="2" t="s">
        <v>72</v>
      </c>
      <c r="Q36" s="2" t="s">
        <v>72</v>
      </c>
      <c r="R36" s="2" t="s">
        <v>76</v>
      </c>
      <c r="S36" s="2" t="s">
        <v>72</v>
      </c>
      <c r="T36" s="2" t="s">
        <v>71</v>
      </c>
      <c r="U36" s="2" t="s">
        <v>71</v>
      </c>
      <c r="V36" s="2" t="s">
        <v>76</v>
      </c>
      <c r="W36" s="2" t="s">
        <v>72</v>
      </c>
      <c r="X36" s="2" t="s">
        <v>76</v>
      </c>
      <c r="Y36" s="2" t="s">
        <v>76</v>
      </c>
      <c r="Z36" s="2" t="s">
        <v>76</v>
      </c>
      <c r="AA36" s="2" t="s">
        <v>72</v>
      </c>
      <c r="AB36" s="2" t="s">
        <v>76</v>
      </c>
      <c r="AC36" s="2" t="s">
        <v>72</v>
      </c>
      <c r="AD36" s="2" t="s">
        <v>72</v>
      </c>
      <c r="AE36" s="2" t="s">
        <v>91</v>
      </c>
      <c r="AF36" s="5" t="s">
        <v>752</v>
      </c>
      <c r="AG36">
        <v>1</v>
      </c>
    </row>
    <row r="37" spans="1:33" ht="73" hidden="1" x14ac:dyDescent="0.2">
      <c r="A37" s="2">
        <v>15609707</v>
      </c>
      <c r="B37" s="2">
        <f>VLOOKUP(A37,[1]TRATAMIENTI!$A:$B,2,FALSE)</f>
        <v>264</v>
      </c>
      <c r="C37" t="s">
        <v>753</v>
      </c>
      <c r="D37">
        <v>3117221766</v>
      </c>
      <c r="E37" t="s">
        <v>754</v>
      </c>
      <c r="F37" t="s">
        <v>561</v>
      </c>
      <c r="G37" s="2" t="str">
        <f t="shared" si="0"/>
        <v>VALLE DEL CAUCA</v>
      </c>
      <c r="H37" t="s">
        <v>476</v>
      </c>
      <c r="I37" s="4" t="s">
        <v>651</v>
      </c>
      <c r="J37" s="2" t="s">
        <v>71</v>
      </c>
      <c r="K37" s="2" t="s">
        <v>71</v>
      </c>
      <c r="L37" s="2" t="s">
        <v>71</v>
      </c>
      <c r="M37" s="2" t="s">
        <v>72</v>
      </c>
      <c r="N37" s="2" t="s">
        <v>71</v>
      </c>
      <c r="O37" s="2" t="s">
        <v>72</v>
      </c>
      <c r="P37" s="2" t="s">
        <v>72</v>
      </c>
      <c r="Q37" s="2" t="s">
        <v>72</v>
      </c>
      <c r="R37" s="2" t="s">
        <v>76</v>
      </c>
      <c r="S37" s="2" t="s">
        <v>71</v>
      </c>
      <c r="T37" s="2" t="s">
        <v>71</v>
      </c>
      <c r="U37" s="2" t="s">
        <v>72</v>
      </c>
      <c r="V37" s="2" t="s">
        <v>71</v>
      </c>
      <c r="W37" s="2" t="s">
        <v>72</v>
      </c>
      <c r="X37" s="2" t="s">
        <v>76</v>
      </c>
      <c r="Y37" s="2" t="s">
        <v>76</v>
      </c>
      <c r="Z37" s="2" t="s">
        <v>76</v>
      </c>
      <c r="AA37" s="2" t="s">
        <v>72</v>
      </c>
      <c r="AB37" s="2" t="s">
        <v>76</v>
      </c>
      <c r="AC37" s="2" t="s">
        <v>76</v>
      </c>
      <c r="AD37" s="2" t="s">
        <v>72</v>
      </c>
      <c r="AE37" s="2" t="s">
        <v>80</v>
      </c>
      <c r="AF37" s="5" t="s">
        <v>755</v>
      </c>
      <c r="AG37">
        <v>1</v>
      </c>
    </row>
    <row r="38" spans="1:33" ht="64" hidden="1" x14ac:dyDescent="0.2">
      <c r="A38" s="2">
        <v>1586059</v>
      </c>
      <c r="B38" s="2">
        <f>VLOOKUP(A38,[1]TRATAMIENTI!$A:$B,2,FALSE)</f>
        <v>265</v>
      </c>
      <c r="C38" t="s">
        <v>756</v>
      </c>
      <c r="D38">
        <v>3162814946</v>
      </c>
      <c r="E38" t="s">
        <v>757</v>
      </c>
      <c r="F38" t="s">
        <v>561</v>
      </c>
      <c r="G38" s="2" t="str">
        <f t="shared" si="0"/>
        <v>VALLE DEL CAUCA</v>
      </c>
      <c r="H38" t="s">
        <v>476</v>
      </c>
      <c r="I38" s="4" t="s">
        <v>651</v>
      </c>
      <c r="J38" s="2" t="s">
        <v>71</v>
      </c>
      <c r="K38" s="2" t="s">
        <v>71</v>
      </c>
      <c r="L38" s="2" t="s">
        <v>76</v>
      </c>
      <c r="M38" s="2" t="s">
        <v>72</v>
      </c>
      <c r="N38" s="2" t="s">
        <v>76</v>
      </c>
      <c r="O38" s="2" t="s">
        <v>72</v>
      </c>
      <c r="P38" s="2" t="s">
        <v>72</v>
      </c>
      <c r="Q38" s="2" t="s">
        <v>72</v>
      </c>
      <c r="R38" s="2" t="s">
        <v>76</v>
      </c>
      <c r="S38" s="2" t="s">
        <v>72</v>
      </c>
      <c r="T38" s="2" t="s">
        <v>71</v>
      </c>
      <c r="U38" s="2" t="s">
        <v>71</v>
      </c>
      <c r="V38" s="2" t="s">
        <v>71</v>
      </c>
      <c r="W38" s="2" t="s">
        <v>72</v>
      </c>
      <c r="X38" s="2" t="s">
        <v>76</v>
      </c>
      <c r="Y38" s="2" t="s">
        <v>76</v>
      </c>
      <c r="Z38" s="2" t="s">
        <v>76</v>
      </c>
      <c r="AA38" s="2" t="s">
        <v>72</v>
      </c>
      <c r="AB38" s="2" t="s">
        <v>76</v>
      </c>
      <c r="AC38" s="2" t="s">
        <v>72</v>
      </c>
      <c r="AD38" s="2" t="s">
        <v>71</v>
      </c>
      <c r="AE38" s="2" t="s">
        <v>91</v>
      </c>
      <c r="AF38" s="5" t="s">
        <v>758</v>
      </c>
      <c r="AG38">
        <v>2</v>
      </c>
    </row>
    <row r="39" spans="1:33" ht="64" hidden="1" x14ac:dyDescent="0.2">
      <c r="A39" s="2">
        <v>16824095</v>
      </c>
      <c r="B39" s="2">
        <f>VLOOKUP(A39,[1]TRATAMIENTI!$A:$B,2,FALSE)</f>
        <v>271</v>
      </c>
      <c r="C39" t="s">
        <v>759</v>
      </c>
      <c r="D39">
        <v>3117239237</v>
      </c>
      <c r="E39" t="s">
        <v>760</v>
      </c>
      <c r="F39" t="s">
        <v>561</v>
      </c>
      <c r="G39" s="2" t="str">
        <f t="shared" si="0"/>
        <v>VALLE DEL CAUCA</v>
      </c>
      <c r="H39" t="s">
        <v>476</v>
      </c>
      <c r="I39" s="4" t="s">
        <v>651</v>
      </c>
      <c r="J39" s="2" t="s">
        <v>71</v>
      </c>
      <c r="K39" s="2" t="s">
        <v>76</v>
      </c>
      <c r="L39" s="2" t="s">
        <v>71</v>
      </c>
      <c r="M39" s="2" t="s">
        <v>72</v>
      </c>
      <c r="N39" s="2" t="s">
        <v>76</v>
      </c>
      <c r="O39" s="2" t="s">
        <v>72</v>
      </c>
      <c r="P39" s="2" t="s">
        <v>72</v>
      </c>
      <c r="Q39" s="2" t="s">
        <v>72</v>
      </c>
      <c r="R39" s="2" t="s">
        <v>76</v>
      </c>
      <c r="S39" s="2" t="s">
        <v>72</v>
      </c>
      <c r="T39" s="2" t="s">
        <v>71</v>
      </c>
      <c r="U39" s="2" t="s">
        <v>71</v>
      </c>
      <c r="V39" s="2" t="s">
        <v>76</v>
      </c>
      <c r="W39" s="2" t="s">
        <v>72</v>
      </c>
      <c r="X39" s="2" t="s">
        <v>76</v>
      </c>
      <c r="Y39" s="2" t="s">
        <v>76</v>
      </c>
      <c r="Z39" s="2" t="s">
        <v>76</v>
      </c>
      <c r="AA39" s="2" t="s">
        <v>71</v>
      </c>
      <c r="AB39" s="2" t="s">
        <v>76</v>
      </c>
      <c r="AC39" s="2" t="s">
        <v>71</v>
      </c>
      <c r="AD39" s="2" t="s">
        <v>71</v>
      </c>
      <c r="AE39" s="2" t="s">
        <v>85</v>
      </c>
      <c r="AF39" s="5" t="s">
        <v>761</v>
      </c>
      <c r="AG39">
        <v>1</v>
      </c>
    </row>
    <row r="40" spans="1:33" ht="73" hidden="1" x14ac:dyDescent="0.2">
      <c r="A40" s="2">
        <v>16827577</v>
      </c>
      <c r="B40" s="2">
        <f>VLOOKUP(A40,[1]TRATAMIENTI!$A:$B,2,FALSE)</f>
        <v>272</v>
      </c>
      <c r="C40" t="s">
        <v>762</v>
      </c>
      <c r="D40">
        <v>3218403800</v>
      </c>
      <c r="E40" t="s">
        <v>763</v>
      </c>
      <c r="F40" t="s">
        <v>561</v>
      </c>
      <c r="G40" s="2" t="str">
        <f t="shared" si="0"/>
        <v>VALLE DEL CAUCA</v>
      </c>
      <c r="H40" t="s">
        <v>476</v>
      </c>
      <c r="I40" s="4" t="s">
        <v>651</v>
      </c>
      <c r="J40" s="2" t="s">
        <v>76</v>
      </c>
      <c r="K40" s="2" t="s">
        <v>71</v>
      </c>
      <c r="L40" s="2" t="s">
        <v>76</v>
      </c>
      <c r="M40" s="2" t="s">
        <v>72</v>
      </c>
      <c r="N40" s="2" t="s">
        <v>76</v>
      </c>
      <c r="O40" s="2" t="s">
        <v>72</v>
      </c>
      <c r="P40" s="2" t="s">
        <v>72</v>
      </c>
      <c r="Q40" s="2" t="s">
        <v>72</v>
      </c>
      <c r="R40" s="2" t="s">
        <v>76</v>
      </c>
      <c r="S40" s="2" t="s">
        <v>72</v>
      </c>
      <c r="T40" s="2" t="s">
        <v>71</v>
      </c>
      <c r="U40" s="2" t="s">
        <v>71</v>
      </c>
      <c r="V40" s="2" t="s">
        <v>76</v>
      </c>
      <c r="W40" s="2" t="s">
        <v>72</v>
      </c>
      <c r="X40" s="2" t="s">
        <v>76</v>
      </c>
      <c r="Y40" s="2" t="s">
        <v>76</v>
      </c>
      <c r="Z40" s="2" t="s">
        <v>76</v>
      </c>
      <c r="AA40" s="2" t="s">
        <v>71</v>
      </c>
      <c r="AB40" s="2" t="s">
        <v>76</v>
      </c>
      <c r="AC40" s="2" t="s">
        <v>71</v>
      </c>
      <c r="AD40" s="2" t="s">
        <v>71</v>
      </c>
      <c r="AE40" s="2" t="s">
        <v>91</v>
      </c>
      <c r="AF40" s="5" t="s">
        <v>764</v>
      </c>
      <c r="AG40">
        <v>2</v>
      </c>
    </row>
    <row r="41" spans="1:33" ht="64" hidden="1" x14ac:dyDescent="0.2">
      <c r="A41" s="2">
        <v>16936771</v>
      </c>
      <c r="B41" s="2">
        <f>VLOOKUP(A41,[1]TRATAMIENTI!$A:$B,2,FALSE)</f>
        <v>274</v>
      </c>
      <c r="C41" t="s">
        <v>765</v>
      </c>
      <c r="D41">
        <v>3137262257</v>
      </c>
      <c r="E41" t="s">
        <v>766</v>
      </c>
      <c r="F41" t="s">
        <v>561</v>
      </c>
      <c r="G41" s="2" t="str">
        <f t="shared" si="0"/>
        <v>VALLE DEL CAUCA</v>
      </c>
      <c r="H41" t="s">
        <v>476</v>
      </c>
      <c r="I41" s="4" t="s">
        <v>651</v>
      </c>
      <c r="J41" s="2" t="s">
        <v>71</v>
      </c>
      <c r="K41" s="2" t="s">
        <v>71</v>
      </c>
      <c r="L41" s="2" t="s">
        <v>71</v>
      </c>
      <c r="M41" s="2" t="s">
        <v>72</v>
      </c>
      <c r="N41" s="2" t="s">
        <v>76</v>
      </c>
      <c r="O41" s="2" t="s">
        <v>72</v>
      </c>
      <c r="P41" s="2" t="s">
        <v>72</v>
      </c>
      <c r="Q41" s="2" t="s">
        <v>72</v>
      </c>
      <c r="R41" s="2" t="s">
        <v>76</v>
      </c>
      <c r="S41" s="2" t="s">
        <v>71</v>
      </c>
      <c r="T41" s="2" t="s">
        <v>71</v>
      </c>
      <c r="U41" s="2" t="s">
        <v>72</v>
      </c>
      <c r="V41" s="2" t="s">
        <v>76</v>
      </c>
      <c r="W41" s="2" t="s">
        <v>72</v>
      </c>
      <c r="X41" s="2" t="s">
        <v>76</v>
      </c>
      <c r="Y41" s="2" t="s">
        <v>76</v>
      </c>
      <c r="Z41" s="2" t="s">
        <v>76</v>
      </c>
      <c r="AA41" s="2" t="s">
        <v>71</v>
      </c>
      <c r="AB41" s="2" t="s">
        <v>76</v>
      </c>
      <c r="AC41" s="2" t="s">
        <v>71</v>
      </c>
      <c r="AD41" s="2" t="s">
        <v>71</v>
      </c>
      <c r="AE41" s="2" t="s">
        <v>80</v>
      </c>
      <c r="AF41" s="5" t="s">
        <v>767</v>
      </c>
      <c r="AG41">
        <v>2</v>
      </c>
    </row>
    <row r="42" spans="1:33" ht="64" hidden="1" x14ac:dyDescent="0.2">
      <c r="A42" s="2">
        <v>25097620</v>
      </c>
      <c r="B42" s="2">
        <f>VLOOKUP(A42,[1]TRATAMIENTI!$A:$B,2,FALSE)</f>
        <v>278</v>
      </c>
      <c r="C42" t="s">
        <v>768</v>
      </c>
      <c r="D42">
        <v>3158380091</v>
      </c>
      <c r="E42" t="s">
        <v>769</v>
      </c>
      <c r="F42" t="s">
        <v>561</v>
      </c>
      <c r="G42" s="2" t="str">
        <f t="shared" si="0"/>
        <v>VALLE DEL CAUCA</v>
      </c>
      <c r="H42" t="s">
        <v>476</v>
      </c>
      <c r="I42" s="4" t="s">
        <v>651</v>
      </c>
      <c r="J42" s="2" t="s">
        <v>71</v>
      </c>
      <c r="K42" s="2" t="s">
        <v>71</v>
      </c>
      <c r="L42" s="2" t="s">
        <v>71</v>
      </c>
      <c r="M42" s="2" t="s">
        <v>72</v>
      </c>
      <c r="N42" s="2" t="s">
        <v>71</v>
      </c>
      <c r="O42" s="2" t="s">
        <v>72</v>
      </c>
      <c r="P42" s="2" t="s">
        <v>72</v>
      </c>
      <c r="Q42" s="2" t="s">
        <v>72</v>
      </c>
      <c r="R42" s="2" t="s">
        <v>76</v>
      </c>
      <c r="S42" s="2" t="s">
        <v>72</v>
      </c>
      <c r="T42" s="2" t="s">
        <v>71</v>
      </c>
      <c r="U42" s="2" t="s">
        <v>71</v>
      </c>
      <c r="V42" s="2" t="s">
        <v>76</v>
      </c>
      <c r="W42" s="2" t="s">
        <v>72</v>
      </c>
      <c r="X42" s="2" t="s">
        <v>76</v>
      </c>
      <c r="Y42" s="2" t="s">
        <v>76</v>
      </c>
      <c r="Z42" s="2" t="s">
        <v>76</v>
      </c>
      <c r="AA42" s="2" t="s">
        <v>72</v>
      </c>
      <c r="AB42" s="2" t="s">
        <v>76</v>
      </c>
      <c r="AC42" s="2" t="s">
        <v>72</v>
      </c>
      <c r="AD42" s="2" t="s">
        <v>76</v>
      </c>
      <c r="AE42" s="2" t="s">
        <v>91</v>
      </c>
      <c r="AF42" s="5" t="s">
        <v>770</v>
      </c>
      <c r="AG42">
        <v>2</v>
      </c>
    </row>
    <row r="43" spans="1:33" ht="64" hidden="1" x14ac:dyDescent="0.2">
      <c r="A43" s="2">
        <v>25340411</v>
      </c>
      <c r="B43" s="2">
        <f>VLOOKUP(A43,[1]TRATAMIENTI!$A:$B,2,FALSE)</f>
        <v>279</v>
      </c>
      <c r="C43" t="s">
        <v>771</v>
      </c>
      <c r="D43">
        <v>3172660886</v>
      </c>
      <c r="E43" t="s">
        <v>772</v>
      </c>
      <c r="F43" t="s">
        <v>561</v>
      </c>
      <c r="G43" s="2" t="str">
        <f t="shared" si="0"/>
        <v>VALLE DEL CAUCA</v>
      </c>
      <c r="H43" t="s">
        <v>476</v>
      </c>
      <c r="I43" s="4" t="s">
        <v>651</v>
      </c>
      <c r="J43" s="2" t="s">
        <v>71</v>
      </c>
      <c r="K43" s="2" t="s">
        <v>71</v>
      </c>
      <c r="L43" s="2" t="s">
        <v>71</v>
      </c>
      <c r="M43" s="2" t="s">
        <v>72</v>
      </c>
      <c r="N43" s="2" t="s">
        <v>71</v>
      </c>
      <c r="O43" s="2" t="s">
        <v>72</v>
      </c>
      <c r="P43" s="2" t="s">
        <v>72</v>
      </c>
      <c r="Q43" s="2" t="s">
        <v>72</v>
      </c>
      <c r="R43" s="2" t="s">
        <v>76</v>
      </c>
      <c r="S43" s="2" t="s">
        <v>72</v>
      </c>
      <c r="T43" s="2" t="s">
        <v>71</v>
      </c>
      <c r="U43" s="2" t="s">
        <v>71</v>
      </c>
      <c r="V43" s="2" t="s">
        <v>76</v>
      </c>
      <c r="W43" s="2" t="s">
        <v>72</v>
      </c>
      <c r="X43" s="2" t="s">
        <v>72</v>
      </c>
      <c r="Y43" s="2" t="s">
        <v>72</v>
      </c>
      <c r="Z43" s="2" t="s">
        <v>72</v>
      </c>
      <c r="AA43" s="2" t="s">
        <v>72</v>
      </c>
      <c r="AB43" s="2" t="s">
        <v>76</v>
      </c>
      <c r="AC43" s="2" t="s">
        <v>72</v>
      </c>
      <c r="AD43" s="2" t="s">
        <v>71</v>
      </c>
      <c r="AE43" s="2" t="s">
        <v>80</v>
      </c>
      <c r="AF43" s="5" t="s">
        <v>773</v>
      </c>
      <c r="AG43">
        <v>1</v>
      </c>
    </row>
    <row r="44" spans="1:33" ht="64" hidden="1" x14ac:dyDescent="0.2">
      <c r="A44" s="2">
        <v>25619493</v>
      </c>
      <c r="B44" s="2">
        <f>VLOOKUP(A44,[1]TRATAMIENTI!$A:$B,2,FALSE)</f>
        <v>283</v>
      </c>
      <c r="C44" t="s">
        <v>774</v>
      </c>
      <c r="D44">
        <v>3145732910</v>
      </c>
      <c r="E44">
        <v>0</v>
      </c>
      <c r="F44" t="s">
        <v>561</v>
      </c>
      <c r="G44" s="2" t="str">
        <f t="shared" si="0"/>
        <v>VALLE DEL CAUCA</v>
      </c>
      <c r="H44" t="s">
        <v>476</v>
      </c>
      <c r="I44" s="4" t="s">
        <v>651</v>
      </c>
      <c r="J44" s="2" t="s">
        <v>71</v>
      </c>
      <c r="K44" s="2" t="s">
        <v>71</v>
      </c>
      <c r="L44" s="2" t="s">
        <v>71</v>
      </c>
      <c r="M44" s="2" t="s">
        <v>72</v>
      </c>
      <c r="N44" s="2" t="s">
        <v>76</v>
      </c>
      <c r="O44" s="2" t="s">
        <v>72</v>
      </c>
      <c r="P44" s="2" t="s">
        <v>72</v>
      </c>
      <c r="Q44" s="2" t="s">
        <v>72</v>
      </c>
      <c r="R44" s="2" t="s">
        <v>76</v>
      </c>
      <c r="S44" s="2" t="s">
        <v>72</v>
      </c>
      <c r="T44" s="2" t="s">
        <v>71</v>
      </c>
      <c r="U44" s="2" t="s">
        <v>71</v>
      </c>
      <c r="V44" s="2" t="s">
        <v>72</v>
      </c>
      <c r="W44" s="2" t="s">
        <v>72</v>
      </c>
      <c r="X44" s="2" t="s">
        <v>76</v>
      </c>
      <c r="Y44" s="2" t="s">
        <v>76</v>
      </c>
      <c r="Z44" s="2" t="s">
        <v>76</v>
      </c>
      <c r="AA44" s="2" t="s">
        <v>72</v>
      </c>
      <c r="AB44" s="2" t="s">
        <v>76</v>
      </c>
      <c r="AC44" s="2" t="s">
        <v>72</v>
      </c>
      <c r="AD44" s="2" t="s">
        <v>72</v>
      </c>
      <c r="AE44" s="2" t="s">
        <v>80</v>
      </c>
      <c r="AF44" s="5" t="s">
        <v>775</v>
      </c>
      <c r="AG44">
        <v>1</v>
      </c>
    </row>
    <row r="45" spans="1:33" ht="64" hidden="1" x14ac:dyDescent="0.2">
      <c r="A45" s="2">
        <v>28588708</v>
      </c>
      <c r="B45" s="2">
        <f>VLOOKUP(A45,[1]TRATAMIENTI!$A:$B,2,FALSE)</f>
        <v>288</v>
      </c>
      <c r="C45" t="s">
        <v>776</v>
      </c>
      <c r="D45">
        <v>3218403800</v>
      </c>
      <c r="E45">
        <v>0</v>
      </c>
      <c r="F45" t="s">
        <v>561</v>
      </c>
      <c r="G45" s="2" t="str">
        <f t="shared" si="0"/>
        <v>VALLE DEL CAUCA</v>
      </c>
      <c r="H45" t="s">
        <v>476</v>
      </c>
      <c r="I45" s="4" t="s">
        <v>651</v>
      </c>
      <c r="J45" s="2" t="s">
        <v>71</v>
      </c>
      <c r="K45" s="2" t="s">
        <v>71</v>
      </c>
      <c r="L45" s="2" t="s">
        <v>71</v>
      </c>
      <c r="M45" s="2" t="s">
        <v>72</v>
      </c>
      <c r="N45" s="2" t="s">
        <v>71</v>
      </c>
      <c r="O45" s="2" t="s">
        <v>72</v>
      </c>
      <c r="P45" s="2" t="s">
        <v>72</v>
      </c>
      <c r="Q45" s="2" t="s">
        <v>72</v>
      </c>
      <c r="R45" s="2" t="s">
        <v>76</v>
      </c>
      <c r="S45" s="2" t="s">
        <v>71</v>
      </c>
      <c r="T45" s="2" t="s">
        <v>71</v>
      </c>
      <c r="U45" s="2" t="s">
        <v>72</v>
      </c>
      <c r="V45" s="2" t="s">
        <v>76</v>
      </c>
      <c r="W45" s="2" t="s">
        <v>72</v>
      </c>
      <c r="X45" s="2" t="s">
        <v>76</v>
      </c>
      <c r="Y45" s="2" t="s">
        <v>76</v>
      </c>
      <c r="Z45" s="2" t="s">
        <v>76</v>
      </c>
      <c r="AA45" s="2" t="s">
        <v>72</v>
      </c>
      <c r="AB45" s="2" t="s">
        <v>76</v>
      </c>
      <c r="AC45" s="2" t="s">
        <v>72</v>
      </c>
      <c r="AD45" s="2" t="s">
        <v>72</v>
      </c>
      <c r="AE45" s="2" t="s">
        <v>80</v>
      </c>
      <c r="AF45" s="5" t="s">
        <v>777</v>
      </c>
      <c r="AG45">
        <v>1</v>
      </c>
    </row>
    <row r="46" spans="1:33" ht="61" hidden="1" x14ac:dyDescent="0.2">
      <c r="A46" s="2">
        <v>29179765</v>
      </c>
      <c r="B46" s="2">
        <f>VLOOKUP(A46,[1]TRATAMIENTI!$A:$B,2,FALSE)</f>
        <v>290</v>
      </c>
      <c r="C46" t="s">
        <v>778</v>
      </c>
      <c r="D46">
        <v>3234462676</v>
      </c>
      <c r="E46" t="s">
        <v>779</v>
      </c>
      <c r="F46" t="s">
        <v>561</v>
      </c>
      <c r="G46" s="2" t="str">
        <f t="shared" si="0"/>
        <v>VALLE DEL CAUCA</v>
      </c>
      <c r="H46" t="s">
        <v>476</v>
      </c>
      <c r="I46" s="4" t="s">
        <v>651</v>
      </c>
      <c r="J46" s="2" t="s">
        <v>76</v>
      </c>
      <c r="K46" s="2" t="s">
        <v>76</v>
      </c>
      <c r="L46" s="2" t="s">
        <v>71</v>
      </c>
      <c r="M46" s="2" t="s">
        <v>72</v>
      </c>
      <c r="N46" s="2" t="s">
        <v>76</v>
      </c>
      <c r="O46" s="2" t="s">
        <v>72</v>
      </c>
      <c r="P46" s="2" t="s">
        <v>72</v>
      </c>
      <c r="Q46" s="2" t="s">
        <v>72</v>
      </c>
      <c r="R46" s="2" t="s">
        <v>76</v>
      </c>
      <c r="S46" s="2" t="s">
        <v>72</v>
      </c>
      <c r="T46" s="2" t="s">
        <v>71</v>
      </c>
      <c r="U46" s="2" t="s">
        <v>71</v>
      </c>
      <c r="V46" s="2" t="s">
        <v>76</v>
      </c>
      <c r="W46" s="2" t="s">
        <v>72</v>
      </c>
      <c r="X46" s="2" t="s">
        <v>76</v>
      </c>
      <c r="Y46" s="2" t="s">
        <v>76</v>
      </c>
      <c r="Z46" s="2" t="s">
        <v>76</v>
      </c>
      <c r="AA46" s="2" t="s">
        <v>72</v>
      </c>
      <c r="AB46" s="2" t="s">
        <v>76</v>
      </c>
      <c r="AC46" s="2" t="s">
        <v>72</v>
      </c>
      <c r="AD46" s="2" t="s">
        <v>72</v>
      </c>
      <c r="AE46" s="2" t="s">
        <v>91</v>
      </c>
      <c r="AF46" s="5" t="s">
        <v>780</v>
      </c>
      <c r="AG46">
        <v>1</v>
      </c>
    </row>
    <row r="47" spans="1:33" ht="73" hidden="1" x14ac:dyDescent="0.2">
      <c r="A47" s="2">
        <v>29563232</v>
      </c>
      <c r="B47" s="2">
        <f>VLOOKUP(A47,[1]TRATAMIENTI!$A:$B,2,FALSE)</f>
        <v>292</v>
      </c>
      <c r="C47" t="s">
        <v>781</v>
      </c>
      <c r="D47">
        <v>3178596821</v>
      </c>
      <c r="E47" t="s">
        <v>782</v>
      </c>
      <c r="F47" t="s">
        <v>561</v>
      </c>
      <c r="G47" s="2" t="str">
        <f t="shared" si="0"/>
        <v>VALLE DEL CAUCA</v>
      </c>
      <c r="H47" t="s">
        <v>476</v>
      </c>
      <c r="I47" s="4" t="s">
        <v>651</v>
      </c>
      <c r="J47" s="2" t="s">
        <v>71</v>
      </c>
      <c r="K47" s="2" t="s">
        <v>71</v>
      </c>
      <c r="L47" s="2" t="s">
        <v>71</v>
      </c>
      <c r="M47" s="2" t="s">
        <v>72</v>
      </c>
      <c r="N47" s="2" t="s">
        <v>76</v>
      </c>
      <c r="O47" s="2" t="s">
        <v>72</v>
      </c>
      <c r="P47" s="2" t="s">
        <v>72</v>
      </c>
      <c r="Q47" s="2" t="s">
        <v>72</v>
      </c>
      <c r="R47" s="2" t="s">
        <v>76</v>
      </c>
      <c r="S47" s="2" t="s">
        <v>72</v>
      </c>
      <c r="T47" s="2" t="s">
        <v>71</v>
      </c>
      <c r="U47" s="2" t="s">
        <v>71</v>
      </c>
      <c r="V47" s="2" t="s">
        <v>72</v>
      </c>
      <c r="W47" s="2" t="s">
        <v>72</v>
      </c>
      <c r="X47" s="2" t="s">
        <v>76</v>
      </c>
      <c r="Y47" s="2" t="s">
        <v>76</v>
      </c>
      <c r="Z47" s="2" t="s">
        <v>76</v>
      </c>
      <c r="AA47" s="2" t="s">
        <v>72</v>
      </c>
      <c r="AB47" s="2" t="s">
        <v>76</v>
      </c>
      <c r="AC47" s="2" t="s">
        <v>72</v>
      </c>
      <c r="AD47" s="2" t="s">
        <v>71</v>
      </c>
      <c r="AE47" s="2" t="s">
        <v>80</v>
      </c>
      <c r="AF47" s="5" t="s">
        <v>783</v>
      </c>
      <c r="AG47">
        <v>2</v>
      </c>
    </row>
    <row r="48" spans="1:33" ht="61" hidden="1" x14ac:dyDescent="0.2">
      <c r="A48" s="2">
        <v>29563360</v>
      </c>
      <c r="B48" s="2">
        <f>VLOOKUP(A48,[1]TRATAMIENTI!$A:$B,2,FALSE)</f>
        <v>293</v>
      </c>
      <c r="C48" t="s">
        <v>784</v>
      </c>
      <c r="D48">
        <v>3177008775</v>
      </c>
      <c r="E48" t="s">
        <v>785</v>
      </c>
      <c r="F48" t="s">
        <v>561</v>
      </c>
      <c r="G48" s="2" t="str">
        <f t="shared" si="0"/>
        <v>VALLE DEL CAUCA</v>
      </c>
      <c r="H48" t="s">
        <v>476</v>
      </c>
      <c r="I48" s="4" t="s">
        <v>651</v>
      </c>
      <c r="J48" s="2" t="s">
        <v>76</v>
      </c>
      <c r="K48" s="2" t="s">
        <v>76</v>
      </c>
      <c r="L48" s="2" t="s">
        <v>71</v>
      </c>
      <c r="M48" s="2" t="s">
        <v>72</v>
      </c>
      <c r="N48" s="2" t="s">
        <v>76</v>
      </c>
      <c r="O48" s="2" t="s">
        <v>72</v>
      </c>
      <c r="P48" s="2" t="s">
        <v>72</v>
      </c>
      <c r="Q48" s="2" t="s">
        <v>72</v>
      </c>
      <c r="R48" s="2" t="s">
        <v>76</v>
      </c>
      <c r="S48" s="2" t="s">
        <v>72</v>
      </c>
      <c r="T48" s="2" t="s">
        <v>71</v>
      </c>
      <c r="U48" s="2" t="s">
        <v>71</v>
      </c>
      <c r="V48" s="2" t="s">
        <v>76</v>
      </c>
      <c r="W48" s="2" t="s">
        <v>72</v>
      </c>
      <c r="X48" s="2" t="s">
        <v>76</v>
      </c>
      <c r="Y48" s="2" t="s">
        <v>76</v>
      </c>
      <c r="Z48" s="2" t="s">
        <v>76</v>
      </c>
      <c r="AA48" s="2" t="s">
        <v>72</v>
      </c>
      <c r="AB48" s="2" t="s">
        <v>76</v>
      </c>
      <c r="AC48" s="2" t="s">
        <v>72</v>
      </c>
      <c r="AD48" s="2" t="s">
        <v>72</v>
      </c>
      <c r="AE48" s="2" t="s">
        <v>91</v>
      </c>
      <c r="AF48" s="5" t="s">
        <v>786</v>
      </c>
      <c r="AG48">
        <v>1</v>
      </c>
    </row>
    <row r="49" spans="1:33" ht="64" hidden="1" x14ac:dyDescent="0.2">
      <c r="A49" s="2">
        <v>31289498</v>
      </c>
      <c r="B49" s="2">
        <f>VLOOKUP(A49,[1]TRATAMIENTI!$A:$B,2,FALSE)</f>
        <v>298</v>
      </c>
      <c r="C49" t="s">
        <v>787</v>
      </c>
      <c r="D49" t="s">
        <v>788</v>
      </c>
      <c r="E49" t="s">
        <v>789</v>
      </c>
      <c r="F49" t="s">
        <v>561</v>
      </c>
      <c r="G49" s="2" t="str">
        <f t="shared" si="0"/>
        <v>VALLE DEL CAUCA</v>
      </c>
      <c r="H49" t="s">
        <v>476</v>
      </c>
      <c r="I49" s="4" t="s">
        <v>651</v>
      </c>
      <c r="J49" s="2" t="s">
        <v>71</v>
      </c>
      <c r="K49" s="2" t="s">
        <v>71</v>
      </c>
      <c r="L49" s="2" t="s">
        <v>71</v>
      </c>
      <c r="M49" s="2" t="s">
        <v>72</v>
      </c>
      <c r="N49" s="2" t="s">
        <v>71</v>
      </c>
      <c r="O49" s="2" t="s">
        <v>72</v>
      </c>
      <c r="P49" s="2" t="s">
        <v>72</v>
      </c>
      <c r="Q49" s="2" t="s">
        <v>72</v>
      </c>
      <c r="R49" s="2" t="s">
        <v>76</v>
      </c>
      <c r="S49" s="2" t="s">
        <v>72</v>
      </c>
      <c r="T49" s="2" t="s">
        <v>71</v>
      </c>
      <c r="U49" s="2" t="s">
        <v>71</v>
      </c>
      <c r="V49" s="2" t="s">
        <v>76</v>
      </c>
      <c r="W49" s="2" t="s">
        <v>72</v>
      </c>
      <c r="X49" s="2" t="s">
        <v>71</v>
      </c>
      <c r="Y49" s="2" t="s">
        <v>71</v>
      </c>
      <c r="Z49" s="2" t="s">
        <v>71</v>
      </c>
      <c r="AA49" s="2" t="s">
        <v>71</v>
      </c>
      <c r="AB49" s="2" t="s">
        <v>71</v>
      </c>
      <c r="AC49" s="2" t="s">
        <v>71</v>
      </c>
      <c r="AD49" s="2" t="s">
        <v>71</v>
      </c>
      <c r="AE49" s="2" t="s">
        <v>256</v>
      </c>
      <c r="AF49" s="5" t="s">
        <v>790</v>
      </c>
      <c r="AG49">
        <v>3</v>
      </c>
    </row>
    <row r="50" spans="1:33" ht="49" hidden="1" x14ac:dyDescent="0.2">
      <c r="A50" s="2">
        <v>31298525</v>
      </c>
      <c r="B50" s="2">
        <f>VLOOKUP(A50,[1]TRATAMIENTI!$A:$B,2,FALSE)</f>
        <v>299</v>
      </c>
      <c r="C50" t="s">
        <v>791</v>
      </c>
      <c r="D50">
        <v>3178030845</v>
      </c>
      <c r="E50" t="s">
        <v>792</v>
      </c>
      <c r="F50" t="s">
        <v>561</v>
      </c>
      <c r="G50" s="2" t="str">
        <f t="shared" si="0"/>
        <v>VALLE DEL CAUCA</v>
      </c>
      <c r="H50" t="s">
        <v>476</v>
      </c>
      <c r="I50" s="4" t="s">
        <v>651</v>
      </c>
      <c r="J50" s="2" t="s">
        <v>76</v>
      </c>
      <c r="K50" s="2" t="s">
        <v>76</v>
      </c>
      <c r="L50" s="2" t="s">
        <v>71</v>
      </c>
      <c r="M50" s="2" t="s">
        <v>72</v>
      </c>
      <c r="N50" s="2" t="s">
        <v>71</v>
      </c>
      <c r="O50" s="2" t="s">
        <v>72</v>
      </c>
      <c r="P50" s="2" t="s">
        <v>72</v>
      </c>
      <c r="Q50" s="2" t="s">
        <v>72</v>
      </c>
      <c r="R50" s="2" t="s">
        <v>76</v>
      </c>
      <c r="S50" s="2" t="s">
        <v>72</v>
      </c>
      <c r="T50" s="2" t="s">
        <v>71</v>
      </c>
      <c r="U50" s="2" t="s">
        <v>71</v>
      </c>
      <c r="V50" s="2" t="s">
        <v>76</v>
      </c>
      <c r="W50" s="2" t="s">
        <v>72</v>
      </c>
      <c r="X50" s="2" t="s">
        <v>76</v>
      </c>
      <c r="Y50" s="2" t="s">
        <v>76</v>
      </c>
      <c r="Z50" s="2" t="s">
        <v>76</v>
      </c>
      <c r="AA50" s="2" t="s">
        <v>71</v>
      </c>
      <c r="AB50" s="2" t="s">
        <v>76</v>
      </c>
      <c r="AC50" s="2" t="s">
        <v>71</v>
      </c>
      <c r="AD50" s="2" t="s">
        <v>71</v>
      </c>
      <c r="AE50" s="2" t="s">
        <v>85</v>
      </c>
      <c r="AF50" s="5" t="s">
        <v>793</v>
      </c>
      <c r="AG50">
        <v>2</v>
      </c>
    </row>
    <row r="51" spans="1:33" ht="64" hidden="1" x14ac:dyDescent="0.2">
      <c r="A51" s="2">
        <v>31304801</v>
      </c>
      <c r="B51" s="2">
        <f>VLOOKUP(A51,[1]TRATAMIENTI!$A:$B,2,FALSE)</f>
        <v>300</v>
      </c>
      <c r="C51" t="s">
        <v>794</v>
      </c>
      <c r="D51">
        <v>3175834431</v>
      </c>
      <c r="E51" t="s">
        <v>795</v>
      </c>
      <c r="F51" t="s">
        <v>561</v>
      </c>
      <c r="G51" s="2" t="str">
        <f t="shared" si="0"/>
        <v>VALLE DEL CAUCA</v>
      </c>
      <c r="H51" t="s">
        <v>476</v>
      </c>
      <c r="I51" s="4" t="s">
        <v>651</v>
      </c>
      <c r="J51" s="2" t="s">
        <v>71</v>
      </c>
      <c r="K51" s="2" t="s">
        <v>71</v>
      </c>
      <c r="L51" s="2" t="s">
        <v>71</v>
      </c>
      <c r="M51" s="2" t="s">
        <v>72</v>
      </c>
      <c r="N51" s="2" t="s">
        <v>76</v>
      </c>
      <c r="O51" s="2" t="s">
        <v>72</v>
      </c>
      <c r="P51" s="2" t="s">
        <v>72</v>
      </c>
      <c r="Q51" s="2" t="s">
        <v>72</v>
      </c>
      <c r="R51" s="2" t="s">
        <v>76</v>
      </c>
      <c r="S51" s="2" t="s">
        <v>71</v>
      </c>
      <c r="T51" s="2" t="s">
        <v>71</v>
      </c>
      <c r="U51" s="2" t="s">
        <v>72</v>
      </c>
      <c r="V51" s="2" t="s">
        <v>76</v>
      </c>
      <c r="W51" s="2" t="s">
        <v>72</v>
      </c>
      <c r="X51" s="2" t="s">
        <v>76</v>
      </c>
      <c r="Y51" s="2" t="s">
        <v>76</v>
      </c>
      <c r="Z51" s="2" t="s">
        <v>76</v>
      </c>
      <c r="AA51" s="2" t="s">
        <v>72</v>
      </c>
      <c r="AB51" s="2" t="s">
        <v>76</v>
      </c>
      <c r="AC51" s="2" t="s">
        <v>72</v>
      </c>
      <c r="AD51" s="2" t="s">
        <v>72</v>
      </c>
      <c r="AE51" s="2" t="s">
        <v>80</v>
      </c>
      <c r="AF51" s="5" t="s">
        <v>796</v>
      </c>
      <c r="AG51">
        <v>2</v>
      </c>
    </row>
    <row r="52" spans="1:33" ht="64" hidden="1" x14ac:dyDescent="0.2">
      <c r="A52" s="2">
        <v>31445562</v>
      </c>
      <c r="B52" s="2">
        <f>VLOOKUP(A52,[1]TRATAMIENTI!$A:$B,2,FALSE)</f>
        <v>301</v>
      </c>
      <c r="C52" t="s">
        <v>797</v>
      </c>
      <c r="D52">
        <v>3107270652</v>
      </c>
      <c r="E52" t="s">
        <v>798</v>
      </c>
      <c r="F52" t="s">
        <v>561</v>
      </c>
      <c r="G52" s="2" t="str">
        <f t="shared" si="0"/>
        <v>VALLE DEL CAUCA</v>
      </c>
      <c r="H52" t="s">
        <v>476</v>
      </c>
      <c r="I52" s="4" t="s">
        <v>651</v>
      </c>
      <c r="J52" s="2" t="s">
        <v>71</v>
      </c>
      <c r="K52" s="2" t="s">
        <v>71</v>
      </c>
      <c r="L52" s="2" t="s">
        <v>71</v>
      </c>
      <c r="M52" s="2" t="s">
        <v>72</v>
      </c>
      <c r="N52" s="2" t="s">
        <v>76</v>
      </c>
      <c r="O52" s="2" t="s">
        <v>72</v>
      </c>
      <c r="P52" s="2" t="s">
        <v>72</v>
      </c>
      <c r="Q52" s="2" t="s">
        <v>72</v>
      </c>
      <c r="R52" s="2" t="s">
        <v>76</v>
      </c>
      <c r="S52" s="2" t="s">
        <v>71</v>
      </c>
      <c r="T52" s="2" t="s">
        <v>71</v>
      </c>
      <c r="U52" s="2" t="s">
        <v>72</v>
      </c>
      <c r="V52" s="2" t="s">
        <v>76</v>
      </c>
      <c r="W52" s="2" t="s">
        <v>72</v>
      </c>
      <c r="X52" s="2" t="s">
        <v>76</v>
      </c>
      <c r="Y52" s="2" t="s">
        <v>76</v>
      </c>
      <c r="Z52" s="2" t="s">
        <v>76</v>
      </c>
      <c r="AA52" s="2" t="s">
        <v>72</v>
      </c>
      <c r="AB52" s="2" t="s">
        <v>72</v>
      </c>
      <c r="AC52" s="2" t="s">
        <v>72</v>
      </c>
      <c r="AD52" s="2" t="s">
        <v>76</v>
      </c>
      <c r="AE52" s="2" t="s">
        <v>80</v>
      </c>
      <c r="AF52" s="5" t="s">
        <v>799</v>
      </c>
      <c r="AG52">
        <v>1</v>
      </c>
    </row>
    <row r="53" spans="1:33" ht="73" hidden="1" x14ac:dyDescent="0.2">
      <c r="A53" s="2">
        <v>31446617</v>
      </c>
      <c r="B53" s="2">
        <f>VLOOKUP(A53,[1]TRATAMIENTI!$A:$B,2,FALSE)</f>
        <v>303</v>
      </c>
      <c r="C53" t="s">
        <v>800</v>
      </c>
      <c r="D53">
        <v>3146462822</v>
      </c>
      <c r="E53" t="s">
        <v>801</v>
      </c>
      <c r="F53" t="s">
        <v>561</v>
      </c>
      <c r="G53" s="2" t="str">
        <f t="shared" si="0"/>
        <v>VALLE DEL CAUCA</v>
      </c>
      <c r="H53" t="s">
        <v>476</v>
      </c>
      <c r="I53" s="4" t="s">
        <v>651</v>
      </c>
      <c r="J53" s="2" t="s">
        <v>71</v>
      </c>
      <c r="K53" s="2" t="s">
        <v>76</v>
      </c>
      <c r="L53" s="2" t="s">
        <v>71</v>
      </c>
      <c r="M53" s="2" t="s">
        <v>72</v>
      </c>
      <c r="N53" s="2" t="s">
        <v>76</v>
      </c>
      <c r="O53" s="2" t="s">
        <v>72</v>
      </c>
      <c r="P53" s="2" t="s">
        <v>72</v>
      </c>
      <c r="Q53" s="2" t="s">
        <v>72</v>
      </c>
      <c r="R53" s="2" t="s">
        <v>76</v>
      </c>
      <c r="S53" s="2" t="s">
        <v>72</v>
      </c>
      <c r="T53" s="2" t="s">
        <v>71</v>
      </c>
      <c r="U53" s="2" t="s">
        <v>71</v>
      </c>
      <c r="V53" s="2" t="s">
        <v>72</v>
      </c>
      <c r="W53" s="2" t="s">
        <v>72</v>
      </c>
      <c r="X53" s="2" t="s">
        <v>76</v>
      </c>
      <c r="Y53" s="2" t="s">
        <v>76</v>
      </c>
      <c r="Z53" s="2" t="s">
        <v>76</v>
      </c>
      <c r="AA53" s="2" t="s">
        <v>71</v>
      </c>
      <c r="AB53" s="2" t="s">
        <v>76</v>
      </c>
      <c r="AC53" s="2" t="s">
        <v>71</v>
      </c>
      <c r="AD53" s="2" t="s">
        <v>71</v>
      </c>
      <c r="AE53" s="2" t="s">
        <v>91</v>
      </c>
      <c r="AF53" s="5" t="s">
        <v>802</v>
      </c>
      <c r="AG53">
        <v>1</v>
      </c>
    </row>
    <row r="54" spans="1:33" ht="64" hidden="1" x14ac:dyDescent="0.2">
      <c r="A54" s="2">
        <v>31449382</v>
      </c>
      <c r="B54" s="2">
        <f>VLOOKUP(A54,[1]TRATAMIENTI!$A:$B,2,FALSE)</f>
        <v>304</v>
      </c>
      <c r="C54" t="s">
        <v>803</v>
      </c>
      <c r="D54">
        <v>3137214268</v>
      </c>
      <c r="E54" t="s">
        <v>804</v>
      </c>
      <c r="F54" t="s">
        <v>561</v>
      </c>
      <c r="G54" s="2" t="str">
        <f t="shared" si="0"/>
        <v>VALLE DEL CAUCA</v>
      </c>
      <c r="H54" t="s">
        <v>476</v>
      </c>
      <c r="I54" s="4" t="s">
        <v>651</v>
      </c>
      <c r="J54" s="2" t="s">
        <v>71</v>
      </c>
      <c r="K54" s="2" t="s">
        <v>71</v>
      </c>
      <c r="L54" s="2" t="s">
        <v>71</v>
      </c>
      <c r="M54" s="2" t="s">
        <v>72</v>
      </c>
      <c r="N54" s="2" t="s">
        <v>71</v>
      </c>
      <c r="O54" s="2" t="s">
        <v>72</v>
      </c>
      <c r="P54" s="2" t="s">
        <v>72</v>
      </c>
      <c r="Q54" s="2" t="s">
        <v>72</v>
      </c>
      <c r="R54" s="2" t="s">
        <v>76</v>
      </c>
      <c r="S54" s="2" t="s">
        <v>72</v>
      </c>
      <c r="T54" s="2" t="s">
        <v>71</v>
      </c>
      <c r="U54" s="2" t="s">
        <v>71</v>
      </c>
      <c r="V54" s="2" t="s">
        <v>71</v>
      </c>
      <c r="W54" s="2" t="s">
        <v>72</v>
      </c>
      <c r="X54" s="2" t="s">
        <v>71</v>
      </c>
      <c r="Y54" s="2" t="s">
        <v>71</v>
      </c>
      <c r="Z54" s="2" t="s">
        <v>71</v>
      </c>
      <c r="AA54" s="2" t="s">
        <v>71</v>
      </c>
      <c r="AB54" s="2" t="s">
        <v>71</v>
      </c>
      <c r="AC54" s="2" t="s">
        <v>71</v>
      </c>
      <c r="AD54" s="2" t="s">
        <v>71</v>
      </c>
      <c r="AE54" s="2" t="s">
        <v>256</v>
      </c>
      <c r="AF54" s="5" t="s">
        <v>805</v>
      </c>
      <c r="AG54">
        <v>2</v>
      </c>
    </row>
    <row r="55" spans="1:33" ht="64" hidden="1" x14ac:dyDescent="0.2">
      <c r="A55" s="2">
        <v>31524379</v>
      </c>
      <c r="B55" s="2">
        <f>VLOOKUP(A55,[1]TRATAMIENTI!$A:$B,2,FALSE)</f>
        <v>305</v>
      </c>
      <c r="C55" t="s">
        <v>806</v>
      </c>
      <c r="D55">
        <v>3155583544</v>
      </c>
      <c r="E55" t="s">
        <v>807</v>
      </c>
      <c r="F55" t="s">
        <v>561</v>
      </c>
      <c r="G55" s="2" t="str">
        <f t="shared" si="0"/>
        <v>VALLE DEL CAUCA</v>
      </c>
      <c r="H55" t="s">
        <v>476</v>
      </c>
      <c r="I55" s="4" t="s">
        <v>651</v>
      </c>
      <c r="J55" s="2" t="s">
        <v>71</v>
      </c>
      <c r="K55" s="2" t="s">
        <v>71</v>
      </c>
      <c r="L55" s="2" t="s">
        <v>71</v>
      </c>
      <c r="M55" s="2" t="s">
        <v>72</v>
      </c>
      <c r="N55" s="2" t="s">
        <v>76</v>
      </c>
      <c r="O55" s="2" t="s">
        <v>72</v>
      </c>
      <c r="P55" s="2" t="s">
        <v>72</v>
      </c>
      <c r="Q55" s="2" t="s">
        <v>72</v>
      </c>
      <c r="R55" s="2" t="s">
        <v>76</v>
      </c>
      <c r="S55" s="2" t="s">
        <v>71</v>
      </c>
      <c r="T55" s="2" t="s">
        <v>71</v>
      </c>
      <c r="U55" s="2" t="s">
        <v>72</v>
      </c>
      <c r="V55" s="2" t="s">
        <v>71</v>
      </c>
      <c r="W55" s="2" t="s">
        <v>72</v>
      </c>
      <c r="X55" s="2" t="s">
        <v>76</v>
      </c>
      <c r="Y55" s="2" t="s">
        <v>76</v>
      </c>
      <c r="Z55" s="2" t="s">
        <v>76</v>
      </c>
      <c r="AA55" s="2" t="s">
        <v>71</v>
      </c>
      <c r="AB55" s="2" t="s">
        <v>71</v>
      </c>
      <c r="AC55" s="2" t="s">
        <v>71</v>
      </c>
      <c r="AD55" s="2" t="s">
        <v>71</v>
      </c>
      <c r="AE55" s="2" t="s">
        <v>256</v>
      </c>
      <c r="AF55" s="5" t="s">
        <v>808</v>
      </c>
      <c r="AG55">
        <v>2</v>
      </c>
    </row>
    <row r="56" spans="1:33" ht="64" hidden="1" x14ac:dyDescent="0.2">
      <c r="A56" s="2">
        <v>31525011</v>
      </c>
      <c r="B56" s="2">
        <f>VLOOKUP(A56,[1]TRATAMIENTI!$A:$B,2,FALSE)</f>
        <v>306</v>
      </c>
      <c r="C56" t="s">
        <v>809</v>
      </c>
      <c r="D56">
        <v>3146654929</v>
      </c>
      <c r="E56" t="s">
        <v>810</v>
      </c>
      <c r="F56" t="s">
        <v>561</v>
      </c>
      <c r="G56" s="2" t="str">
        <f t="shared" si="0"/>
        <v>VALLE DEL CAUCA</v>
      </c>
      <c r="H56" t="s">
        <v>476</v>
      </c>
      <c r="I56" s="4" t="s">
        <v>651</v>
      </c>
      <c r="J56" s="2" t="s">
        <v>71</v>
      </c>
      <c r="K56" s="2" t="s">
        <v>71</v>
      </c>
      <c r="L56" s="2" t="s">
        <v>71</v>
      </c>
      <c r="M56" s="2" t="s">
        <v>72</v>
      </c>
      <c r="N56" s="2" t="s">
        <v>71</v>
      </c>
      <c r="O56" s="2" t="s">
        <v>72</v>
      </c>
      <c r="P56" s="2" t="s">
        <v>72</v>
      </c>
      <c r="Q56" s="2" t="s">
        <v>72</v>
      </c>
      <c r="R56" s="2" t="s">
        <v>76</v>
      </c>
      <c r="S56" s="2" t="s">
        <v>72</v>
      </c>
      <c r="T56" s="2" t="s">
        <v>71</v>
      </c>
      <c r="U56" s="2" t="s">
        <v>71</v>
      </c>
      <c r="V56" s="2" t="s">
        <v>76</v>
      </c>
      <c r="W56" s="2" t="s">
        <v>72</v>
      </c>
      <c r="X56" s="2" t="s">
        <v>76</v>
      </c>
      <c r="Y56" s="2" t="s">
        <v>76</v>
      </c>
      <c r="Z56" s="2" t="s">
        <v>76</v>
      </c>
      <c r="AA56" s="2" t="s">
        <v>76</v>
      </c>
      <c r="AB56" s="2" t="s">
        <v>72</v>
      </c>
      <c r="AC56" s="2" t="s">
        <v>72</v>
      </c>
      <c r="AD56" s="2" t="s">
        <v>71</v>
      </c>
      <c r="AE56" s="2" t="s">
        <v>80</v>
      </c>
      <c r="AF56" s="5" t="s">
        <v>811</v>
      </c>
      <c r="AG56">
        <v>2</v>
      </c>
    </row>
    <row r="57" spans="1:33" ht="64" hidden="1" x14ac:dyDescent="0.2">
      <c r="A57" s="2">
        <v>31525413</v>
      </c>
      <c r="B57" s="2">
        <f>VLOOKUP(A57,[1]TRATAMIENTI!$A:$B,2,FALSE)</f>
        <v>307</v>
      </c>
      <c r="C57" t="s">
        <v>812</v>
      </c>
      <c r="D57">
        <v>0</v>
      </c>
      <c r="E57" t="s">
        <v>813</v>
      </c>
      <c r="F57" t="s">
        <v>561</v>
      </c>
      <c r="G57" s="2" t="str">
        <f t="shared" si="0"/>
        <v>VALLE DEL CAUCA</v>
      </c>
      <c r="H57" t="s">
        <v>476</v>
      </c>
      <c r="I57" s="4" t="s">
        <v>651</v>
      </c>
      <c r="J57" s="2" t="s">
        <v>71</v>
      </c>
      <c r="K57" s="2" t="s">
        <v>71</v>
      </c>
      <c r="L57" s="2" t="s">
        <v>71</v>
      </c>
      <c r="M57" s="2" t="s">
        <v>72</v>
      </c>
      <c r="N57" s="2" t="s">
        <v>76</v>
      </c>
      <c r="O57" s="2" t="s">
        <v>72</v>
      </c>
      <c r="P57" s="2" t="s">
        <v>72</v>
      </c>
      <c r="Q57" s="2" t="s">
        <v>72</v>
      </c>
      <c r="R57" s="2" t="s">
        <v>76</v>
      </c>
      <c r="S57" s="2" t="s">
        <v>72</v>
      </c>
      <c r="T57" s="2"/>
      <c r="U57" s="2"/>
      <c r="V57" s="2" t="s">
        <v>72</v>
      </c>
      <c r="W57" s="2" t="s">
        <v>72</v>
      </c>
      <c r="X57" s="2" t="s">
        <v>71</v>
      </c>
      <c r="Y57" s="2" t="s">
        <v>71</v>
      </c>
      <c r="Z57" s="2" t="s">
        <v>71</v>
      </c>
      <c r="AA57" s="2" t="s">
        <v>72</v>
      </c>
      <c r="AB57" s="2" t="s">
        <v>76</v>
      </c>
      <c r="AC57" s="2" t="s">
        <v>72</v>
      </c>
      <c r="AD57" s="2" t="s">
        <v>72</v>
      </c>
      <c r="AE57" s="2" t="s">
        <v>80</v>
      </c>
      <c r="AF57" s="5" t="s">
        <v>814</v>
      </c>
      <c r="AG57">
        <v>2</v>
      </c>
    </row>
    <row r="58" spans="1:33" ht="64" hidden="1" x14ac:dyDescent="0.2">
      <c r="A58" s="2">
        <v>31534174</v>
      </c>
      <c r="B58" s="2">
        <f>VLOOKUP(A58,[1]TRATAMIENTI!$A:$B,2,FALSE)</f>
        <v>308</v>
      </c>
      <c r="C58" t="s">
        <v>815</v>
      </c>
      <c r="D58">
        <v>3137646246</v>
      </c>
      <c r="E58" t="s">
        <v>816</v>
      </c>
      <c r="F58" t="s">
        <v>561</v>
      </c>
      <c r="G58" s="2" t="str">
        <f t="shared" si="0"/>
        <v>VALLE DEL CAUCA</v>
      </c>
      <c r="H58" t="s">
        <v>476</v>
      </c>
      <c r="I58" s="4" t="s">
        <v>651</v>
      </c>
      <c r="J58" s="2" t="s">
        <v>71</v>
      </c>
      <c r="K58" s="2" t="s">
        <v>71</v>
      </c>
      <c r="L58" s="2" t="s">
        <v>71</v>
      </c>
      <c r="M58" s="2" t="s">
        <v>72</v>
      </c>
      <c r="N58" s="2" t="s">
        <v>76</v>
      </c>
      <c r="O58" s="2" t="s">
        <v>72</v>
      </c>
      <c r="P58" s="2" t="s">
        <v>72</v>
      </c>
      <c r="Q58" s="2" t="s">
        <v>72</v>
      </c>
      <c r="R58" s="2" t="s">
        <v>76</v>
      </c>
      <c r="S58" s="2" t="s">
        <v>72</v>
      </c>
      <c r="T58" s="2" t="s">
        <v>71</v>
      </c>
      <c r="U58" s="2" t="s">
        <v>71</v>
      </c>
      <c r="V58" s="2" t="s">
        <v>76</v>
      </c>
      <c r="W58" s="2" t="s">
        <v>72</v>
      </c>
      <c r="X58" s="2" t="s">
        <v>76</v>
      </c>
      <c r="Y58" s="2" t="s">
        <v>76</v>
      </c>
      <c r="Z58" s="2" t="s">
        <v>76</v>
      </c>
      <c r="AA58" s="2" t="s">
        <v>72</v>
      </c>
      <c r="AB58" s="2" t="s">
        <v>76</v>
      </c>
      <c r="AC58" s="2" t="s">
        <v>72</v>
      </c>
      <c r="AD58" s="2" t="s">
        <v>72</v>
      </c>
      <c r="AE58" s="2" t="s">
        <v>80</v>
      </c>
      <c r="AF58" s="5" t="s">
        <v>817</v>
      </c>
      <c r="AG58">
        <v>1</v>
      </c>
    </row>
    <row r="59" spans="1:33" ht="64" hidden="1" x14ac:dyDescent="0.2">
      <c r="A59" s="2">
        <v>31578203</v>
      </c>
      <c r="B59" s="2">
        <f>VLOOKUP(A59,[1]TRATAMIENTI!$A:$B,2,FALSE)</f>
        <v>312</v>
      </c>
      <c r="C59" t="s">
        <v>818</v>
      </c>
      <c r="D59">
        <v>3155603762</v>
      </c>
      <c r="E59" t="s">
        <v>819</v>
      </c>
      <c r="F59" t="s">
        <v>561</v>
      </c>
      <c r="G59" s="2" t="str">
        <f t="shared" si="0"/>
        <v>VALLE DEL CAUCA</v>
      </c>
      <c r="H59" t="s">
        <v>476</v>
      </c>
      <c r="I59" s="4" t="s">
        <v>651</v>
      </c>
      <c r="J59" s="2" t="s">
        <v>71</v>
      </c>
      <c r="K59" s="2" t="s">
        <v>71</v>
      </c>
      <c r="L59" s="2" t="s">
        <v>71</v>
      </c>
      <c r="M59" s="2" t="s">
        <v>72</v>
      </c>
      <c r="N59" s="2" t="s">
        <v>71</v>
      </c>
      <c r="O59" s="2" t="s">
        <v>72</v>
      </c>
      <c r="P59" s="2" t="s">
        <v>72</v>
      </c>
      <c r="Q59" s="2" t="s">
        <v>72</v>
      </c>
      <c r="R59" s="2" t="s">
        <v>76</v>
      </c>
      <c r="S59" s="2" t="s">
        <v>71</v>
      </c>
      <c r="T59" s="2" t="s">
        <v>71</v>
      </c>
      <c r="U59" s="2" t="s">
        <v>72</v>
      </c>
      <c r="V59" s="2" t="s">
        <v>76</v>
      </c>
      <c r="W59" s="2" t="s">
        <v>72</v>
      </c>
      <c r="X59" s="2" t="s">
        <v>76</v>
      </c>
      <c r="Y59" s="2" t="s">
        <v>76</v>
      </c>
      <c r="Z59" s="2" t="s">
        <v>76</v>
      </c>
      <c r="AA59" s="2" t="s">
        <v>72</v>
      </c>
      <c r="AB59" s="2" t="s">
        <v>76</v>
      </c>
      <c r="AC59" s="2" t="s">
        <v>72</v>
      </c>
      <c r="AD59" s="2" t="s">
        <v>71</v>
      </c>
      <c r="AE59" s="2" t="s">
        <v>80</v>
      </c>
      <c r="AF59" s="5" t="s">
        <v>820</v>
      </c>
      <c r="AG59">
        <v>2</v>
      </c>
    </row>
    <row r="60" spans="1:33" ht="48" hidden="1" x14ac:dyDescent="0.2">
      <c r="A60" s="2">
        <v>31844574</v>
      </c>
      <c r="B60" s="2">
        <f>VLOOKUP(A60,[1]TRATAMIENTI!$A:$B,2,FALSE)</f>
        <v>314</v>
      </c>
      <c r="C60" t="s">
        <v>821</v>
      </c>
      <c r="D60">
        <v>3146769002</v>
      </c>
      <c r="E60" t="s">
        <v>822</v>
      </c>
      <c r="F60" t="s">
        <v>561</v>
      </c>
      <c r="G60" s="2" t="str">
        <f t="shared" si="0"/>
        <v>VALLE DEL CAUCA</v>
      </c>
      <c r="H60" t="s">
        <v>476</v>
      </c>
      <c r="I60" s="4" t="s">
        <v>651</v>
      </c>
      <c r="J60" s="2" t="s">
        <v>76</v>
      </c>
      <c r="K60" s="2" t="s">
        <v>76</v>
      </c>
      <c r="L60" s="2" t="s">
        <v>71</v>
      </c>
      <c r="M60" s="2" t="s">
        <v>71</v>
      </c>
      <c r="N60" s="2" t="s">
        <v>71</v>
      </c>
      <c r="O60" s="2" t="s">
        <v>71</v>
      </c>
      <c r="P60" s="2" t="s">
        <v>71</v>
      </c>
      <c r="Q60" s="2" t="s">
        <v>71</v>
      </c>
      <c r="R60" s="2" t="s">
        <v>71</v>
      </c>
      <c r="S60" s="2" t="s">
        <v>71</v>
      </c>
      <c r="T60" s="2" t="s">
        <v>71</v>
      </c>
      <c r="U60" s="2" t="s">
        <v>71</v>
      </c>
      <c r="V60" s="2" t="s">
        <v>71</v>
      </c>
      <c r="W60" s="2" t="s">
        <v>71</v>
      </c>
      <c r="X60" s="2" t="s">
        <v>76</v>
      </c>
      <c r="Y60" s="2" t="s">
        <v>76</v>
      </c>
      <c r="Z60" s="2" t="s">
        <v>76</v>
      </c>
      <c r="AA60" s="2" t="s">
        <v>72</v>
      </c>
      <c r="AB60" s="2" t="s">
        <v>76</v>
      </c>
      <c r="AC60" s="2" t="s">
        <v>72</v>
      </c>
      <c r="AD60" s="2" t="s">
        <v>72</v>
      </c>
      <c r="AE60" s="2" t="s">
        <v>77</v>
      </c>
      <c r="AF60" s="5" t="s">
        <v>823</v>
      </c>
      <c r="AG60">
        <v>1</v>
      </c>
    </row>
    <row r="61" spans="1:33" ht="64" hidden="1" x14ac:dyDescent="0.2">
      <c r="A61" s="2">
        <v>31902498</v>
      </c>
      <c r="B61" s="2">
        <f>VLOOKUP(A61,[1]TRATAMIENTI!$A:$B,2,FALSE)</f>
        <v>317</v>
      </c>
      <c r="C61" t="s">
        <v>824</v>
      </c>
      <c r="D61">
        <v>3205039836</v>
      </c>
      <c r="E61" t="s">
        <v>825</v>
      </c>
      <c r="F61" t="s">
        <v>561</v>
      </c>
      <c r="G61" s="2" t="str">
        <f t="shared" si="0"/>
        <v>VALLE DEL CAUCA</v>
      </c>
      <c r="H61" t="s">
        <v>476</v>
      </c>
      <c r="I61" s="4" t="s">
        <v>651</v>
      </c>
      <c r="J61" s="2" t="s">
        <v>71</v>
      </c>
      <c r="K61" s="2" t="s">
        <v>71</v>
      </c>
      <c r="L61" s="2" t="s">
        <v>71</v>
      </c>
      <c r="M61" s="2" t="s">
        <v>72</v>
      </c>
      <c r="N61" s="2" t="s">
        <v>71</v>
      </c>
      <c r="O61" s="2" t="s">
        <v>72</v>
      </c>
      <c r="P61" s="2" t="s">
        <v>72</v>
      </c>
      <c r="Q61" s="2" t="s">
        <v>72</v>
      </c>
      <c r="R61" s="2" t="s">
        <v>76</v>
      </c>
      <c r="S61" s="2" t="s">
        <v>71</v>
      </c>
      <c r="T61" s="2" t="s">
        <v>72</v>
      </c>
      <c r="U61" s="2" t="s">
        <v>71</v>
      </c>
      <c r="V61" s="2" t="s">
        <v>76</v>
      </c>
      <c r="W61" s="2" t="s">
        <v>72</v>
      </c>
      <c r="X61" s="2" t="s">
        <v>76</v>
      </c>
      <c r="Y61" s="2" t="s">
        <v>76</v>
      </c>
      <c r="Z61" s="2" t="s">
        <v>76</v>
      </c>
      <c r="AA61" s="2" t="s">
        <v>71</v>
      </c>
      <c r="AB61" s="2" t="s">
        <v>76</v>
      </c>
      <c r="AC61" s="2" t="s">
        <v>71</v>
      </c>
      <c r="AD61" s="2" t="s">
        <v>71</v>
      </c>
      <c r="AE61" s="2" t="s">
        <v>80</v>
      </c>
      <c r="AF61" s="5" t="s">
        <v>826</v>
      </c>
      <c r="AG61">
        <v>2</v>
      </c>
    </row>
    <row r="62" spans="1:33" ht="64" hidden="1" x14ac:dyDescent="0.2">
      <c r="A62" s="2">
        <v>31909149</v>
      </c>
      <c r="B62" s="2">
        <f>VLOOKUP(A62,[1]TRATAMIENTI!$A:$B,2,FALSE)</f>
        <v>318</v>
      </c>
      <c r="C62" t="s">
        <v>827</v>
      </c>
      <c r="D62">
        <v>3206872807</v>
      </c>
      <c r="E62" t="s">
        <v>828</v>
      </c>
      <c r="F62" t="s">
        <v>561</v>
      </c>
      <c r="G62" s="2" t="str">
        <f t="shared" si="0"/>
        <v>VALLE DEL CAUCA</v>
      </c>
      <c r="H62" t="s">
        <v>476</v>
      </c>
      <c r="I62" s="4" t="s">
        <v>651</v>
      </c>
      <c r="J62" s="2" t="s">
        <v>71</v>
      </c>
      <c r="K62" s="2" t="s">
        <v>71</v>
      </c>
      <c r="L62" s="2" t="s">
        <v>71</v>
      </c>
      <c r="M62" s="2" t="s">
        <v>72</v>
      </c>
      <c r="N62" s="2" t="s">
        <v>71</v>
      </c>
      <c r="O62" s="2" t="s">
        <v>72</v>
      </c>
      <c r="P62" s="2" t="s">
        <v>72</v>
      </c>
      <c r="Q62" s="2" t="s">
        <v>72</v>
      </c>
      <c r="R62" s="2" t="s">
        <v>76</v>
      </c>
      <c r="S62" s="2" t="s">
        <v>72</v>
      </c>
      <c r="T62" s="2" t="s">
        <v>71</v>
      </c>
      <c r="U62" s="2" t="s">
        <v>71</v>
      </c>
      <c r="V62" s="2" t="s">
        <v>76</v>
      </c>
      <c r="W62" s="2" t="s">
        <v>72</v>
      </c>
      <c r="X62" s="2" t="s">
        <v>76</v>
      </c>
      <c r="Y62" s="2" t="s">
        <v>76</v>
      </c>
      <c r="Z62" s="2" t="s">
        <v>76</v>
      </c>
      <c r="AA62" s="2" t="s">
        <v>72</v>
      </c>
      <c r="AB62" s="2" t="s">
        <v>76</v>
      </c>
      <c r="AC62" s="2" t="s">
        <v>72</v>
      </c>
      <c r="AD62" s="2" t="s">
        <v>72</v>
      </c>
      <c r="AE62" s="2" t="s">
        <v>80</v>
      </c>
      <c r="AF62" s="5" t="s">
        <v>829</v>
      </c>
      <c r="AG62">
        <v>2</v>
      </c>
    </row>
    <row r="63" spans="1:33" ht="61" hidden="1" x14ac:dyDescent="0.2">
      <c r="A63" s="2">
        <v>31923598</v>
      </c>
      <c r="B63" s="2">
        <f>VLOOKUP(A63,[1]TRATAMIENTI!$A:$B,2,FALSE)</f>
        <v>319</v>
      </c>
      <c r="C63" t="s">
        <v>830</v>
      </c>
      <c r="D63">
        <v>33226161770</v>
      </c>
      <c r="E63" t="s">
        <v>831</v>
      </c>
      <c r="F63" t="s">
        <v>561</v>
      </c>
      <c r="G63" s="2" t="str">
        <f t="shared" ref="G63:G126" si="1">IF(H63="CALI","VALLE DEL CAUCA",IF(H63="MEDELLIN","ANTIOQUIA",IF(H63="BARRANQUILLA","ATLANTICO","NO")))</f>
        <v>VALLE DEL CAUCA</v>
      </c>
      <c r="H63" t="s">
        <v>476</v>
      </c>
      <c r="I63" s="4" t="s">
        <v>651</v>
      </c>
      <c r="J63" s="2" t="s">
        <v>76</v>
      </c>
      <c r="K63" s="2" t="s">
        <v>76</v>
      </c>
      <c r="L63" s="2" t="s">
        <v>71</v>
      </c>
      <c r="M63" s="2" t="s">
        <v>71</v>
      </c>
      <c r="N63" s="2" t="s">
        <v>71</v>
      </c>
      <c r="O63" s="2" t="s">
        <v>71</v>
      </c>
      <c r="P63" s="2" t="s">
        <v>71</v>
      </c>
      <c r="Q63" s="2" t="s">
        <v>71</v>
      </c>
      <c r="R63" s="2" t="s">
        <v>71</v>
      </c>
      <c r="S63" s="2" t="s">
        <v>71</v>
      </c>
      <c r="T63" s="2" t="s">
        <v>71</v>
      </c>
      <c r="U63" s="2" t="s">
        <v>72</v>
      </c>
      <c r="V63" s="2" t="s">
        <v>76</v>
      </c>
      <c r="W63" s="2" t="s">
        <v>71</v>
      </c>
      <c r="X63" s="2" t="s">
        <v>76</v>
      </c>
      <c r="Y63" s="2" t="s">
        <v>76</v>
      </c>
      <c r="Z63" s="2" t="s">
        <v>76</v>
      </c>
      <c r="AA63" s="2" t="s">
        <v>72</v>
      </c>
      <c r="AB63" s="2" t="s">
        <v>76</v>
      </c>
      <c r="AC63" s="2" t="s">
        <v>72</v>
      </c>
      <c r="AD63" s="2" t="s">
        <v>72</v>
      </c>
      <c r="AE63" s="2" t="s">
        <v>91</v>
      </c>
      <c r="AF63" s="5" t="s">
        <v>832</v>
      </c>
      <c r="AG63">
        <v>1</v>
      </c>
    </row>
    <row r="64" spans="1:33" ht="64" hidden="1" x14ac:dyDescent="0.2">
      <c r="A64" s="2">
        <v>31959597</v>
      </c>
      <c r="B64" s="2">
        <f>VLOOKUP(A64,[1]TRATAMIENTI!$A:$B,2,FALSE)</f>
        <v>321</v>
      </c>
      <c r="C64" t="s">
        <v>833</v>
      </c>
      <c r="D64">
        <v>3135179917</v>
      </c>
      <c r="E64" t="s">
        <v>834</v>
      </c>
      <c r="F64" t="s">
        <v>561</v>
      </c>
      <c r="G64" s="2" t="str">
        <f t="shared" si="1"/>
        <v>VALLE DEL CAUCA</v>
      </c>
      <c r="H64" t="s">
        <v>476</v>
      </c>
      <c r="I64" s="4" t="s">
        <v>651</v>
      </c>
      <c r="J64" s="2" t="s">
        <v>71</v>
      </c>
      <c r="K64" s="2" t="s">
        <v>71</v>
      </c>
      <c r="L64" s="2" t="s">
        <v>71</v>
      </c>
      <c r="M64" s="2" t="s">
        <v>72</v>
      </c>
      <c r="N64" s="2" t="s">
        <v>71</v>
      </c>
      <c r="O64" s="2" t="s">
        <v>72</v>
      </c>
      <c r="P64" s="2" t="s">
        <v>72</v>
      </c>
      <c r="Q64" s="2" t="s">
        <v>72</v>
      </c>
      <c r="R64" s="2" t="s">
        <v>76</v>
      </c>
      <c r="S64" s="2" t="s">
        <v>72</v>
      </c>
      <c r="T64" s="2" t="s">
        <v>71</v>
      </c>
      <c r="U64" s="2" t="s">
        <v>71</v>
      </c>
      <c r="V64" s="2" t="s">
        <v>76</v>
      </c>
      <c r="W64" s="2" t="s">
        <v>72</v>
      </c>
      <c r="X64" s="2" t="s">
        <v>76</v>
      </c>
      <c r="Y64" s="2" t="s">
        <v>76</v>
      </c>
      <c r="Z64" s="2" t="s">
        <v>76</v>
      </c>
      <c r="AA64" s="2" t="s">
        <v>72</v>
      </c>
      <c r="AB64" s="2" t="s">
        <v>76</v>
      </c>
      <c r="AC64" s="2" t="s">
        <v>72</v>
      </c>
      <c r="AD64" s="2" t="s">
        <v>76</v>
      </c>
      <c r="AE64" s="2" t="s">
        <v>80</v>
      </c>
      <c r="AF64" s="5" t="s">
        <v>835</v>
      </c>
      <c r="AG64">
        <v>2</v>
      </c>
    </row>
    <row r="65" spans="1:33" ht="73" hidden="1" x14ac:dyDescent="0.2">
      <c r="A65" s="2">
        <v>31972147</v>
      </c>
      <c r="B65" s="2">
        <f>VLOOKUP(A65,[1]TRATAMIENTI!$A:$B,2,FALSE)</f>
        <v>322</v>
      </c>
      <c r="C65" t="s">
        <v>836</v>
      </c>
      <c r="D65">
        <v>3117222884</v>
      </c>
      <c r="E65" t="s">
        <v>837</v>
      </c>
      <c r="F65" t="s">
        <v>561</v>
      </c>
      <c r="G65" s="2" t="str">
        <f t="shared" si="1"/>
        <v>VALLE DEL CAUCA</v>
      </c>
      <c r="H65" t="s">
        <v>476</v>
      </c>
      <c r="I65" s="4" t="s">
        <v>651</v>
      </c>
      <c r="J65" s="2" t="s">
        <v>71</v>
      </c>
      <c r="K65" s="2" t="s">
        <v>71</v>
      </c>
      <c r="L65" s="2" t="s">
        <v>71</v>
      </c>
      <c r="M65" s="2" t="s">
        <v>72</v>
      </c>
      <c r="N65" s="2" t="s">
        <v>71</v>
      </c>
      <c r="O65" s="2" t="s">
        <v>72</v>
      </c>
      <c r="P65" s="2" t="s">
        <v>72</v>
      </c>
      <c r="Q65" s="2" t="s">
        <v>72</v>
      </c>
      <c r="R65" s="2" t="s">
        <v>76</v>
      </c>
      <c r="S65" s="2" t="s">
        <v>72</v>
      </c>
      <c r="T65" s="2" t="s">
        <v>71</v>
      </c>
      <c r="U65" s="2" t="s">
        <v>71</v>
      </c>
      <c r="V65" s="2" t="s">
        <v>76</v>
      </c>
      <c r="W65" s="2" t="s">
        <v>72</v>
      </c>
      <c r="X65" s="2" t="s">
        <v>76</v>
      </c>
      <c r="Y65" s="2" t="s">
        <v>76</v>
      </c>
      <c r="Z65" s="2" t="s">
        <v>76</v>
      </c>
      <c r="AA65" s="2" t="s">
        <v>71</v>
      </c>
      <c r="AB65" s="2" t="s">
        <v>72</v>
      </c>
      <c r="AC65" s="2" t="s">
        <v>71</v>
      </c>
      <c r="AD65" s="2" t="s">
        <v>71</v>
      </c>
      <c r="AE65" s="2" t="s">
        <v>80</v>
      </c>
      <c r="AF65" s="5" t="s">
        <v>838</v>
      </c>
      <c r="AG65">
        <v>2</v>
      </c>
    </row>
    <row r="66" spans="1:33" ht="64" hidden="1" x14ac:dyDescent="0.2">
      <c r="A66" s="2">
        <v>34400184</v>
      </c>
      <c r="B66" s="2">
        <f>VLOOKUP(A66,[1]TRATAMIENTI!$A:$B,2,FALSE)</f>
        <v>329</v>
      </c>
      <c r="C66" t="s">
        <v>839</v>
      </c>
      <c r="D66">
        <v>3116071609</v>
      </c>
      <c r="E66" t="s">
        <v>840</v>
      </c>
      <c r="F66" t="s">
        <v>561</v>
      </c>
      <c r="G66" s="2" t="str">
        <f t="shared" si="1"/>
        <v>VALLE DEL CAUCA</v>
      </c>
      <c r="H66" t="s">
        <v>476</v>
      </c>
      <c r="I66" s="4" t="s">
        <v>651</v>
      </c>
      <c r="J66" s="2" t="s">
        <v>71</v>
      </c>
      <c r="K66" s="2" t="s">
        <v>71</v>
      </c>
      <c r="L66" s="2" t="s">
        <v>71</v>
      </c>
      <c r="M66" s="2" t="s">
        <v>72</v>
      </c>
      <c r="N66" s="2" t="s">
        <v>76</v>
      </c>
      <c r="O66" s="2" t="s">
        <v>72</v>
      </c>
      <c r="P66" s="2" t="s">
        <v>72</v>
      </c>
      <c r="Q66" s="2" t="s">
        <v>72</v>
      </c>
      <c r="R66" s="2" t="s">
        <v>76</v>
      </c>
      <c r="S66" s="2" t="s">
        <v>72</v>
      </c>
      <c r="T66" s="2" t="s">
        <v>71</v>
      </c>
      <c r="U66" s="2" t="s">
        <v>71</v>
      </c>
      <c r="V66" s="2" t="s">
        <v>76</v>
      </c>
      <c r="W66" s="2" t="s">
        <v>72</v>
      </c>
      <c r="X66" s="2" t="s">
        <v>71</v>
      </c>
      <c r="Y66" s="2" t="s">
        <v>71</v>
      </c>
      <c r="Z66" s="2" t="s">
        <v>71</v>
      </c>
      <c r="AA66" s="2" t="s">
        <v>71</v>
      </c>
      <c r="AB66" s="2" t="s">
        <v>71</v>
      </c>
      <c r="AC66" s="2" t="s">
        <v>71</v>
      </c>
      <c r="AD66" s="2" t="s">
        <v>71</v>
      </c>
      <c r="AE66" s="2" t="s">
        <v>256</v>
      </c>
      <c r="AF66" s="5" t="s">
        <v>805</v>
      </c>
      <c r="AG66">
        <v>3</v>
      </c>
    </row>
    <row r="67" spans="1:33" ht="64" hidden="1" x14ac:dyDescent="0.2">
      <c r="A67" s="2">
        <v>34503573</v>
      </c>
      <c r="B67" s="2">
        <f>VLOOKUP(A67,[1]TRATAMIENTI!$A:$B,2,FALSE)</f>
        <v>330</v>
      </c>
      <c r="C67" t="s">
        <v>841</v>
      </c>
      <c r="D67">
        <v>3117742368</v>
      </c>
      <c r="E67" t="s">
        <v>842</v>
      </c>
      <c r="F67" t="s">
        <v>561</v>
      </c>
      <c r="G67" s="2" t="str">
        <f t="shared" si="1"/>
        <v>VALLE DEL CAUCA</v>
      </c>
      <c r="H67" t="s">
        <v>476</v>
      </c>
      <c r="I67" s="4" t="s">
        <v>651</v>
      </c>
      <c r="J67" s="2" t="s">
        <v>71</v>
      </c>
      <c r="K67" s="2" t="s">
        <v>71</v>
      </c>
      <c r="L67" s="2" t="s">
        <v>71</v>
      </c>
      <c r="M67" s="2" t="s">
        <v>72</v>
      </c>
      <c r="N67" s="2" t="s">
        <v>71</v>
      </c>
      <c r="O67" s="2" t="s">
        <v>72</v>
      </c>
      <c r="P67" s="2" t="s">
        <v>72</v>
      </c>
      <c r="Q67" s="2" t="s">
        <v>72</v>
      </c>
      <c r="R67" s="2" t="s">
        <v>76</v>
      </c>
      <c r="S67" s="2" t="s">
        <v>71</v>
      </c>
      <c r="T67" s="2" t="s">
        <v>71</v>
      </c>
      <c r="U67" s="2" t="s">
        <v>71</v>
      </c>
      <c r="V67" s="2" t="s">
        <v>71</v>
      </c>
      <c r="W67" s="2" t="s">
        <v>72</v>
      </c>
      <c r="X67" s="2" t="s">
        <v>76</v>
      </c>
      <c r="Y67" s="2" t="s">
        <v>76</v>
      </c>
      <c r="Z67" s="2" t="s">
        <v>76</v>
      </c>
      <c r="AA67" s="2" t="s">
        <v>71</v>
      </c>
      <c r="AB67" s="2" t="s">
        <v>76</v>
      </c>
      <c r="AC67" s="2" t="s">
        <v>71</v>
      </c>
      <c r="AD67" s="2" t="s">
        <v>71</v>
      </c>
      <c r="AE67" s="2" t="s">
        <v>80</v>
      </c>
      <c r="AF67" s="5" t="s">
        <v>843</v>
      </c>
      <c r="AG67">
        <v>3</v>
      </c>
    </row>
    <row r="68" spans="1:33" ht="64" hidden="1" x14ac:dyDescent="0.2">
      <c r="A68" s="2">
        <v>15906342</v>
      </c>
      <c r="B68" s="2">
        <f>VLOOKUP(A68,[1]TRATAMIENTI!$A:$B,2,FALSE)</f>
        <v>267</v>
      </c>
      <c r="C68" t="s">
        <v>844</v>
      </c>
      <c r="D68">
        <v>3125205250</v>
      </c>
      <c r="E68" t="s">
        <v>845</v>
      </c>
      <c r="F68" t="s">
        <v>561</v>
      </c>
      <c r="G68" s="2" t="str">
        <f t="shared" si="1"/>
        <v>VALLE DEL CAUCA</v>
      </c>
      <c r="H68" t="s">
        <v>476</v>
      </c>
      <c r="I68" s="4" t="s">
        <v>651</v>
      </c>
      <c r="J68" s="2" t="s">
        <v>71</v>
      </c>
      <c r="K68" s="2" t="s">
        <v>71</v>
      </c>
      <c r="L68" s="2" t="s">
        <v>71</v>
      </c>
      <c r="M68" s="2" t="s">
        <v>72</v>
      </c>
      <c r="N68" s="2" t="s">
        <v>71</v>
      </c>
      <c r="O68" s="2" t="s">
        <v>72</v>
      </c>
      <c r="P68" s="2" t="s">
        <v>72</v>
      </c>
      <c r="Q68" s="2" t="s">
        <v>72</v>
      </c>
      <c r="R68" s="2" t="s">
        <v>76</v>
      </c>
      <c r="S68" s="2" t="s">
        <v>72</v>
      </c>
      <c r="T68" s="2" t="s">
        <v>71</v>
      </c>
      <c r="U68" s="2" t="s">
        <v>71</v>
      </c>
      <c r="V68" s="2" t="s">
        <v>71</v>
      </c>
      <c r="W68" s="2" t="s">
        <v>72</v>
      </c>
      <c r="X68" s="2" t="s">
        <v>76</v>
      </c>
      <c r="Y68" s="2" t="s">
        <v>76</v>
      </c>
      <c r="Z68" s="2" t="s">
        <v>76</v>
      </c>
      <c r="AA68" s="2" t="s">
        <v>76</v>
      </c>
      <c r="AB68" s="2" t="s">
        <v>76</v>
      </c>
      <c r="AC68" s="2" t="s">
        <v>71</v>
      </c>
      <c r="AD68" s="2" t="s">
        <v>71</v>
      </c>
      <c r="AE68" s="2" t="s">
        <v>80</v>
      </c>
      <c r="AF68" s="5" t="s">
        <v>846</v>
      </c>
      <c r="AG68">
        <v>3</v>
      </c>
    </row>
    <row r="69" spans="1:33" ht="64" hidden="1" x14ac:dyDescent="0.2">
      <c r="A69" s="2">
        <v>34515416</v>
      </c>
      <c r="B69" s="2">
        <f>VLOOKUP(A69,[1]TRATAMIENTI!$A:$B,2,FALSE)</f>
        <v>331</v>
      </c>
      <c r="C69" t="s">
        <v>847</v>
      </c>
      <c r="D69">
        <v>3156604920</v>
      </c>
      <c r="E69" t="s">
        <v>848</v>
      </c>
      <c r="F69" t="s">
        <v>561</v>
      </c>
      <c r="G69" s="2" t="str">
        <f t="shared" si="1"/>
        <v>VALLE DEL CAUCA</v>
      </c>
      <c r="H69" t="s">
        <v>476</v>
      </c>
      <c r="I69" s="4" t="s">
        <v>651</v>
      </c>
      <c r="J69" s="2" t="s">
        <v>71</v>
      </c>
      <c r="K69" s="2" t="s">
        <v>71</v>
      </c>
      <c r="L69" s="2" t="s">
        <v>71</v>
      </c>
      <c r="M69" s="2" t="s">
        <v>72</v>
      </c>
      <c r="N69" s="2" t="s">
        <v>71</v>
      </c>
      <c r="O69" s="2" t="s">
        <v>72</v>
      </c>
      <c r="P69" s="2" t="s">
        <v>72</v>
      </c>
      <c r="Q69" s="2" t="s">
        <v>72</v>
      </c>
      <c r="R69" s="2" t="s">
        <v>76</v>
      </c>
      <c r="S69" s="2" t="s">
        <v>72</v>
      </c>
      <c r="T69" s="2" t="s">
        <v>71</v>
      </c>
      <c r="U69" s="2" t="s">
        <v>71</v>
      </c>
      <c r="V69" s="2" t="s">
        <v>76</v>
      </c>
      <c r="W69" s="2" t="s">
        <v>72</v>
      </c>
      <c r="X69" s="2" t="s">
        <v>76</v>
      </c>
      <c r="Y69" s="2" t="s">
        <v>76</v>
      </c>
      <c r="Z69" s="2" t="s">
        <v>76</v>
      </c>
      <c r="AA69" s="2" t="s">
        <v>72</v>
      </c>
      <c r="AB69" s="2" t="s">
        <v>76</v>
      </c>
      <c r="AC69" s="2" t="s">
        <v>76</v>
      </c>
      <c r="AD69" s="2" t="s">
        <v>71</v>
      </c>
      <c r="AE69" s="2" t="s">
        <v>80</v>
      </c>
      <c r="AF69" s="5" t="s">
        <v>849</v>
      </c>
      <c r="AG69">
        <v>2</v>
      </c>
    </row>
    <row r="70" spans="1:33" ht="64" hidden="1" x14ac:dyDescent="0.2">
      <c r="A70" s="2">
        <v>34690139</v>
      </c>
      <c r="B70" s="2">
        <f>VLOOKUP(A70,[1]TRATAMIENTI!$A:$B,2,FALSE)</f>
        <v>334</v>
      </c>
      <c r="C70" t="s">
        <v>850</v>
      </c>
      <c r="D70">
        <v>31133448651</v>
      </c>
      <c r="E70" t="s">
        <v>851</v>
      </c>
      <c r="F70" t="s">
        <v>561</v>
      </c>
      <c r="G70" s="2" t="str">
        <f t="shared" si="1"/>
        <v>VALLE DEL CAUCA</v>
      </c>
      <c r="H70" t="s">
        <v>476</v>
      </c>
      <c r="I70" s="4" t="s">
        <v>651</v>
      </c>
      <c r="J70" s="2" t="s">
        <v>71</v>
      </c>
      <c r="K70" s="2" t="s">
        <v>71</v>
      </c>
      <c r="L70" s="2" t="s">
        <v>71</v>
      </c>
      <c r="M70" s="2" t="s">
        <v>72</v>
      </c>
      <c r="N70" s="2" t="s">
        <v>76</v>
      </c>
      <c r="O70" s="2" t="s">
        <v>72</v>
      </c>
      <c r="P70" s="2" t="s">
        <v>72</v>
      </c>
      <c r="Q70" s="2" t="s">
        <v>72</v>
      </c>
      <c r="R70" s="2" t="s">
        <v>76</v>
      </c>
      <c r="S70" s="2" t="s">
        <v>72</v>
      </c>
      <c r="T70" s="2" t="s">
        <v>71</v>
      </c>
      <c r="U70" s="2" t="s">
        <v>71</v>
      </c>
      <c r="V70" s="2" t="s">
        <v>76</v>
      </c>
      <c r="W70" s="2" t="s">
        <v>72</v>
      </c>
      <c r="X70" s="2" t="s">
        <v>76</v>
      </c>
      <c r="Y70" s="2" t="s">
        <v>76</v>
      </c>
      <c r="Z70" s="2" t="s">
        <v>76</v>
      </c>
      <c r="AA70" s="2" t="s">
        <v>72</v>
      </c>
      <c r="AB70" s="2" t="s">
        <v>72</v>
      </c>
      <c r="AC70" s="2" t="s">
        <v>72</v>
      </c>
      <c r="AD70" s="2" t="s">
        <v>71</v>
      </c>
      <c r="AE70" s="2" t="s">
        <v>80</v>
      </c>
      <c r="AF70" s="5" t="s">
        <v>852</v>
      </c>
      <c r="AG70">
        <v>2</v>
      </c>
    </row>
    <row r="71" spans="1:33" ht="64" hidden="1" x14ac:dyDescent="0.2">
      <c r="A71" s="2">
        <v>35546366</v>
      </c>
      <c r="B71" s="2">
        <f>VLOOKUP(A71,[1]TRATAMIENTI!$A:$B,2,FALSE)</f>
        <v>335</v>
      </c>
      <c r="C71" t="s">
        <v>853</v>
      </c>
      <c r="D71">
        <v>3128472306</v>
      </c>
      <c r="E71" t="s">
        <v>854</v>
      </c>
      <c r="F71" t="s">
        <v>561</v>
      </c>
      <c r="G71" s="2" t="str">
        <f t="shared" si="1"/>
        <v>VALLE DEL CAUCA</v>
      </c>
      <c r="H71" t="s">
        <v>476</v>
      </c>
      <c r="I71" s="4" t="s">
        <v>651</v>
      </c>
      <c r="J71" s="2" t="s">
        <v>71</v>
      </c>
      <c r="K71" s="2" t="s">
        <v>71</v>
      </c>
      <c r="L71" s="2" t="s">
        <v>71</v>
      </c>
      <c r="M71" s="2" t="s">
        <v>72</v>
      </c>
      <c r="N71" s="2" t="s">
        <v>71</v>
      </c>
      <c r="O71" s="2" t="s">
        <v>72</v>
      </c>
      <c r="P71" s="2" t="s">
        <v>72</v>
      </c>
      <c r="Q71" s="2" t="s">
        <v>72</v>
      </c>
      <c r="R71" s="2" t="s">
        <v>76</v>
      </c>
      <c r="S71" s="2" t="s">
        <v>72</v>
      </c>
      <c r="T71" s="2" t="s">
        <v>71</v>
      </c>
      <c r="U71" s="2" t="s">
        <v>71</v>
      </c>
      <c r="V71" s="2" t="s">
        <v>76</v>
      </c>
      <c r="W71" s="2" t="s">
        <v>72</v>
      </c>
      <c r="X71" s="2" t="s">
        <v>71</v>
      </c>
      <c r="Y71" s="2" t="s">
        <v>71</v>
      </c>
      <c r="Z71" s="2" t="s">
        <v>71</v>
      </c>
      <c r="AA71" s="2" t="s">
        <v>71</v>
      </c>
      <c r="AB71" s="2" t="s">
        <v>71</v>
      </c>
      <c r="AC71" s="2" t="s">
        <v>71</v>
      </c>
      <c r="AD71" s="2" t="s">
        <v>71</v>
      </c>
      <c r="AE71" s="2" t="s">
        <v>256</v>
      </c>
      <c r="AF71" s="5" t="s">
        <v>855</v>
      </c>
      <c r="AG71">
        <v>3</v>
      </c>
    </row>
    <row r="72" spans="1:33" ht="64" hidden="1" x14ac:dyDescent="0.2">
      <c r="A72" s="2">
        <v>37075013</v>
      </c>
      <c r="B72" s="2">
        <f>VLOOKUP(A72,[1]TRATAMIENTI!$A:$B,2,FALSE)</f>
        <v>337</v>
      </c>
      <c r="C72" t="s">
        <v>856</v>
      </c>
      <c r="D72">
        <v>3215376848</v>
      </c>
      <c r="E72" t="s">
        <v>857</v>
      </c>
      <c r="F72" t="s">
        <v>561</v>
      </c>
      <c r="G72" s="2" t="str">
        <f t="shared" si="1"/>
        <v>VALLE DEL CAUCA</v>
      </c>
      <c r="H72" t="s">
        <v>476</v>
      </c>
      <c r="I72" s="4" t="s">
        <v>651</v>
      </c>
      <c r="J72" s="2" t="s">
        <v>71</v>
      </c>
      <c r="K72" s="2" t="s">
        <v>71</v>
      </c>
      <c r="L72" s="2" t="s">
        <v>71</v>
      </c>
      <c r="M72" s="2" t="s">
        <v>72</v>
      </c>
      <c r="N72" s="2" t="s">
        <v>71</v>
      </c>
      <c r="O72" s="2" t="s">
        <v>72</v>
      </c>
      <c r="P72" s="2" t="s">
        <v>72</v>
      </c>
      <c r="Q72" s="2" t="s">
        <v>72</v>
      </c>
      <c r="R72" s="2" t="s">
        <v>76</v>
      </c>
      <c r="S72" s="2" t="s">
        <v>72</v>
      </c>
      <c r="T72" s="2" t="s">
        <v>71</v>
      </c>
      <c r="U72" s="2" t="s">
        <v>71</v>
      </c>
      <c r="V72" s="2" t="s">
        <v>76</v>
      </c>
      <c r="W72" s="2" t="s">
        <v>72</v>
      </c>
      <c r="X72" s="2" t="s">
        <v>76</v>
      </c>
      <c r="Y72" s="2" t="s">
        <v>76</v>
      </c>
      <c r="Z72" s="2" t="s">
        <v>76</v>
      </c>
      <c r="AA72" s="2" t="s">
        <v>71</v>
      </c>
      <c r="AB72" s="2" t="s">
        <v>76</v>
      </c>
      <c r="AC72" s="2" t="s">
        <v>71</v>
      </c>
      <c r="AD72" s="2" t="s">
        <v>71</v>
      </c>
      <c r="AE72" s="2" t="s">
        <v>80</v>
      </c>
      <c r="AF72" s="5" t="s">
        <v>858</v>
      </c>
      <c r="AG72">
        <v>3</v>
      </c>
    </row>
    <row r="73" spans="1:33" ht="64" hidden="1" x14ac:dyDescent="0.2">
      <c r="A73" s="2">
        <v>38642608</v>
      </c>
      <c r="B73" s="2">
        <f>VLOOKUP(A73,[1]TRATAMIENTI!$A:$B,2,FALSE)</f>
        <v>340</v>
      </c>
      <c r="C73" t="s">
        <v>859</v>
      </c>
      <c r="D73">
        <v>3165740915</v>
      </c>
      <c r="E73" t="s">
        <v>804</v>
      </c>
      <c r="F73" t="s">
        <v>561</v>
      </c>
      <c r="G73" s="2" t="str">
        <f t="shared" si="1"/>
        <v>VALLE DEL CAUCA</v>
      </c>
      <c r="H73" t="s">
        <v>476</v>
      </c>
      <c r="I73" s="4" t="s">
        <v>651</v>
      </c>
      <c r="J73" s="2" t="s">
        <v>71</v>
      </c>
      <c r="K73" s="2" t="s">
        <v>71</v>
      </c>
      <c r="L73" s="2" t="s">
        <v>71</v>
      </c>
      <c r="M73" s="2" t="s">
        <v>72</v>
      </c>
      <c r="N73" s="2" t="s">
        <v>71</v>
      </c>
      <c r="O73" s="2" t="s">
        <v>72</v>
      </c>
      <c r="P73" s="2" t="s">
        <v>72</v>
      </c>
      <c r="Q73" s="2" t="s">
        <v>72</v>
      </c>
      <c r="R73" s="2" t="s">
        <v>76</v>
      </c>
      <c r="S73" s="2" t="s">
        <v>72</v>
      </c>
      <c r="T73" s="2" t="s">
        <v>72</v>
      </c>
      <c r="U73" s="2" t="s">
        <v>71</v>
      </c>
      <c r="V73" s="2" t="s">
        <v>76</v>
      </c>
      <c r="W73" s="2" t="s">
        <v>72</v>
      </c>
      <c r="X73" s="2" t="s">
        <v>71</v>
      </c>
      <c r="Y73" s="2" t="s">
        <v>71</v>
      </c>
      <c r="Z73" s="2" t="s">
        <v>71</v>
      </c>
      <c r="AA73" s="2" t="s">
        <v>71</v>
      </c>
      <c r="AB73" s="2" t="s">
        <v>71</v>
      </c>
      <c r="AC73" s="2" t="s">
        <v>71</v>
      </c>
      <c r="AD73" s="2" t="s">
        <v>71</v>
      </c>
      <c r="AE73" s="2" t="s">
        <v>256</v>
      </c>
      <c r="AF73" s="5" t="s">
        <v>860</v>
      </c>
      <c r="AG73">
        <v>3</v>
      </c>
    </row>
    <row r="74" spans="1:33" ht="64" hidden="1" x14ac:dyDescent="0.2">
      <c r="A74" s="2">
        <v>38668909</v>
      </c>
      <c r="B74" s="2">
        <f>VLOOKUP(A74,[1]TRATAMIENTI!$A:$B,2,FALSE)</f>
        <v>342</v>
      </c>
      <c r="C74" t="s">
        <v>861</v>
      </c>
      <c r="D74">
        <v>3218752141</v>
      </c>
      <c r="E74" t="s">
        <v>862</v>
      </c>
      <c r="F74" t="s">
        <v>561</v>
      </c>
      <c r="G74" s="2" t="str">
        <f t="shared" si="1"/>
        <v>VALLE DEL CAUCA</v>
      </c>
      <c r="H74" t="s">
        <v>476</v>
      </c>
      <c r="I74" s="4" t="s">
        <v>651</v>
      </c>
      <c r="J74" s="2" t="s">
        <v>71</v>
      </c>
      <c r="K74" s="2" t="s">
        <v>71</v>
      </c>
      <c r="L74" s="2" t="s">
        <v>71</v>
      </c>
      <c r="M74" s="2" t="s">
        <v>72</v>
      </c>
      <c r="N74" s="2" t="s">
        <v>76</v>
      </c>
      <c r="O74" s="2" t="s">
        <v>72</v>
      </c>
      <c r="P74" s="2" t="s">
        <v>72</v>
      </c>
      <c r="Q74" s="2" t="s">
        <v>72</v>
      </c>
      <c r="R74" s="2" t="s">
        <v>76</v>
      </c>
      <c r="S74" s="2" t="s">
        <v>72</v>
      </c>
      <c r="T74" s="2" t="s">
        <v>71</v>
      </c>
      <c r="U74" s="2" t="s">
        <v>71</v>
      </c>
      <c r="V74" s="2" t="s">
        <v>76</v>
      </c>
      <c r="W74" s="2" t="s">
        <v>72</v>
      </c>
      <c r="X74" s="2" t="s">
        <v>76</v>
      </c>
      <c r="Y74" s="2" t="s">
        <v>76</v>
      </c>
      <c r="Z74" s="2" t="s">
        <v>76</v>
      </c>
      <c r="AA74" s="2" t="s">
        <v>72</v>
      </c>
      <c r="AB74" s="2" t="s">
        <v>76</v>
      </c>
      <c r="AC74" s="2" t="s">
        <v>72</v>
      </c>
      <c r="AD74" s="2" t="s">
        <v>71</v>
      </c>
      <c r="AE74" s="2" t="s">
        <v>80</v>
      </c>
      <c r="AF74" s="5" t="s">
        <v>863</v>
      </c>
      <c r="AG74">
        <v>2</v>
      </c>
    </row>
    <row r="75" spans="1:33" ht="64" hidden="1" x14ac:dyDescent="0.2">
      <c r="A75" s="2">
        <v>38671487</v>
      </c>
      <c r="B75" s="2">
        <f>VLOOKUP(A75,[1]TRATAMIENTI!$A:$B,2,FALSE)</f>
        <v>343</v>
      </c>
      <c r="C75" t="s">
        <v>864</v>
      </c>
      <c r="D75">
        <v>3213415922</v>
      </c>
      <c r="E75" t="s">
        <v>865</v>
      </c>
      <c r="F75" t="s">
        <v>561</v>
      </c>
      <c r="G75" s="2" t="str">
        <f t="shared" si="1"/>
        <v>VALLE DEL CAUCA</v>
      </c>
      <c r="H75" t="s">
        <v>476</v>
      </c>
      <c r="I75" s="4" t="s">
        <v>651</v>
      </c>
      <c r="J75" s="2" t="s">
        <v>71</v>
      </c>
      <c r="K75" s="2" t="s">
        <v>71</v>
      </c>
      <c r="L75" s="2" t="s">
        <v>71</v>
      </c>
      <c r="M75" s="2" t="s">
        <v>72</v>
      </c>
      <c r="N75" s="2" t="s">
        <v>71</v>
      </c>
      <c r="O75" s="2" t="s">
        <v>72</v>
      </c>
      <c r="P75" s="2" t="s">
        <v>72</v>
      </c>
      <c r="Q75" s="2" t="s">
        <v>72</v>
      </c>
      <c r="R75" s="2" t="s">
        <v>76</v>
      </c>
      <c r="S75" s="2" t="s">
        <v>72</v>
      </c>
      <c r="T75" s="2" t="s">
        <v>71</v>
      </c>
      <c r="U75" s="2" t="s">
        <v>71</v>
      </c>
      <c r="V75" s="2" t="s">
        <v>76</v>
      </c>
      <c r="W75" s="2" t="s">
        <v>72</v>
      </c>
      <c r="X75" s="2" t="s">
        <v>76</v>
      </c>
      <c r="Y75" s="2" t="s">
        <v>76</v>
      </c>
      <c r="Z75" s="2" t="s">
        <v>76</v>
      </c>
      <c r="AA75" s="2" t="s">
        <v>72</v>
      </c>
      <c r="AB75" s="2" t="s">
        <v>76</v>
      </c>
      <c r="AC75" s="2" t="s">
        <v>72</v>
      </c>
      <c r="AD75" s="2" t="s">
        <v>76</v>
      </c>
      <c r="AE75" s="2" t="s">
        <v>80</v>
      </c>
      <c r="AF75" s="5" t="s">
        <v>866</v>
      </c>
      <c r="AG75">
        <v>2</v>
      </c>
    </row>
    <row r="76" spans="1:33" ht="64" hidden="1" x14ac:dyDescent="0.2">
      <c r="A76" s="2">
        <v>4335238</v>
      </c>
      <c r="B76" s="2">
        <f>VLOOKUP(A76,[1]TRATAMIENTI!$A:$B,2,FALSE)</f>
        <v>347</v>
      </c>
      <c r="C76" t="s">
        <v>867</v>
      </c>
      <c r="D76">
        <v>3245724207</v>
      </c>
      <c r="E76" t="s">
        <v>868</v>
      </c>
      <c r="F76" t="s">
        <v>561</v>
      </c>
      <c r="G76" s="2" t="str">
        <f t="shared" si="1"/>
        <v>VALLE DEL CAUCA</v>
      </c>
      <c r="H76" t="s">
        <v>476</v>
      </c>
      <c r="I76" s="4" t="s">
        <v>651</v>
      </c>
      <c r="J76" s="2" t="s">
        <v>71</v>
      </c>
      <c r="K76" s="2" t="s">
        <v>71</v>
      </c>
      <c r="L76" s="2" t="s">
        <v>76</v>
      </c>
      <c r="M76" s="2" t="s">
        <v>72</v>
      </c>
      <c r="N76" s="2" t="s">
        <v>71</v>
      </c>
      <c r="O76" s="2" t="s">
        <v>72</v>
      </c>
      <c r="P76" s="2" t="s">
        <v>72</v>
      </c>
      <c r="Q76" s="2" t="s">
        <v>72</v>
      </c>
      <c r="R76" s="2" t="s">
        <v>76</v>
      </c>
      <c r="S76" s="2" t="s">
        <v>71</v>
      </c>
      <c r="T76" s="2" t="s">
        <v>71</v>
      </c>
      <c r="U76" s="2" t="s">
        <v>72</v>
      </c>
      <c r="V76" s="2" t="s">
        <v>72</v>
      </c>
      <c r="W76" s="2" t="s">
        <v>72</v>
      </c>
      <c r="X76" s="2" t="s">
        <v>71</v>
      </c>
      <c r="Y76" s="2" t="s">
        <v>71</v>
      </c>
      <c r="Z76" s="2" t="s">
        <v>71</v>
      </c>
      <c r="AA76" s="2" t="s">
        <v>71</v>
      </c>
      <c r="AB76" s="2" t="s">
        <v>71</v>
      </c>
      <c r="AC76" s="2" t="s">
        <v>71</v>
      </c>
      <c r="AD76" s="2" t="s">
        <v>71</v>
      </c>
      <c r="AE76" s="2" t="s">
        <v>85</v>
      </c>
      <c r="AF76" s="5" t="s">
        <v>869</v>
      </c>
      <c r="AG76">
        <v>1</v>
      </c>
    </row>
    <row r="77" spans="1:33" ht="64" hidden="1" x14ac:dyDescent="0.2">
      <c r="A77" s="2">
        <v>4721794</v>
      </c>
      <c r="B77" s="2">
        <f>VLOOKUP(A77,[1]TRATAMIENTI!$A:$B,2,FALSE)</f>
        <v>349</v>
      </c>
      <c r="C77" t="s">
        <v>870</v>
      </c>
      <c r="D77">
        <v>3174764675</v>
      </c>
      <c r="E77" t="s">
        <v>871</v>
      </c>
      <c r="F77" t="s">
        <v>561</v>
      </c>
      <c r="G77" s="2" t="str">
        <f t="shared" si="1"/>
        <v>VALLE DEL CAUCA</v>
      </c>
      <c r="H77" t="s">
        <v>476</v>
      </c>
      <c r="I77" s="4" t="s">
        <v>651</v>
      </c>
      <c r="J77" s="2" t="s">
        <v>71</v>
      </c>
      <c r="K77" s="2" t="s">
        <v>71</v>
      </c>
      <c r="L77" s="2" t="s">
        <v>71</v>
      </c>
      <c r="M77" s="2" t="s">
        <v>72</v>
      </c>
      <c r="N77" s="2" t="s">
        <v>71</v>
      </c>
      <c r="O77" s="2" t="s">
        <v>72</v>
      </c>
      <c r="P77" s="2" t="s">
        <v>72</v>
      </c>
      <c r="Q77" s="2" t="s">
        <v>72</v>
      </c>
      <c r="R77" s="2" t="s">
        <v>76</v>
      </c>
      <c r="S77" s="2" t="s">
        <v>72</v>
      </c>
      <c r="T77" s="2" t="s">
        <v>71</v>
      </c>
      <c r="U77" s="2" t="s">
        <v>71</v>
      </c>
      <c r="V77" s="2" t="s">
        <v>76</v>
      </c>
      <c r="W77" s="2" t="s">
        <v>72</v>
      </c>
      <c r="X77" s="2" t="s">
        <v>76</v>
      </c>
      <c r="Y77" s="2" t="s">
        <v>76</v>
      </c>
      <c r="Z77" s="2" t="s">
        <v>76</v>
      </c>
      <c r="AA77" s="2" t="s">
        <v>71</v>
      </c>
      <c r="AB77" s="2" t="s">
        <v>71</v>
      </c>
      <c r="AC77" s="2" t="s">
        <v>71</v>
      </c>
      <c r="AD77" s="2" t="s">
        <v>71</v>
      </c>
      <c r="AE77" s="2" t="s">
        <v>80</v>
      </c>
      <c r="AF77" s="5" t="s">
        <v>872</v>
      </c>
      <c r="AG77">
        <v>3</v>
      </c>
    </row>
    <row r="78" spans="1:33" ht="64" hidden="1" x14ac:dyDescent="0.2">
      <c r="A78" s="2">
        <v>48612619</v>
      </c>
      <c r="B78" s="2">
        <f>VLOOKUP(A78,[1]TRATAMIENTI!$A:$B,2,FALSE)</f>
        <v>350</v>
      </c>
      <c r="C78" t="s">
        <v>873</v>
      </c>
      <c r="D78">
        <v>3117573047</v>
      </c>
      <c r="E78" t="s">
        <v>848</v>
      </c>
      <c r="F78" t="s">
        <v>561</v>
      </c>
      <c r="G78" s="2" t="str">
        <f t="shared" si="1"/>
        <v>VALLE DEL CAUCA</v>
      </c>
      <c r="H78" t="s">
        <v>476</v>
      </c>
      <c r="I78" s="4" t="s">
        <v>651</v>
      </c>
      <c r="J78" s="2" t="s">
        <v>71</v>
      </c>
      <c r="K78" s="2" t="s">
        <v>71</v>
      </c>
      <c r="L78" s="2" t="s">
        <v>71</v>
      </c>
      <c r="M78" s="2" t="s">
        <v>72</v>
      </c>
      <c r="N78" s="2" t="s">
        <v>76</v>
      </c>
      <c r="O78" s="2" t="s">
        <v>72</v>
      </c>
      <c r="P78" s="2" t="s">
        <v>72</v>
      </c>
      <c r="Q78" s="2" t="s">
        <v>72</v>
      </c>
      <c r="R78" s="2" t="s">
        <v>76</v>
      </c>
      <c r="S78" s="2" t="s">
        <v>72</v>
      </c>
      <c r="T78" s="2" t="s">
        <v>71</v>
      </c>
      <c r="U78" s="2" t="s">
        <v>71</v>
      </c>
      <c r="V78" s="2" t="s">
        <v>76</v>
      </c>
      <c r="W78" s="2" t="s">
        <v>72</v>
      </c>
      <c r="X78" s="2" t="s">
        <v>76</v>
      </c>
      <c r="Y78" s="2" t="s">
        <v>76</v>
      </c>
      <c r="Z78" s="2" t="s">
        <v>76</v>
      </c>
      <c r="AA78" s="2" t="s">
        <v>72</v>
      </c>
      <c r="AB78" s="2" t="s">
        <v>76</v>
      </c>
      <c r="AC78" s="2" t="s">
        <v>76</v>
      </c>
      <c r="AD78" s="2" t="s">
        <v>72</v>
      </c>
      <c r="AE78" s="2" t="s">
        <v>80</v>
      </c>
      <c r="AF78" s="5" t="s">
        <v>874</v>
      </c>
      <c r="AG78">
        <v>1</v>
      </c>
    </row>
    <row r="79" spans="1:33" ht="64" hidden="1" x14ac:dyDescent="0.2">
      <c r="A79" s="2">
        <v>48614162</v>
      </c>
      <c r="B79" s="2">
        <f>VLOOKUP(A79,[1]TRATAMIENTI!$A:$B,2,FALSE)</f>
        <v>351</v>
      </c>
      <c r="C79" t="s">
        <v>875</v>
      </c>
      <c r="D79">
        <v>3207256456</v>
      </c>
      <c r="E79" t="s">
        <v>876</v>
      </c>
      <c r="F79" t="s">
        <v>561</v>
      </c>
      <c r="G79" s="2" t="str">
        <f t="shared" si="1"/>
        <v>VALLE DEL CAUCA</v>
      </c>
      <c r="H79" t="s">
        <v>476</v>
      </c>
      <c r="I79" s="4" t="s">
        <v>651</v>
      </c>
      <c r="J79" s="2" t="s">
        <v>71</v>
      </c>
      <c r="K79" s="2" t="s">
        <v>71</v>
      </c>
      <c r="L79" s="2" t="s">
        <v>71</v>
      </c>
      <c r="M79" s="2" t="s">
        <v>72</v>
      </c>
      <c r="N79" s="2" t="s">
        <v>71</v>
      </c>
      <c r="O79" s="2" t="s">
        <v>72</v>
      </c>
      <c r="P79" s="2" t="s">
        <v>72</v>
      </c>
      <c r="Q79" s="2" t="s">
        <v>72</v>
      </c>
      <c r="R79" s="2" t="s">
        <v>76</v>
      </c>
      <c r="S79" s="2" t="s">
        <v>72</v>
      </c>
      <c r="T79" s="2" t="s">
        <v>71</v>
      </c>
      <c r="U79" s="2" t="s">
        <v>71</v>
      </c>
      <c r="V79" s="2" t="s">
        <v>76</v>
      </c>
      <c r="W79" s="2" t="s">
        <v>72</v>
      </c>
      <c r="X79" s="2" t="s">
        <v>76</v>
      </c>
      <c r="Y79" s="2" t="s">
        <v>76</v>
      </c>
      <c r="Z79" s="2" t="s">
        <v>76</v>
      </c>
      <c r="AA79" s="2" t="s">
        <v>71</v>
      </c>
      <c r="AB79" s="2" t="s">
        <v>72</v>
      </c>
      <c r="AC79" s="2" t="s">
        <v>71</v>
      </c>
      <c r="AD79" s="2" t="s">
        <v>71</v>
      </c>
      <c r="AE79" s="2" t="s">
        <v>256</v>
      </c>
      <c r="AF79" s="5" t="s">
        <v>805</v>
      </c>
      <c r="AG79">
        <v>3</v>
      </c>
    </row>
    <row r="80" spans="1:33" ht="64" hidden="1" x14ac:dyDescent="0.2">
      <c r="A80" s="2">
        <v>5217736</v>
      </c>
      <c r="B80" s="2">
        <f>VLOOKUP(A80,[1]TRATAMIENTI!$A:$B,2,FALSE)</f>
        <v>352</v>
      </c>
      <c r="C80" t="s">
        <v>877</v>
      </c>
      <c r="D80">
        <v>3205441920</v>
      </c>
      <c r="E80" t="s">
        <v>878</v>
      </c>
      <c r="F80" t="s">
        <v>561</v>
      </c>
      <c r="G80" s="2" t="str">
        <f t="shared" si="1"/>
        <v>VALLE DEL CAUCA</v>
      </c>
      <c r="H80" t="s">
        <v>476</v>
      </c>
      <c r="I80" s="4" t="s">
        <v>651</v>
      </c>
      <c r="J80" s="2" t="s">
        <v>71</v>
      </c>
      <c r="K80" s="2" t="s">
        <v>71</v>
      </c>
      <c r="L80" s="2" t="s">
        <v>76</v>
      </c>
      <c r="M80" s="2" t="s">
        <v>72</v>
      </c>
      <c r="N80" s="2" t="s">
        <v>71</v>
      </c>
      <c r="O80" s="2" t="s">
        <v>72</v>
      </c>
      <c r="P80" s="2" t="s">
        <v>72</v>
      </c>
      <c r="Q80" s="2" t="s">
        <v>72</v>
      </c>
      <c r="R80" s="2" t="s">
        <v>76</v>
      </c>
      <c r="S80" s="2" t="s">
        <v>71</v>
      </c>
      <c r="T80" s="2" t="s">
        <v>71</v>
      </c>
      <c r="U80" s="2" t="s">
        <v>72</v>
      </c>
      <c r="V80" s="2" t="s">
        <v>72</v>
      </c>
      <c r="W80" s="2" t="s">
        <v>72</v>
      </c>
      <c r="X80" s="2" t="s">
        <v>71</v>
      </c>
      <c r="Y80" s="2" t="s">
        <v>71</v>
      </c>
      <c r="Z80" s="2" t="s">
        <v>71</v>
      </c>
      <c r="AA80" s="2" t="s">
        <v>71</v>
      </c>
      <c r="AB80" s="2" t="s">
        <v>71</v>
      </c>
      <c r="AC80" s="2" t="s">
        <v>71</v>
      </c>
      <c r="AD80" s="2" t="s">
        <v>71</v>
      </c>
      <c r="AE80" s="2" t="s">
        <v>80</v>
      </c>
      <c r="AF80" s="5" t="s">
        <v>879</v>
      </c>
      <c r="AG80">
        <v>1</v>
      </c>
    </row>
    <row r="81" spans="1:33" ht="64" hidden="1" x14ac:dyDescent="0.2">
      <c r="A81" s="2">
        <v>66826171</v>
      </c>
      <c r="B81" s="2">
        <f>VLOOKUP(A81,[1]TRATAMIENTI!$A:$B,2,FALSE)</f>
        <v>356</v>
      </c>
      <c r="C81" t="s">
        <v>880</v>
      </c>
      <c r="D81">
        <v>3137510036</v>
      </c>
      <c r="E81" t="s">
        <v>881</v>
      </c>
      <c r="F81" t="s">
        <v>561</v>
      </c>
      <c r="G81" s="2" t="str">
        <f t="shared" si="1"/>
        <v>VALLE DEL CAUCA</v>
      </c>
      <c r="H81" t="s">
        <v>476</v>
      </c>
      <c r="I81" s="4" t="s">
        <v>651</v>
      </c>
      <c r="J81" s="2" t="s">
        <v>71</v>
      </c>
      <c r="K81" s="2" t="s">
        <v>71</v>
      </c>
      <c r="L81" s="2" t="s">
        <v>71</v>
      </c>
      <c r="M81" s="2" t="s">
        <v>72</v>
      </c>
      <c r="N81" s="2" t="s">
        <v>71</v>
      </c>
      <c r="O81" s="2" t="s">
        <v>72</v>
      </c>
      <c r="P81" s="2" t="s">
        <v>72</v>
      </c>
      <c r="Q81" s="2" t="s">
        <v>72</v>
      </c>
      <c r="R81" s="2" t="s">
        <v>76</v>
      </c>
      <c r="S81" s="2" t="s">
        <v>72</v>
      </c>
      <c r="T81" s="2" t="s">
        <v>71</v>
      </c>
      <c r="U81" s="2" t="s">
        <v>71</v>
      </c>
      <c r="V81" s="2" t="s">
        <v>71</v>
      </c>
      <c r="W81" s="2" t="s">
        <v>72</v>
      </c>
      <c r="X81" s="2" t="s">
        <v>76</v>
      </c>
      <c r="Y81" s="2" t="s">
        <v>76</v>
      </c>
      <c r="Z81" s="2" t="s">
        <v>76</v>
      </c>
      <c r="AA81" s="2" t="s">
        <v>72</v>
      </c>
      <c r="AB81" s="2" t="s">
        <v>76</v>
      </c>
      <c r="AC81" s="2" t="s">
        <v>72</v>
      </c>
      <c r="AD81" s="2" t="s">
        <v>76</v>
      </c>
      <c r="AE81" s="2" t="s">
        <v>80</v>
      </c>
      <c r="AF81" s="5" t="s">
        <v>882</v>
      </c>
      <c r="AG81">
        <v>2</v>
      </c>
    </row>
    <row r="82" spans="1:33" ht="64" hidden="1" x14ac:dyDescent="0.2">
      <c r="A82" s="2">
        <v>66865714</v>
      </c>
      <c r="B82" s="2">
        <f>VLOOKUP(A82,[1]TRATAMIENTI!$A:$B,2,FALSE)</f>
        <v>359</v>
      </c>
      <c r="C82" t="s">
        <v>883</v>
      </c>
      <c r="D82">
        <v>3260566280</v>
      </c>
      <c r="E82" t="s">
        <v>884</v>
      </c>
      <c r="F82" t="s">
        <v>561</v>
      </c>
      <c r="G82" s="2" t="str">
        <f t="shared" si="1"/>
        <v>VALLE DEL CAUCA</v>
      </c>
      <c r="H82" t="s">
        <v>476</v>
      </c>
      <c r="I82" s="4" t="s">
        <v>651</v>
      </c>
      <c r="J82" s="2" t="s">
        <v>71</v>
      </c>
      <c r="K82" s="2" t="s">
        <v>71</v>
      </c>
      <c r="L82" s="2" t="s">
        <v>71</v>
      </c>
      <c r="M82" s="2" t="s">
        <v>72</v>
      </c>
      <c r="N82" s="2" t="s">
        <v>71</v>
      </c>
      <c r="O82" s="2" t="s">
        <v>72</v>
      </c>
      <c r="P82" s="2" t="s">
        <v>72</v>
      </c>
      <c r="Q82" s="2" t="s">
        <v>72</v>
      </c>
      <c r="R82" s="2" t="s">
        <v>76</v>
      </c>
      <c r="S82" s="2" t="s">
        <v>71</v>
      </c>
      <c r="T82" s="2" t="s">
        <v>71</v>
      </c>
      <c r="U82" s="2" t="s">
        <v>71</v>
      </c>
      <c r="V82" s="2" t="s">
        <v>71</v>
      </c>
      <c r="W82" s="2" t="s">
        <v>72</v>
      </c>
      <c r="X82" s="2" t="s">
        <v>71</v>
      </c>
      <c r="Y82" s="2" t="s">
        <v>71</v>
      </c>
      <c r="Z82" s="2" t="s">
        <v>71</v>
      </c>
      <c r="AA82" s="2" t="s">
        <v>71</v>
      </c>
      <c r="AB82" s="2" t="s">
        <v>71</v>
      </c>
      <c r="AC82" s="2" t="s">
        <v>71</v>
      </c>
      <c r="AD82" s="2" t="s">
        <v>71</v>
      </c>
      <c r="AE82" s="2" t="s">
        <v>256</v>
      </c>
      <c r="AF82" s="5" t="s">
        <v>885</v>
      </c>
      <c r="AG82">
        <v>3</v>
      </c>
    </row>
    <row r="83" spans="1:33" ht="64" hidden="1" x14ac:dyDescent="0.2">
      <c r="A83" s="2">
        <v>66900125</v>
      </c>
      <c r="B83" s="2">
        <f>VLOOKUP(A83,[1]TRATAMIENTI!$A:$B,2,FALSE)</f>
        <v>360</v>
      </c>
      <c r="C83" t="s">
        <v>886</v>
      </c>
      <c r="D83">
        <v>3217270289</v>
      </c>
      <c r="E83" t="s">
        <v>887</v>
      </c>
      <c r="F83" t="s">
        <v>561</v>
      </c>
      <c r="G83" s="2" t="str">
        <f t="shared" si="1"/>
        <v>VALLE DEL CAUCA</v>
      </c>
      <c r="H83" t="s">
        <v>476</v>
      </c>
      <c r="I83" s="4" t="s">
        <v>651</v>
      </c>
      <c r="J83" s="2" t="s">
        <v>71</v>
      </c>
      <c r="K83" s="2" t="s">
        <v>71</v>
      </c>
      <c r="L83" s="2" t="s">
        <v>71</v>
      </c>
      <c r="M83" s="2" t="s">
        <v>72</v>
      </c>
      <c r="N83" s="2" t="s">
        <v>71</v>
      </c>
      <c r="O83" s="2" t="s">
        <v>72</v>
      </c>
      <c r="P83" s="2" t="s">
        <v>72</v>
      </c>
      <c r="Q83" s="2" t="s">
        <v>72</v>
      </c>
      <c r="R83" s="2" t="s">
        <v>76</v>
      </c>
      <c r="S83" s="2" t="s">
        <v>71</v>
      </c>
      <c r="T83" s="2" t="s">
        <v>71</v>
      </c>
      <c r="U83" s="2" t="s">
        <v>72</v>
      </c>
      <c r="V83" s="2" t="s">
        <v>71</v>
      </c>
      <c r="W83" s="2" t="s">
        <v>71</v>
      </c>
      <c r="X83" s="2" t="s">
        <v>76</v>
      </c>
      <c r="Y83" s="2" t="s">
        <v>76</v>
      </c>
      <c r="Z83" s="2" t="s">
        <v>76</v>
      </c>
      <c r="AA83" s="2" t="s">
        <v>71</v>
      </c>
      <c r="AB83" s="2" t="s">
        <v>76</v>
      </c>
      <c r="AC83" s="2" t="s">
        <v>71</v>
      </c>
      <c r="AD83" s="2" t="s">
        <v>71</v>
      </c>
      <c r="AE83" s="2" t="s">
        <v>80</v>
      </c>
      <c r="AF83" s="5" t="s">
        <v>888</v>
      </c>
      <c r="AG83">
        <v>3</v>
      </c>
    </row>
    <row r="84" spans="1:33" ht="85" hidden="1" x14ac:dyDescent="0.2">
      <c r="A84" s="2">
        <v>66908388</v>
      </c>
      <c r="B84" s="2">
        <f>VLOOKUP(A84,[1]TRATAMIENTI!$A:$B,2,FALSE)</f>
        <v>361</v>
      </c>
      <c r="C84" t="s">
        <v>889</v>
      </c>
      <c r="D84">
        <v>0</v>
      </c>
      <c r="E84">
        <v>0</v>
      </c>
      <c r="F84" t="s">
        <v>561</v>
      </c>
      <c r="G84" s="2" t="str">
        <f t="shared" si="1"/>
        <v>VALLE DEL CAUCA</v>
      </c>
      <c r="H84" t="s">
        <v>476</v>
      </c>
      <c r="I84" s="4" t="s">
        <v>651</v>
      </c>
      <c r="J84" s="2" t="s">
        <v>71</v>
      </c>
      <c r="K84" s="2" t="s">
        <v>76</v>
      </c>
      <c r="L84" s="2" t="s">
        <v>71</v>
      </c>
      <c r="M84" s="2" t="s">
        <v>72</v>
      </c>
      <c r="N84" s="2" t="s">
        <v>71</v>
      </c>
      <c r="O84" s="2" t="s">
        <v>72</v>
      </c>
      <c r="P84" s="2" t="s">
        <v>72</v>
      </c>
      <c r="Q84" s="2" t="s">
        <v>72</v>
      </c>
      <c r="R84" s="2" t="s">
        <v>76</v>
      </c>
      <c r="S84" s="2" t="s">
        <v>72</v>
      </c>
      <c r="T84" s="2" t="s">
        <v>71</v>
      </c>
      <c r="U84" s="2" t="s">
        <v>71</v>
      </c>
      <c r="V84" s="2" t="s">
        <v>76</v>
      </c>
      <c r="W84" s="2" t="s">
        <v>72</v>
      </c>
      <c r="X84" s="2" t="s">
        <v>76</v>
      </c>
      <c r="Y84" s="2" t="s">
        <v>76</v>
      </c>
      <c r="Z84" s="2" t="s">
        <v>76</v>
      </c>
      <c r="AA84" s="2" t="s">
        <v>71</v>
      </c>
      <c r="AB84" s="2" t="s">
        <v>76</v>
      </c>
      <c r="AC84" s="2" t="s">
        <v>71</v>
      </c>
      <c r="AD84" s="2" t="s">
        <v>71</v>
      </c>
      <c r="AE84" s="2" t="s">
        <v>91</v>
      </c>
      <c r="AF84" s="5" t="s">
        <v>890</v>
      </c>
      <c r="AG84">
        <v>1</v>
      </c>
    </row>
    <row r="85" spans="1:33" ht="64" hidden="1" x14ac:dyDescent="0.2">
      <c r="A85" s="2">
        <v>66908980</v>
      </c>
      <c r="B85" s="2">
        <f>VLOOKUP(A85,[1]TRATAMIENTI!$A:$B,2,FALSE)</f>
        <v>362</v>
      </c>
      <c r="C85" t="s">
        <v>891</v>
      </c>
      <c r="D85">
        <v>3174436878</v>
      </c>
      <c r="E85" t="s">
        <v>892</v>
      </c>
      <c r="F85" t="s">
        <v>561</v>
      </c>
      <c r="G85" s="2" t="str">
        <f t="shared" si="1"/>
        <v>VALLE DEL CAUCA</v>
      </c>
      <c r="H85" t="s">
        <v>476</v>
      </c>
      <c r="I85" s="4" t="s">
        <v>651</v>
      </c>
      <c r="J85" s="2" t="s">
        <v>71</v>
      </c>
      <c r="K85" s="2" t="s">
        <v>71</v>
      </c>
      <c r="L85" s="2" t="s">
        <v>76</v>
      </c>
      <c r="M85" s="2" t="s">
        <v>72</v>
      </c>
      <c r="N85" s="2" t="s">
        <v>71</v>
      </c>
      <c r="O85" s="2" t="s">
        <v>72</v>
      </c>
      <c r="P85" s="2" t="s">
        <v>72</v>
      </c>
      <c r="Q85" s="2" t="s">
        <v>72</v>
      </c>
      <c r="R85" s="2" t="s">
        <v>76</v>
      </c>
      <c r="S85" s="2" t="s">
        <v>71</v>
      </c>
      <c r="T85" s="2" t="s">
        <v>71</v>
      </c>
      <c r="U85" s="2" t="s">
        <v>72</v>
      </c>
      <c r="V85" s="2" t="s">
        <v>72</v>
      </c>
      <c r="W85" s="2" t="s">
        <v>72</v>
      </c>
      <c r="X85" s="2" t="s">
        <v>71</v>
      </c>
      <c r="Y85" s="2" t="s">
        <v>71</v>
      </c>
      <c r="Z85" s="2" t="s">
        <v>71</v>
      </c>
      <c r="AA85" s="2" t="s">
        <v>71</v>
      </c>
      <c r="AB85" s="2" t="s">
        <v>71</v>
      </c>
      <c r="AC85" s="2" t="s">
        <v>71</v>
      </c>
      <c r="AD85" s="2" t="s">
        <v>71</v>
      </c>
      <c r="AE85" s="2" t="s">
        <v>80</v>
      </c>
      <c r="AF85" s="5" t="s">
        <v>893</v>
      </c>
      <c r="AG85">
        <v>1</v>
      </c>
    </row>
    <row r="86" spans="1:33" ht="64" hidden="1" x14ac:dyDescent="0.2">
      <c r="A86" s="2">
        <v>67014284</v>
      </c>
      <c r="B86" s="2">
        <f>VLOOKUP(A86,[1]TRATAMIENTI!$A:$B,2,FALSE)</f>
        <v>369</v>
      </c>
      <c r="C86" t="s">
        <v>894</v>
      </c>
      <c r="D86">
        <v>3215461593</v>
      </c>
      <c r="E86" t="s">
        <v>895</v>
      </c>
      <c r="F86" t="s">
        <v>561</v>
      </c>
      <c r="G86" s="2" t="str">
        <f t="shared" si="1"/>
        <v>VALLE DEL CAUCA</v>
      </c>
      <c r="H86" t="s">
        <v>476</v>
      </c>
      <c r="I86" s="4" t="s">
        <v>651</v>
      </c>
      <c r="J86" s="2" t="s">
        <v>71</v>
      </c>
      <c r="K86" s="2" t="s">
        <v>71</v>
      </c>
      <c r="L86" s="2" t="s">
        <v>71</v>
      </c>
      <c r="M86" s="2" t="s">
        <v>72</v>
      </c>
      <c r="N86" s="2" t="s">
        <v>76</v>
      </c>
      <c r="O86" s="2" t="s">
        <v>72</v>
      </c>
      <c r="P86" s="2" t="s">
        <v>72</v>
      </c>
      <c r="Q86" s="2" t="s">
        <v>72</v>
      </c>
      <c r="R86" s="2" t="s">
        <v>76</v>
      </c>
      <c r="S86" s="2" t="s">
        <v>72</v>
      </c>
      <c r="T86" s="2" t="s">
        <v>71</v>
      </c>
      <c r="U86" s="2" t="s">
        <v>71</v>
      </c>
      <c r="V86" s="2" t="s">
        <v>76</v>
      </c>
      <c r="W86" s="2" t="s">
        <v>72</v>
      </c>
      <c r="X86" s="2" t="s">
        <v>71</v>
      </c>
      <c r="Y86" s="2" t="s">
        <v>71</v>
      </c>
      <c r="Z86" s="2" t="s">
        <v>71</v>
      </c>
      <c r="AA86" s="2" t="s">
        <v>71</v>
      </c>
      <c r="AB86" s="2" t="s">
        <v>71</v>
      </c>
      <c r="AC86" s="2" t="s">
        <v>71</v>
      </c>
      <c r="AD86" s="2" t="s">
        <v>71</v>
      </c>
      <c r="AE86" s="2" t="s">
        <v>256</v>
      </c>
      <c r="AF86" s="5" t="s">
        <v>896</v>
      </c>
      <c r="AG86">
        <v>3</v>
      </c>
    </row>
    <row r="87" spans="1:33" ht="61" hidden="1" x14ac:dyDescent="0.2">
      <c r="A87" s="2">
        <v>67021030</v>
      </c>
      <c r="B87" s="2">
        <f>VLOOKUP(A87,[1]TRATAMIENTI!$A:$B,2,FALSE)</f>
        <v>370</v>
      </c>
      <c r="C87" t="s">
        <v>897</v>
      </c>
      <c r="D87">
        <v>3203611755</v>
      </c>
      <c r="F87" t="s">
        <v>561</v>
      </c>
      <c r="G87" s="2" t="str">
        <f t="shared" si="1"/>
        <v>VALLE DEL CAUCA</v>
      </c>
      <c r="H87" t="s">
        <v>476</v>
      </c>
      <c r="I87" s="4" t="s">
        <v>651</v>
      </c>
      <c r="J87" s="2" t="s">
        <v>76</v>
      </c>
      <c r="K87" s="2" t="s">
        <v>76</v>
      </c>
      <c r="L87" s="2" t="s">
        <v>71</v>
      </c>
      <c r="M87" s="2" t="s">
        <v>71</v>
      </c>
      <c r="N87" s="2" t="s">
        <v>71</v>
      </c>
      <c r="O87" s="2" t="s">
        <v>71</v>
      </c>
      <c r="P87" s="2" t="s">
        <v>71</v>
      </c>
      <c r="Q87" s="2" t="s">
        <v>71</v>
      </c>
      <c r="R87" s="2" t="s">
        <v>71</v>
      </c>
      <c r="S87" s="2" t="s">
        <v>71</v>
      </c>
      <c r="T87" s="2" t="s">
        <v>71</v>
      </c>
      <c r="U87" s="2" t="s">
        <v>71</v>
      </c>
      <c r="V87" s="2" t="s">
        <v>71</v>
      </c>
      <c r="W87" s="2" t="s">
        <v>71</v>
      </c>
      <c r="X87" s="2" t="s">
        <v>76</v>
      </c>
      <c r="Y87" s="2" t="s">
        <v>76</v>
      </c>
      <c r="Z87" s="2" t="s">
        <v>76</v>
      </c>
      <c r="AA87" s="2" t="s">
        <v>71</v>
      </c>
      <c r="AB87" s="2" t="s">
        <v>71</v>
      </c>
      <c r="AC87" s="2" t="s">
        <v>71</v>
      </c>
      <c r="AD87" s="2" t="s">
        <v>71</v>
      </c>
      <c r="AE87" s="2" t="s">
        <v>77</v>
      </c>
      <c r="AF87" s="5" t="s">
        <v>898</v>
      </c>
      <c r="AG87">
        <v>2</v>
      </c>
    </row>
    <row r="88" spans="1:33" ht="64" hidden="1" x14ac:dyDescent="0.2">
      <c r="A88" s="2">
        <v>76047511</v>
      </c>
      <c r="B88" s="2">
        <f>VLOOKUP(A88,[1]TRATAMIENTI!$A:$B,2,FALSE)</f>
        <v>372</v>
      </c>
      <c r="C88" t="s">
        <v>899</v>
      </c>
      <c r="D88">
        <v>3105308371</v>
      </c>
      <c r="E88" t="s">
        <v>900</v>
      </c>
      <c r="F88" t="s">
        <v>561</v>
      </c>
      <c r="G88" s="2" t="str">
        <f t="shared" si="1"/>
        <v>VALLE DEL CAUCA</v>
      </c>
      <c r="H88" t="s">
        <v>476</v>
      </c>
      <c r="I88" s="4" t="s">
        <v>651</v>
      </c>
      <c r="J88" s="2" t="s">
        <v>71</v>
      </c>
      <c r="K88" s="2" t="s">
        <v>71</v>
      </c>
      <c r="L88" s="2" t="s">
        <v>71</v>
      </c>
      <c r="M88" s="2" t="s">
        <v>72</v>
      </c>
      <c r="N88" s="2" t="s">
        <v>76</v>
      </c>
      <c r="O88" s="2" t="s">
        <v>72</v>
      </c>
      <c r="P88" s="2" t="s">
        <v>72</v>
      </c>
      <c r="Q88" s="2" t="s">
        <v>72</v>
      </c>
      <c r="R88" s="2" t="s">
        <v>76</v>
      </c>
      <c r="S88" s="2" t="s">
        <v>71</v>
      </c>
      <c r="T88" s="2" t="s">
        <v>71</v>
      </c>
      <c r="U88" s="2" t="s">
        <v>72</v>
      </c>
      <c r="V88" s="2" t="s">
        <v>71</v>
      </c>
      <c r="W88" s="2" t="s">
        <v>72</v>
      </c>
      <c r="X88" s="2" t="s">
        <v>76</v>
      </c>
      <c r="Y88" s="2" t="s">
        <v>76</v>
      </c>
      <c r="Z88" s="2" t="s">
        <v>76</v>
      </c>
      <c r="AA88" s="2" t="s">
        <v>72</v>
      </c>
      <c r="AB88" s="2" t="s">
        <v>76</v>
      </c>
      <c r="AC88" s="2" t="s">
        <v>72</v>
      </c>
      <c r="AD88" s="2" t="s">
        <v>71</v>
      </c>
      <c r="AE88" s="2" t="s">
        <v>80</v>
      </c>
      <c r="AF88" s="5" t="s">
        <v>901</v>
      </c>
      <c r="AG88">
        <v>2</v>
      </c>
    </row>
    <row r="89" spans="1:33" ht="73" hidden="1" x14ac:dyDescent="0.2">
      <c r="A89" s="2">
        <v>76336138</v>
      </c>
      <c r="B89" s="2">
        <f>VLOOKUP(A89,[1]TRATAMIENTI!$A:$B,2,FALSE)</f>
        <v>375</v>
      </c>
      <c r="C89" t="s">
        <v>902</v>
      </c>
      <c r="D89">
        <v>3117104646</v>
      </c>
      <c r="E89" t="s">
        <v>903</v>
      </c>
      <c r="F89" t="s">
        <v>561</v>
      </c>
      <c r="G89" s="2" t="str">
        <f t="shared" si="1"/>
        <v>VALLE DEL CAUCA</v>
      </c>
      <c r="H89" t="s">
        <v>476</v>
      </c>
      <c r="I89" s="4" t="s">
        <v>651</v>
      </c>
      <c r="J89" s="2" t="s">
        <v>71</v>
      </c>
      <c r="K89" s="2" t="s">
        <v>71</v>
      </c>
      <c r="L89" s="2" t="s">
        <v>71</v>
      </c>
      <c r="M89" s="2" t="s">
        <v>72</v>
      </c>
      <c r="N89" s="2" t="s">
        <v>71</v>
      </c>
      <c r="O89" s="2" t="s">
        <v>71</v>
      </c>
      <c r="P89" s="2" t="s">
        <v>72</v>
      </c>
      <c r="Q89" s="2" t="s">
        <v>72</v>
      </c>
      <c r="R89" s="2" t="s">
        <v>76</v>
      </c>
      <c r="S89" s="2" t="s">
        <v>72</v>
      </c>
      <c r="T89" s="2" t="s">
        <v>71</v>
      </c>
      <c r="U89" s="2" t="s">
        <v>71</v>
      </c>
      <c r="V89" s="2" t="s">
        <v>76</v>
      </c>
      <c r="W89" s="2" t="s">
        <v>72</v>
      </c>
      <c r="X89" s="2" t="s">
        <v>76</v>
      </c>
      <c r="Y89" s="2" t="s">
        <v>76</v>
      </c>
      <c r="Z89" s="2" t="s">
        <v>76</v>
      </c>
      <c r="AA89" s="2" t="s">
        <v>72</v>
      </c>
      <c r="AB89" s="2" t="s">
        <v>76</v>
      </c>
      <c r="AC89" s="2" t="s">
        <v>76</v>
      </c>
      <c r="AD89" s="2" t="s">
        <v>72</v>
      </c>
      <c r="AE89" s="2" t="s">
        <v>80</v>
      </c>
      <c r="AF89" s="5" t="s">
        <v>904</v>
      </c>
      <c r="AG89">
        <v>1</v>
      </c>
    </row>
    <row r="90" spans="1:33" ht="73" hidden="1" x14ac:dyDescent="0.2">
      <c r="A90" s="2">
        <v>87430106</v>
      </c>
      <c r="B90" s="2">
        <f>VLOOKUP(A90,[1]TRATAMIENTI!$A:$B,2,FALSE)</f>
        <v>376</v>
      </c>
      <c r="C90" t="s">
        <v>905</v>
      </c>
      <c r="D90">
        <v>3227694880</v>
      </c>
      <c r="E90" t="s">
        <v>906</v>
      </c>
      <c r="F90" t="s">
        <v>561</v>
      </c>
      <c r="G90" s="2" t="str">
        <f t="shared" si="1"/>
        <v>VALLE DEL CAUCA</v>
      </c>
      <c r="H90" t="s">
        <v>476</v>
      </c>
      <c r="I90" s="4" t="s">
        <v>651</v>
      </c>
      <c r="J90" s="2" t="s">
        <v>71</v>
      </c>
      <c r="K90" s="2" t="s">
        <v>76</v>
      </c>
      <c r="L90" s="2" t="s">
        <v>71</v>
      </c>
      <c r="M90" s="2" t="s">
        <v>72</v>
      </c>
      <c r="N90" s="2" t="s">
        <v>71</v>
      </c>
      <c r="O90" s="2" t="s">
        <v>72</v>
      </c>
      <c r="P90" s="2" t="s">
        <v>72</v>
      </c>
      <c r="Q90" s="2" t="s">
        <v>72</v>
      </c>
      <c r="R90" s="2" t="s">
        <v>76</v>
      </c>
      <c r="S90" s="2" t="s">
        <v>72</v>
      </c>
      <c r="T90" s="2" t="s">
        <v>71</v>
      </c>
      <c r="U90" s="2" t="s">
        <v>71</v>
      </c>
      <c r="V90" s="2" t="s">
        <v>76</v>
      </c>
      <c r="W90" s="2" t="s">
        <v>72</v>
      </c>
      <c r="X90" s="2" t="s">
        <v>76</v>
      </c>
      <c r="Y90" s="2" t="s">
        <v>76</v>
      </c>
      <c r="Z90" s="2" t="s">
        <v>76</v>
      </c>
      <c r="AA90" s="2" t="s">
        <v>72</v>
      </c>
      <c r="AB90" s="2" t="s">
        <v>76</v>
      </c>
      <c r="AC90" s="2" t="s">
        <v>72</v>
      </c>
      <c r="AD90" s="2" t="s">
        <v>72</v>
      </c>
      <c r="AE90" s="2" t="s">
        <v>91</v>
      </c>
      <c r="AF90" s="5" t="s">
        <v>907</v>
      </c>
      <c r="AG90">
        <v>1</v>
      </c>
    </row>
    <row r="91" spans="1:33" ht="64" hidden="1" x14ac:dyDescent="0.2">
      <c r="A91" s="2">
        <v>94225090</v>
      </c>
      <c r="B91" s="2">
        <f>VLOOKUP(A91,[1]TRATAMIENTI!$A:$B,2,FALSE)</f>
        <v>377</v>
      </c>
      <c r="C91" t="s">
        <v>908</v>
      </c>
      <c r="D91">
        <v>3167775908</v>
      </c>
      <c r="E91" t="s">
        <v>909</v>
      </c>
      <c r="F91" t="s">
        <v>561</v>
      </c>
      <c r="G91" s="2" t="str">
        <f t="shared" si="1"/>
        <v>VALLE DEL CAUCA</v>
      </c>
      <c r="H91" t="s">
        <v>476</v>
      </c>
      <c r="I91" s="4" t="s">
        <v>651</v>
      </c>
      <c r="J91" s="2" t="s">
        <v>71</v>
      </c>
      <c r="K91" s="2" t="s">
        <v>71</v>
      </c>
      <c r="L91" s="2" t="s">
        <v>71</v>
      </c>
      <c r="M91" s="2" t="s">
        <v>72</v>
      </c>
      <c r="N91" s="2" t="s">
        <v>71</v>
      </c>
      <c r="O91" s="2" t="s">
        <v>72</v>
      </c>
      <c r="P91" s="2" t="s">
        <v>72</v>
      </c>
      <c r="Q91" s="2" t="s">
        <v>72</v>
      </c>
      <c r="R91" s="2" t="s">
        <v>76</v>
      </c>
      <c r="S91" s="2" t="s">
        <v>71</v>
      </c>
      <c r="T91" s="2" t="s">
        <v>71</v>
      </c>
      <c r="U91" s="2" t="s">
        <v>71</v>
      </c>
      <c r="V91" s="2" t="s">
        <v>76</v>
      </c>
      <c r="W91" s="2" t="s">
        <v>72</v>
      </c>
      <c r="X91" s="2" t="s">
        <v>71</v>
      </c>
      <c r="Y91" s="2" t="s">
        <v>71</v>
      </c>
      <c r="Z91" s="2" t="s">
        <v>71</v>
      </c>
      <c r="AA91" s="2" t="s">
        <v>71</v>
      </c>
      <c r="AB91" s="2" t="s">
        <v>71</v>
      </c>
      <c r="AC91" s="2" t="s">
        <v>71</v>
      </c>
      <c r="AD91" s="2" t="s">
        <v>71</v>
      </c>
      <c r="AE91" s="2" t="s">
        <v>256</v>
      </c>
      <c r="AG91">
        <v>3</v>
      </c>
    </row>
    <row r="92" spans="1:33" ht="73" hidden="1" x14ac:dyDescent="0.2">
      <c r="A92" s="2">
        <v>94459917</v>
      </c>
      <c r="B92" s="2">
        <f>VLOOKUP(A92,[1]TRATAMIENTI!$A:$B,2,FALSE)</f>
        <v>378</v>
      </c>
      <c r="C92" t="s">
        <v>910</v>
      </c>
      <c r="D92">
        <v>3116094694</v>
      </c>
      <c r="E92" t="s">
        <v>911</v>
      </c>
      <c r="F92" t="s">
        <v>561</v>
      </c>
      <c r="G92" s="2" t="str">
        <f t="shared" si="1"/>
        <v>VALLE DEL CAUCA</v>
      </c>
      <c r="H92" t="s">
        <v>476</v>
      </c>
      <c r="I92" s="4" t="s">
        <v>651</v>
      </c>
      <c r="J92" s="2" t="s">
        <v>71</v>
      </c>
      <c r="K92" s="2" t="s">
        <v>76</v>
      </c>
      <c r="L92" s="2" t="s">
        <v>71</v>
      </c>
      <c r="M92" s="2" t="s">
        <v>72</v>
      </c>
      <c r="N92" s="2" t="s">
        <v>71</v>
      </c>
      <c r="O92" s="2" t="s">
        <v>72</v>
      </c>
      <c r="P92" s="2" t="s">
        <v>72</v>
      </c>
      <c r="Q92" s="2" t="s">
        <v>72</v>
      </c>
      <c r="R92" s="2" t="s">
        <v>76</v>
      </c>
      <c r="S92" s="2" t="s">
        <v>71</v>
      </c>
      <c r="T92" s="2" t="s">
        <v>71</v>
      </c>
      <c r="U92" s="2" t="s">
        <v>71</v>
      </c>
      <c r="V92" s="2" t="s">
        <v>76</v>
      </c>
      <c r="W92" s="2" t="s">
        <v>72</v>
      </c>
      <c r="X92" s="2" t="s">
        <v>76</v>
      </c>
      <c r="Y92" s="2" t="s">
        <v>76</v>
      </c>
      <c r="Z92" s="2" t="s">
        <v>76</v>
      </c>
      <c r="AA92" s="2" t="s">
        <v>72</v>
      </c>
      <c r="AB92" s="2" t="s">
        <v>76</v>
      </c>
      <c r="AC92" s="2" t="s">
        <v>72</v>
      </c>
      <c r="AD92" s="2" t="s">
        <v>72</v>
      </c>
      <c r="AE92" s="2" t="s">
        <v>91</v>
      </c>
      <c r="AF92" s="5" t="s">
        <v>912</v>
      </c>
      <c r="AG92">
        <v>1</v>
      </c>
    </row>
    <row r="93" spans="1:33" ht="64" hidden="1" x14ac:dyDescent="0.2">
      <c r="A93" s="2">
        <v>94494784</v>
      </c>
      <c r="B93" s="2">
        <f>VLOOKUP(A93,[1]TRATAMIENTI!$A:$B,2,FALSE)</f>
        <v>379</v>
      </c>
      <c r="C93" t="s">
        <v>913</v>
      </c>
      <c r="D93">
        <v>3117711800</v>
      </c>
      <c r="E93" t="s">
        <v>914</v>
      </c>
      <c r="F93" t="s">
        <v>561</v>
      </c>
      <c r="G93" s="2" t="str">
        <f t="shared" si="1"/>
        <v>VALLE DEL CAUCA</v>
      </c>
      <c r="H93" t="s">
        <v>476</v>
      </c>
      <c r="I93" s="4" t="s">
        <v>651</v>
      </c>
      <c r="J93" s="2" t="s">
        <v>71</v>
      </c>
      <c r="K93" s="2" t="s">
        <v>71</v>
      </c>
      <c r="L93" s="2" t="s">
        <v>72</v>
      </c>
      <c r="M93" s="2" t="s">
        <v>76</v>
      </c>
      <c r="N93" s="2" t="s">
        <v>72</v>
      </c>
      <c r="O93" s="2" t="s">
        <v>72</v>
      </c>
      <c r="P93" s="2" t="s">
        <v>72</v>
      </c>
      <c r="Q93" s="2" t="s">
        <v>76</v>
      </c>
      <c r="R93" s="2" t="s">
        <v>72</v>
      </c>
      <c r="S93" s="2" t="s">
        <v>71</v>
      </c>
      <c r="T93" s="2" t="s">
        <v>71</v>
      </c>
      <c r="U93" s="2" t="s">
        <v>72</v>
      </c>
      <c r="V93" s="2" t="s">
        <v>72</v>
      </c>
      <c r="W93" s="2" t="s">
        <v>71</v>
      </c>
      <c r="X93" s="2" t="s">
        <v>71</v>
      </c>
      <c r="Y93" s="2" t="s">
        <v>71</v>
      </c>
      <c r="Z93" s="2" t="s">
        <v>71</v>
      </c>
      <c r="AA93" s="2" t="s">
        <v>71</v>
      </c>
      <c r="AB93" s="2" t="s">
        <v>71</v>
      </c>
      <c r="AC93" s="2" t="s">
        <v>71</v>
      </c>
      <c r="AD93" s="2" t="s">
        <v>71</v>
      </c>
      <c r="AE93" s="2" t="s">
        <v>256</v>
      </c>
      <c r="AF93" s="5" t="s">
        <v>915</v>
      </c>
      <c r="AG93">
        <v>3</v>
      </c>
    </row>
    <row r="94" spans="1:33" ht="64" hidden="1" x14ac:dyDescent="0.2">
      <c r="A94" s="2">
        <v>94540935</v>
      </c>
      <c r="B94" s="2">
        <f>VLOOKUP(A94,[1]TRATAMIENTI!$A:$B,2,FALSE)</f>
        <v>381</v>
      </c>
      <c r="C94" t="s">
        <v>916</v>
      </c>
      <c r="D94">
        <v>3174764675</v>
      </c>
      <c r="E94" t="s">
        <v>917</v>
      </c>
      <c r="F94" t="s">
        <v>561</v>
      </c>
      <c r="G94" s="2" t="str">
        <f t="shared" si="1"/>
        <v>VALLE DEL CAUCA</v>
      </c>
      <c r="H94" t="s">
        <v>476</v>
      </c>
      <c r="I94" s="4" t="s">
        <v>651</v>
      </c>
      <c r="J94" s="2" t="s">
        <v>71</v>
      </c>
      <c r="K94" s="2" t="s">
        <v>71</v>
      </c>
      <c r="L94" s="2" t="s">
        <v>71</v>
      </c>
      <c r="M94" s="2" t="s">
        <v>72</v>
      </c>
      <c r="N94" s="2" t="s">
        <v>71</v>
      </c>
      <c r="O94" s="2" t="s">
        <v>72</v>
      </c>
      <c r="P94" s="2" t="s">
        <v>72</v>
      </c>
      <c r="Q94" s="2" t="s">
        <v>72</v>
      </c>
      <c r="R94" s="2" t="s">
        <v>76</v>
      </c>
      <c r="S94" s="2" t="s">
        <v>71</v>
      </c>
      <c r="T94" s="2" t="s">
        <v>72</v>
      </c>
      <c r="U94" s="2" t="s">
        <v>71</v>
      </c>
      <c r="V94" s="2" t="s">
        <v>76</v>
      </c>
      <c r="W94" s="2" t="s">
        <v>72</v>
      </c>
      <c r="X94" s="2" t="s">
        <v>76</v>
      </c>
      <c r="Y94" s="2" t="s">
        <v>76</v>
      </c>
      <c r="Z94" s="2" t="s">
        <v>76</v>
      </c>
      <c r="AA94" s="2" t="s">
        <v>71</v>
      </c>
      <c r="AB94" s="2" t="s">
        <v>76</v>
      </c>
      <c r="AC94" s="2" t="s">
        <v>71</v>
      </c>
      <c r="AD94" s="2" t="s">
        <v>72</v>
      </c>
      <c r="AE94" s="2" t="s">
        <v>80</v>
      </c>
      <c r="AF94" s="5" t="s">
        <v>918</v>
      </c>
      <c r="AG94">
        <v>2</v>
      </c>
    </row>
    <row r="95" spans="1:33" ht="64" hidden="1" x14ac:dyDescent="0.2">
      <c r="A95" s="2">
        <v>94550202</v>
      </c>
      <c r="B95" s="2">
        <f>VLOOKUP(A95,[1]TRATAMIENTI!$A:$B,2,FALSE)</f>
        <v>382</v>
      </c>
      <c r="C95" t="s">
        <v>919</v>
      </c>
      <c r="D95">
        <v>3128472306</v>
      </c>
      <c r="F95" t="s">
        <v>561</v>
      </c>
      <c r="G95" s="2" t="str">
        <f t="shared" si="1"/>
        <v>VALLE DEL CAUCA</v>
      </c>
      <c r="H95" t="s">
        <v>476</v>
      </c>
      <c r="I95" s="4" t="s">
        <v>651</v>
      </c>
      <c r="J95" s="2" t="s">
        <v>71</v>
      </c>
      <c r="K95" s="2" t="s">
        <v>71</v>
      </c>
      <c r="L95" s="2" t="s">
        <v>71</v>
      </c>
      <c r="M95" s="2" t="s">
        <v>72</v>
      </c>
      <c r="N95" s="2" t="s">
        <v>71</v>
      </c>
      <c r="O95" s="2" t="s">
        <v>72</v>
      </c>
      <c r="P95" s="2" t="s">
        <v>72</v>
      </c>
      <c r="Q95" s="2" t="s">
        <v>72</v>
      </c>
      <c r="R95" s="2" t="s">
        <v>76</v>
      </c>
      <c r="S95" s="2" t="s">
        <v>71</v>
      </c>
      <c r="T95" s="2" t="s">
        <v>72</v>
      </c>
      <c r="U95" s="2" t="s">
        <v>71</v>
      </c>
      <c r="V95" s="2" t="s">
        <v>76</v>
      </c>
      <c r="W95" s="2" t="s">
        <v>72</v>
      </c>
      <c r="X95" s="2" t="s">
        <v>76</v>
      </c>
      <c r="Y95" s="2" t="s">
        <v>76</v>
      </c>
      <c r="Z95" s="2" t="s">
        <v>76</v>
      </c>
      <c r="AA95" s="2" t="s">
        <v>71</v>
      </c>
      <c r="AB95" s="2" t="s">
        <v>76</v>
      </c>
      <c r="AC95" s="2" t="s">
        <v>71</v>
      </c>
      <c r="AD95" s="2" t="s">
        <v>71</v>
      </c>
      <c r="AE95" s="2" t="s">
        <v>80</v>
      </c>
      <c r="AF95" s="5" t="s">
        <v>920</v>
      </c>
      <c r="AG95">
        <v>2</v>
      </c>
    </row>
    <row r="96" spans="1:33" ht="80" hidden="1" x14ac:dyDescent="0.2">
      <c r="A96" s="2">
        <v>16778426</v>
      </c>
      <c r="B96" s="2">
        <f>VLOOKUP(A96,[1]TRATAMIENTI!$A:$B,2,FALSE)</f>
        <v>269</v>
      </c>
      <c r="C96" t="s">
        <v>921</v>
      </c>
      <c r="F96" t="s">
        <v>561</v>
      </c>
      <c r="G96" s="2" t="s">
        <v>922</v>
      </c>
      <c r="H96" t="s">
        <v>476</v>
      </c>
      <c r="I96" s="4" t="s">
        <v>651</v>
      </c>
      <c r="J96" s="2" t="s">
        <v>71</v>
      </c>
      <c r="K96" s="2" t="s">
        <v>71</v>
      </c>
      <c r="L96" s="2" t="s">
        <v>71</v>
      </c>
      <c r="M96" s="2" t="s">
        <v>72</v>
      </c>
      <c r="N96" s="2" t="s">
        <v>71</v>
      </c>
      <c r="O96" s="2" t="s">
        <v>72</v>
      </c>
      <c r="P96" s="2" t="s">
        <v>72</v>
      </c>
      <c r="Q96" s="2" t="s">
        <v>72</v>
      </c>
      <c r="R96" s="2" t="s">
        <v>76</v>
      </c>
      <c r="S96" s="2" t="s">
        <v>72</v>
      </c>
      <c r="T96" s="2" t="s">
        <v>71</v>
      </c>
      <c r="U96" s="2" t="s">
        <v>71</v>
      </c>
      <c r="V96" s="2" t="s">
        <v>72</v>
      </c>
      <c r="W96" s="2" t="s">
        <v>72</v>
      </c>
      <c r="X96" s="2" t="s">
        <v>76</v>
      </c>
      <c r="Y96" s="2" t="s">
        <v>76</v>
      </c>
      <c r="Z96" s="2" t="s">
        <v>76</v>
      </c>
      <c r="AA96" s="2" t="s">
        <v>72</v>
      </c>
      <c r="AB96" s="2" t="s">
        <v>76</v>
      </c>
      <c r="AC96" s="2" t="s">
        <v>72</v>
      </c>
      <c r="AD96" s="2" t="s">
        <v>72</v>
      </c>
      <c r="AE96" s="2" t="s">
        <v>80</v>
      </c>
      <c r="AF96" s="4" t="s">
        <v>923</v>
      </c>
      <c r="AG96">
        <v>1</v>
      </c>
    </row>
    <row r="97" spans="1:31" ht="16" x14ac:dyDescent="0.2">
      <c r="A97" s="2"/>
      <c r="B97" s="2" t="e">
        <f>VLOOKUP(A97,[1]TRATAMIENTI!$A:$B,2,FALSE)</f>
        <v>#N/A</v>
      </c>
      <c r="G97" s="2" t="str">
        <f t="shared" si="1"/>
        <v>NO</v>
      </c>
      <c r="AD97" s="2"/>
      <c r="AE97" s="2"/>
    </row>
    <row r="98" spans="1:31" ht="16" x14ac:dyDescent="0.2">
      <c r="B98" s="2" t="e">
        <f>VLOOKUP(A98,[1]TRATAMIENTI!$A:$B,2,FALSE)</f>
        <v>#N/A</v>
      </c>
      <c r="G98" s="2" t="str">
        <f t="shared" si="1"/>
        <v>NO</v>
      </c>
      <c r="J98" s="2"/>
      <c r="K98" s="2"/>
      <c r="L98" s="2"/>
      <c r="M98" s="2"/>
      <c r="N98" s="2"/>
      <c r="O98" s="2"/>
      <c r="P98" s="2"/>
      <c r="Q98" s="2"/>
      <c r="R98" s="2"/>
      <c r="S98" s="2"/>
      <c r="T98" s="2"/>
      <c r="U98" s="2"/>
      <c r="V98" s="2"/>
      <c r="W98" s="2"/>
      <c r="X98" s="2"/>
      <c r="Y98" s="2"/>
      <c r="Z98" s="2"/>
      <c r="AA98" s="2"/>
      <c r="AB98" s="2"/>
      <c r="AC98" s="2"/>
      <c r="AD98" s="2"/>
      <c r="AE98" s="2"/>
    </row>
    <row r="99" spans="1:31" ht="16" x14ac:dyDescent="0.2">
      <c r="B99" s="2" t="e">
        <f>VLOOKUP(A99,[1]TRATAMIENTI!$A:$B,2,FALSE)</f>
        <v>#N/A</v>
      </c>
      <c r="G99" s="2" t="str">
        <f t="shared" si="1"/>
        <v>NO</v>
      </c>
      <c r="J99" s="2"/>
      <c r="K99" s="2"/>
      <c r="L99" s="2"/>
      <c r="M99" s="2"/>
      <c r="N99" s="2"/>
      <c r="O99" s="2"/>
      <c r="P99" s="2"/>
      <c r="Q99" s="2"/>
      <c r="R99" s="2"/>
      <c r="S99" s="2"/>
      <c r="T99" s="2"/>
      <c r="U99" s="2"/>
      <c r="V99" s="2"/>
      <c r="W99" s="2"/>
      <c r="X99" s="2"/>
      <c r="Y99" s="2"/>
      <c r="Z99" s="2"/>
      <c r="AA99" s="2"/>
      <c r="AB99" s="2"/>
      <c r="AC99" s="2"/>
      <c r="AD99" s="2"/>
      <c r="AE99" s="2"/>
    </row>
    <row r="100" spans="1:31" ht="16" x14ac:dyDescent="0.2">
      <c r="B100" s="2" t="e">
        <f>VLOOKUP(A100,[1]TRATAMIENTI!$A:$B,2,FALSE)</f>
        <v>#N/A</v>
      </c>
      <c r="G100" s="2" t="str">
        <f t="shared" si="1"/>
        <v>NO</v>
      </c>
      <c r="J100" s="2"/>
      <c r="K100" s="2"/>
      <c r="L100" s="2"/>
      <c r="M100" s="2"/>
      <c r="N100" s="2"/>
      <c r="O100" s="2"/>
      <c r="P100" s="2"/>
      <c r="Q100" s="2"/>
      <c r="R100" s="2"/>
      <c r="S100" s="2"/>
      <c r="T100" s="2"/>
      <c r="U100" s="2"/>
      <c r="V100" s="2"/>
      <c r="W100" s="2"/>
      <c r="X100" s="2"/>
      <c r="Y100" s="2"/>
      <c r="Z100" s="2"/>
      <c r="AA100" s="2"/>
      <c r="AB100" s="2"/>
      <c r="AC100" s="2"/>
      <c r="AD100" s="2"/>
      <c r="AE100" s="2"/>
    </row>
    <row r="101" spans="1:31" ht="16" x14ac:dyDescent="0.2">
      <c r="B101" s="2" t="e">
        <f>VLOOKUP(A101,[1]TRATAMIENTI!$A:$B,2,FALSE)</f>
        <v>#N/A</v>
      </c>
      <c r="G101" s="2" t="str">
        <f t="shared" si="1"/>
        <v>NO</v>
      </c>
      <c r="J101" s="2"/>
      <c r="K101" s="2"/>
      <c r="L101" s="2"/>
      <c r="M101" s="2"/>
      <c r="N101" s="2"/>
      <c r="O101" s="2"/>
      <c r="P101" s="2"/>
      <c r="Q101" s="2"/>
      <c r="R101" s="2"/>
      <c r="S101" s="2"/>
      <c r="T101" s="2"/>
      <c r="U101" s="2"/>
      <c r="V101" s="2"/>
      <c r="W101" s="2"/>
      <c r="X101" s="2"/>
      <c r="Y101" s="2"/>
      <c r="Z101" s="2"/>
      <c r="AA101" s="2"/>
      <c r="AB101" s="2"/>
      <c r="AC101" s="2"/>
      <c r="AD101" s="2"/>
      <c r="AE101" s="2"/>
    </row>
    <row r="102" spans="1:31" ht="16" x14ac:dyDescent="0.2">
      <c r="B102" s="2" t="e">
        <f>VLOOKUP(A102,[1]TRATAMIENTI!$A:$B,2,FALSE)</f>
        <v>#N/A</v>
      </c>
      <c r="G102" s="2" t="str">
        <f t="shared" si="1"/>
        <v>NO</v>
      </c>
      <c r="J102" s="2"/>
      <c r="K102" s="2"/>
      <c r="L102" s="2"/>
      <c r="M102" s="2"/>
      <c r="N102" s="2"/>
      <c r="O102" s="2"/>
      <c r="P102" s="2"/>
      <c r="Q102" s="2"/>
      <c r="R102" s="2"/>
      <c r="S102" s="2"/>
      <c r="T102" s="2"/>
      <c r="U102" s="2"/>
      <c r="V102" s="2"/>
      <c r="W102" s="2"/>
      <c r="X102" s="2"/>
      <c r="Y102" s="2"/>
      <c r="Z102" s="2"/>
      <c r="AA102" s="2"/>
      <c r="AB102" s="2"/>
      <c r="AC102" s="2"/>
      <c r="AD102" s="2"/>
      <c r="AE102" s="2"/>
    </row>
    <row r="103" spans="1:31" ht="16" x14ac:dyDescent="0.2">
      <c r="B103" s="2" t="e">
        <f>VLOOKUP(A103,[1]TRATAMIENTI!$A:$B,2,FALSE)</f>
        <v>#N/A</v>
      </c>
      <c r="G103" s="2" t="str">
        <f t="shared" si="1"/>
        <v>NO</v>
      </c>
      <c r="J103" s="2"/>
      <c r="K103" s="2"/>
      <c r="L103" s="2"/>
      <c r="M103" s="2"/>
      <c r="N103" s="2"/>
      <c r="O103" s="2"/>
      <c r="P103" s="2"/>
      <c r="Q103" s="2"/>
      <c r="R103" s="2"/>
      <c r="S103" s="2"/>
      <c r="T103" s="2"/>
      <c r="U103" s="2"/>
      <c r="V103" s="2"/>
      <c r="W103" s="2"/>
      <c r="X103" s="2"/>
      <c r="Y103" s="2"/>
      <c r="Z103" s="2"/>
      <c r="AA103" s="2"/>
      <c r="AB103" s="2"/>
      <c r="AC103" s="2"/>
      <c r="AD103" s="2"/>
      <c r="AE103" s="2"/>
    </row>
    <row r="104" spans="1:31" ht="16" x14ac:dyDescent="0.2">
      <c r="B104" s="2" t="e">
        <f>VLOOKUP(A104,[1]TRATAMIENTI!$A:$B,2,FALSE)</f>
        <v>#N/A</v>
      </c>
      <c r="G104" s="2" t="str">
        <f t="shared" si="1"/>
        <v>NO</v>
      </c>
      <c r="J104" s="2"/>
      <c r="K104" s="2"/>
      <c r="L104" s="2"/>
      <c r="M104" s="2"/>
      <c r="N104" s="2"/>
      <c r="O104" s="2"/>
      <c r="P104" s="2"/>
      <c r="Q104" s="2"/>
      <c r="R104" s="2"/>
      <c r="S104" s="2"/>
      <c r="T104" s="2"/>
      <c r="U104" s="2"/>
      <c r="V104" s="2"/>
      <c r="W104" s="2"/>
      <c r="X104" s="2"/>
      <c r="Y104" s="2"/>
      <c r="Z104" s="2"/>
      <c r="AA104" s="2"/>
      <c r="AB104" s="2"/>
      <c r="AC104" s="2"/>
      <c r="AD104" s="2"/>
      <c r="AE104" s="2"/>
    </row>
    <row r="105" spans="1:31" ht="16" x14ac:dyDescent="0.2">
      <c r="B105" s="2" t="e">
        <f>VLOOKUP(A105,[1]TRATAMIENTI!$A:$B,2,FALSE)</f>
        <v>#N/A</v>
      </c>
      <c r="G105" s="2" t="str">
        <f t="shared" si="1"/>
        <v>NO</v>
      </c>
      <c r="J105" s="2"/>
      <c r="K105" s="2"/>
      <c r="L105" s="2"/>
      <c r="M105" s="2"/>
      <c r="N105" s="2"/>
      <c r="O105" s="2"/>
      <c r="P105" s="2"/>
      <c r="Q105" s="2"/>
      <c r="R105" s="2"/>
      <c r="S105" s="2"/>
      <c r="T105" s="2"/>
      <c r="U105" s="2"/>
      <c r="V105" s="2"/>
      <c r="W105" s="2"/>
      <c r="X105" s="2"/>
      <c r="Y105" s="2"/>
      <c r="Z105" s="2"/>
      <c r="AA105" s="2"/>
      <c r="AB105" s="2"/>
      <c r="AC105" s="2"/>
      <c r="AD105" s="2"/>
      <c r="AE105" s="2"/>
    </row>
    <row r="106" spans="1:31" ht="16" x14ac:dyDescent="0.2">
      <c r="B106" s="2" t="e">
        <f>VLOOKUP(A106,[1]TRATAMIENTI!$A:$B,2,FALSE)</f>
        <v>#N/A</v>
      </c>
      <c r="G106" s="2" t="str">
        <f t="shared" si="1"/>
        <v>NO</v>
      </c>
      <c r="J106" s="2"/>
      <c r="K106" s="2"/>
      <c r="L106" s="2"/>
      <c r="M106" s="2"/>
      <c r="N106" s="2"/>
      <c r="O106" s="2"/>
      <c r="P106" s="2"/>
      <c r="Q106" s="2"/>
      <c r="R106" s="2"/>
      <c r="S106" s="2"/>
      <c r="T106" s="2"/>
      <c r="U106" s="2"/>
      <c r="V106" s="2"/>
      <c r="W106" s="2"/>
      <c r="X106" s="2"/>
      <c r="Y106" s="2"/>
      <c r="Z106" s="2"/>
      <c r="AA106" s="2"/>
      <c r="AB106" s="2"/>
      <c r="AC106" s="2"/>
      <c r="AD106" s="2"/>
      <c r="AE106" s="2"/>
    </row>
    <row r="107" spans="1:31" ht="16" x14ac:dyDescent="0.2">
      <c r="B107" s="2" t="e">
        <f>VLOOKUP(A107,[1]TRATAMIENTI!$A:$B,2,FALSE)</f>
        <v>#N/A</v>
      </c>
      <c r="G107" s="2" t="str">
        <f t="shared" si="1"/>
        <v>NO</v>
      </c>
      <c r="J107" s="2"/>
      <c r="K107" s="2"/>
      <c r="L107" s="2"/>
      <c r="M107" s="2"/>
      <c r="N107" s="2"/>
      <c r="O107" s="2"/>
      <c r="P107" s="2"/>
      <c r="Q107" s="2"/>
      <c r="R107" s="2"/>
      <c r="S107" s="2"/>
      <c r="T107" s="2"/>
      <c r="U107" s="2"/>
      <c r="V107" s="2"/>
      <c r="W107" s="2"/>
      <c r="X107" s="2"/>
      <c r="Y107" s="2"/>
      <c r="Z107" s="2"/>
      <c r="AA107" s="2"/>
      <c r="AB107" s="2"/>
      <c r="AC107" s="2"/>
      <c r="AD107" s="2"/>
      <c r="AE107" s="2"/>
    </row>
    <row r="108" spans="1:31" ht="16" x14ac:dyDescent="0.2">
      <c r="B108" s="2" t="e">
        <f>VLOOKUP(A108,[1]TRATAMIENTI!$A:$B,2,FALSE)</f>
        <v>#N/A</v>
      </c>
      <c r="G108" s="2" t="str">
        <f t="shared" si="1"/>
        <v>NO</v>
      </c>
      <c r="J108" s="2"/>
      <c r="K108" s="2"/>
      <c r="L108" s="2"/>
      <c r="M108" s="2"/>
      <c r="N108" s="2"/>
      <c r="O108" s="2"/>
      <c r="P108" s="2"/>
      <c r="Q108" s="2"/>
      <c r="R108" s="2"/>
      <c r="S108" s="2"/>
      <c r="T108" s="2"/>
      <c r="U108" s="2"/>
      <c r="V108" s="2"/>
      <c r="W108" s="2"/>
      <c r="X108" s="2"/>
      <c r="Y108" s="2"/>
      <c r="Z108" s="2"/>
      <c r="AA108" s="2"/>
      <c r="AB108" s="2"/>
      <c r="AC108" s="2"/>
      <c r="AD108" s="2"/>
      <c r="AE108" s="2"/>
    </row>
    <row r="109" spans="1:31" ht="16" x14ac:dyDescent="0.2">
      <c r="B109" s="2" t="e">
        <f>VLOOKUP(A109,[1]TRATAMIENTI!$A:$B,2,FALSE)</f>
        <v>#N/A</v>
      </c>
      <c r="G109" s="2" t="str">
        <f t="shared" si="1"/>
        <v>NO</v>
      </c>
      <c r="J109" s="2"/>
      <c r="K109" s="2"/>
      <c r="L109" s="2"/>
      <c r="M109" s="2"/>
      <c r="N109" s="2"/>
      <c r="O109" s="2"/>
      <c r="P109" s="2"/>
      <c r="Q109" s="2"/>
      <c r="R109" s="2"/>
      <c r="S109" s="2"/>
      <c r="T109" s="2"/>
      <c r="U109" s="2"/>
      <c r="V109" s="2"/>
      <c r="W109" s="2"/>
      <c r="X109" s="2"/>
      <c r="Y109" s="2"/>
      <c r="Z109" s="2"/>
      <c r="AA109" s="2"/>
      <c r="AB109" s="2"/>
      <c r="AC109" s="2"/>
      <c r="AD109" s="2"/>
      <c r="AE109" s="2"/>
    </row>
    <row r="110" spans="1:31" ht="16" x14ac:dyDescent="0.2">
      <c r="B110" s="2" t="e">
        <f>VLOOKUP(A110,[1]TRATAMIENTI!$A:$B,2,FALSE)</f>
        <v>#N/A</v>
      </c>
      <c r="G110" s="2" t="str">
        <f t="shared" si="1"/>
        <v>NO</v>
      </c>
      <c r="J110" s="2"/>
      <c r="K110" s="2"/>
      <c r="L110" s="2"/>
      <c r="M110" s="2"/>
      <c r="N110" s="2"/>
      <c r="O110" s="2"/>
      <c r="P110" s="2"/>
      <c r="Q110" s="2"/>
      <c r="R110" s="2"/>
      <c r="S110" s="2"/>
      <c r="T110" s="2"/>
      <c r="U110" s="2"/>
      <c r="V110" s="2"/>
      <c r="W110" s="2"/>
      <c r="X110" s="2"/>
      <c r="Y110" s="2"/>
      <c r="Z110" s="2"/>
      <c r="AA110" s="2"/>
      <c r="AB110" s="2"/>
      <c r="AC110" s="2"/>
      <c r="AD110" s="2"/>
      <c r="AE110" s="2"/>
    </row>
    <row r="111" spans="1:31" ht="16" x14ac:dyDescent="0.2">
      <c r="B111" s="2" t="e">
        <f>VLOOKUP(A111,[1]TRATAMIENTI!$A:$B,2,FALSE)</f>
        <v>#N/A</v>
      </c>
      <c r="G111" s="2" t="str">
        <f t="shared" si="1"/>
        <v>NO</v>
      </c>
      <c r="J111" s="2"/>
      <c r="K111" s="2"/>
      <c r="L111" s="2"/>
      <c r="M111" s="2"/>
      <c r="N111" s="2"/>
      <c r="O111" s="2"/>
      <c r="P111" s="2"/>
      <c r="Q111" s="2"/>
      <c r="R111" s="2"/>
      <c r="S111" s="2"/>
      <c r="T111" s="2"/>
      <c r="U111" s="2"/>
      <c r="V111" s="2"/>
      <c r="W111" s="2"/>
      <c r="X111" s="2"/>
      <c r="Y111" s="2"/>
      <c r="Z111" s="2"/>
      <c r="AA111" s="2"/>
      <c r="AB111" s="2"/>
      <c r="AC111" s="2"/>
      <c r="AD111" s="2"/>
      <c r="AE111" s="2"/>
    </row>
    <row r="112" spans="1:31" ht="16" x14ac:dyDescent="0.2">
      <c r="B112" s="2" t="e">
        <f>VLOOKUP(A112,[1]TRATAMIENTI!$A:$B,2,FALSE)</f>
        <v>#N/A</v>
      </c>
      <c r="G112" s="2" t="str">
        <f t="shared" si="1"/>
        <v>NO</v>
      </c>
      <c r="J112" s="2"/>
      <c r="K112" s="2"/>
      <c r="L112" s="2"/>
      <c r="M112" s="2"/>
      <c r="N112" s="2"/>
      <c r="O112" s="2"/>
      <c r="P112" s="2"/>
      <c r="Q112" s="2"/>
      <c r="R112" s="2"/>
      <c r="S112" s="2"/>
      <c r="T112" s="2"/>
      <c r="U112" s="2"/>
      <c r="V112" s="2"/>
      <c r="W112" s="2"/>
      <c r="X112" s="2"/>
      <c r="Y112" s="2"/>
      <c r="Z112" s="2"/>
      <c r="AA112" s="2"/>
      <c r="AB112" s="2"/>
      <c r="AC112" s="2"/>
      <c r="AD112" s="2"/>
      <c r="AE112" s="2"/>
    </row>
    <row r="113" spans="2:31" ht="16" x14ac:dyDescent="0.2">
      <c r="B113" s="2" t="e">
        <f>VLOOKUP(A113,[1]TRATAMIENTI!$A:$B,2,FALSE)</f>
        <v>#N/A</v>
      </c>
      <c r="G113" s="2" t="str">
        <f t="shared" si="1"/>
        <v>NO</v>
      </c>
      <c r="J113" s="2"/>
      <c r="K113" s="2"/>
      <c r="L113" s="2"/>
      <c r="M113" s="2"/>
      <c r="N113" s="2"/>
      <c r="O113" s="2"/>
      <c r="P113" s="2"/>
      <c r="Q113" s="2"/>
      <c r="R113" s="2"/>
      <c r="S113" s="2"/>
      <c r="T113" s="2"/>
      <c r="U113" s="2"/>
      <c r="V113" s="2"/>
      <c r="W113" s="2"/>
      <c r="X113" s="2"/>
      <c r="Y113" s="2"/>
      <c r="Z113" s="2"/>
      <c r="AA113" s="2"/>
      <c r="AB113" s="2"/>
      <c r="AC113" s="2"/>
      <c r="AD113" s="2"/>
      <c r="AE113" s="2"/>
    </row>
    <row r="114" spans="2:31" ht="16" x14ac:dyDescent="0.2">
      <c r="B114" s="2" t="e">
        <f>VLOOKUP(A114,[1]TRATAMIENTI!$A:$B,2,FALSE)</f>
        <v>#N/A</v>
      </c>
      <c r="G114" s="2" t="str">
        <f t="shared" si="1"/>
        <v>NO</v>
      </c>
      <c r="J114" s="2"/>
      <c r="K114" s="2"/>
      <c r="L114" s="2"/>
      <c r="M114" s="2"/>
      <c r="N114" s="2"/>
      <c r="O114" s="2"/>
      <c r="P114" s="2"/>
      <c r="Q114" s="2"/>
      <c r="R114" s="2"/>
      <c r="S114" s="2"/>
      <c r="T114" s="2"/>
      <c r="U114" s="2"/>
      <c r="V114" s="2"/>
      <c r="W114" s="2"/>
      <c r="X114" s="2"/>
      <c r="Y114" s="2"/>
      <c r="Z114" s="2"/>
      <c r="AA114" s="2"/>
      <c r="AB114" s="2"/>
      <c r="AC114" s="2"/>
      <c r="AD114" s="2"/>
      <c r="AE114" s="2"/>
    </row>
    <row r="115" spans="2:31" ht="16" x14ac:dyDescent="0.2">
      <c r="B115" s="2" t="e">
        <f>VLOOKUP(A115,[1]TRATAMIENTI!$A:$B,2,FALSE)</f>
        <v>#N/A</v>
      </c>
      <c r="G115" s="2" t="str">
        <f t="shared" si="1"/>
        <v>NO</v>
      </c>
      <c r="J115" s="2"/>
      <c r="K115" s="2"/>
      <c r="L115" s="2"/>
      <c r="M115" s="2"/>
      <c r="N115" s="2"/>
      <c r="O115" s="2"/>
      <c r="P115" s="2"/>
      <c r="Q115" s="2"/>
      <c r="R115" s="2"/>
      <c r="S115" s="2"/>
      <c r="T115" s="2"/>
      <c r="U115" s="2"/>
      <c r="V115" s="2"/>
      <c r="W115" s="2"/>
      <c r="X115" s="2"/>
      <c r="Y115" s="2"/>
      <c r="Z115" s="2"/>
      <c r="AA115" s="2"/>
      <c r="AB115" s="2"/>
      <c r="AC115" s="2"/>
      <c r="AD115" s="2"/>
      <c r="AE115" s="2"/>
    </row>
    <row r="116" spans="2:31" ht="16" x14ac:dyDescent="0.2">
      <c r="B116" s="2" t="e">
        <f>VLOOKUP(A116,[1]TRATAMIENTI!$A:$B,2,FALSE)</f>
        <v>#N/A</v>
      </c>
      <c r="G116" s="2" t="str">
        <f t="shared" si="1"/>
        <v>NO</v>
      </c>
      <c r="J116" s="2"/>
      <c r="K116" s="2"/>
      <c r="L116" s="2"/>
      <c r="M116" s="2"/>
      <c r="N116" s="2"/>
      <c r="O116" s="2"/>
      <c r="P116" s="2"/>
      <c r="Q116" s="2"/>
      <c r="R116" s="2"/>
      <c r="S116" s="2"/>
      <c r="T116" s="2"/>
      <c r="U116" s="2"/>
      <c r="V116" s="2"/>
      <c r="W116" s="2"/>
      <c r="X116" s="2"/>
      <c r="Y116" s="2"/>
      <c r="Z116" s="2"/>
      <c r="AA116" s="2"/>
      <c r="AB116" s="2"/>
      <c r="AC116" s="2"/>
      <c r="AD116" s="2"/>
      <c r="AE116" s="2"/>
    </row>
    <row r="117" spans="2:31" ht="16" x14ac:dyDescent="0.2">
      <c r="B117" s="2" t="e">
        <f>VLOOKUP(A117,[1]TRATAMIENTI!$A:$B,2,FALSE)</f>
        <v>#N/A</v>
      </c>
      <c r="G117" s="2" t="str">
        <f t="shared" si="1"/>
        <v>NO</v>
      </c>
      <c r="J117" s="2"/>
      <c r="K117" s="2"/>
      <c r="L117" s="2"/>
      <c r="M117" s="2"/>
      <c r="N117" s="2"/>
      <c r="O117" s="2"/>
      <c r="P117" s="2"/>
      <c r="Q117" s="2"/>
      <c r="R117" s="2"/>
      <c r="S117" s="2"/>
      <c r="T117" s="2"/>
      <c r="U117" s="2"/>
      <c r="V117" s="2"/>
      <c r="W117" s="2"/>
      <c r="X117" s="2"/>
      <c r="Y117" s="2"/>
      <c r="Z117" s="2"/>
      <c r="AA117" s="2"/>
      <c r="AB117" s="2"/>
      <c r="AC117" s="2"/>
      <c r="AD117" s="2"/>
      <c r="AE117" s="2"/>
    </row>
    <row r="118" spans="2:31" ht="16" x14ac:dyDescent="0.2">
      <c r="B118" s="2" t="e">
        <f>VLOOKUP(A118,[1]TRATAMIENTI!$A:$B,2,FALSE)</f>
        <v>#N/A</v>
      </c>
      <c r="G118" s="2" t="str">
        <f t="shared" si="1"/>
        <v>NO</v>
      </c>
      <c r="J118" s="2"/>
      <c r="K118" s="2"/>
      <c r="L118" s="2"/>
      <c r="M118" s="2"/>
      <c r="N118" s="2"/>
      <c r="O118" s="2"/>
      <c r="P118" s="2"/>
      <c r="Q118" s="2"/>
      <c r="R118" s="2"/>
      <c r="S118" s="2"/>
      <c r="T118" s="2"/>
      <c r="U118" s="2"/>
      <c r="V118" s="2"/>
      <c r="W118" s="2"/>
      <c r="X118" s="2"/>
      <c r="Y118" s="2"/>
      <c r="Z118" s="2"/>
      <c r="AA118" s="2"/>
      <c r="AB118" s="2"/>
      <c r="AC118" s="2"/>
      <c r="AD118" s="2"/>
      <c r="AE118" s="2"/>
    </row>
    <row r="119" spans="2:31" ht="16" x14ac:dyDescent="0.2">
      <c r="B119" s="2" t="e">
        <f>VLOOKUP(A119,[1]TRATAMIENTI!$A:$B,2,FALSE)</f>
        <v>#N/A</v>
      </c>
      <c r="G119" s="2" t="str">
        <f t="shared" si="1"/>
        <v>NO</v>
      </c>
      <c r="J119" s="2"/>
      <c r="K119" s="2"/>
      <c r="L119" s="2"/>
      <c r="M119" s="2"/>
      <c r="N119" s="2"/>
      <c r="O119" s="2"/>
      <c r="P119" s="2"/>
      <c r="Q119" s="2"/>
      <c r="R119" s="2"/>
      <c r="S119" s="2"/>
      <c r="T119" s="2"/>
      <c r="U119" s="2"/>
      <c r="V119" s="2"/>
      <c r="W119" s="2"/>
      <c r="X119" s="2"/>
      <c r="Y119" s="2"/>
      <c r="Z119" s="2"/>
      <c r="AA119" s="2"/>
      <c r="AB119" s="2"/>
      <c r="AC119" s="2"/>
      <c r="AD119" s="2"/>
      <c r="AE119" s="2"/>
    </row>
    <row r="120" spans="2:31" ht="16" x14ac:dyDescent="0.2">
      <c r="B120" s="2" t="e">
        <f>VLOOKUP(A120,[1]TRATAMIENTI!$A:$B,2,FALSE)</f>
        <v>#N/A</v>
      </c>
      <c r="G120" s="2" t="str">
        <f t="shared" si="1"/>
        <v>NO</v>
      </c>
      <c r="J120" s="2"/>
      <c r="K120" s="2"/>
      <c r="L120" s="2"/>
      <c r="M120" s="2"/>
      <c r="N120" s="2"/>
      <c r="O120" s="2"/>
      <c r="P120" s="2"/>
      <c r="Q120" s="2"/>
      <c r="R120" s="2"/>
      <c r="S120" s="2"/>
      <c r="T120" s="2"/>
      <c r="U120" s="2"/>
      <c r="V120" s="2"/>
      <c r="W120" s="2"/>
      <c r="X120" s="2"/>
      <c r="Y120" s="2"/>
      <c r="Z120" s="2"/>
      <c r="AA120" s="2"/>
      <c r="AB120" s="2"/>
      <c r="AC120" s="2"/>
      <c r="AD120" s="2"/>
      <c r="AE120" s="2"/>
    </row>
    <row r="121" spans="2:31" ht="16" x14ac:dyDescent="0.2">
      <c r="B121" s="2" t="e">
        <f>VLOOKUP(A121,[1]TRATAMIENTI!$A:$B,2,FALSE)</f>
        <v>#N/A</v>
      </c>
      <c r="G121" s="2" t="str">
        <f t="shared" si="1"/>
        <v>NO</v>
      </c>
      <c r="J121" s="2"/>
      <c r="K121" s="2"/>
      <c r="L121" s="2"/>
      <c r="M121" s="2"/>
      <c r="N121" s="2"/>
      <c r="O121" s="2"/>
      <c r="P121" s="2"/>
      <c r="Q121" s="2"/>
      <c r="R121" s="2"/>
      <c r="S121" s="2"/>
      <c r="T121" s="2"/>
      <c r="U121" s="2"/>
      <c r="V121" s="2"/>
      <c r="W121" s="2"/>
      <c r="X121" s="2"/>
      <c r="Y121" s="2"/>
      <c r="Z121" s="2"/>
      <c r="AA121" s="2"/>
      <c r="AB121" s="2"/>
      <c r="AC121" s="2"/>
      <c r="AD121" s="2"/>
      <c r="AE121" s="2"/>
    </row>
    <row r="122" spans="2:31" ht="16" x14ac:dyDescent="0.2">
      <c r="B122" s="2" t="e">
        <f>VLOOKUP(A122,[1]TRATAMIENTI!$A:$B,2,FALSE)</f>
        <v>#N/A</v>
      </c>
      <c r="G122" s="2" t="str">
        <f t="shared" si="1"/>
        <v>NO</v>
      </c>
      <c r="J122" s="2"/>
      <c r="K122" s="2"/>
      <c r="L122" s="2"/>
      <c r="M122" s="2"/>
      <c r="N122" s="2"/>
      <c r="O122" s="2"/>
      <c r="P122" s="2"/>
      <c r="Q122" s="2"/>
      <c r="R122" s="2"/>
      <c r="S122" s="2"/>
      <c r="T122" s="2"/>
      <c r="U122" s="2"/>
      <c r="V122" s="2"/>
      <c r="W122" s="2"/>
      <c r="X122" s="2"/>
      <c r="Y122" s="2"/>
      <c r="Z122" s="2"/>
      <c r="AA122" s="2"/>
      <c r="AB122" s="2"/>
      <c r="AC122" s="2"/>
      <c r="AD122" s="2"/>
      <c r="AE122" s="2"/>
    </row>
    <row r="123" spans="2:31" ht="16" x14ac:dyDescent="0.2">
      <c r="B123" s="2" t="e">
        <f>VLOOKUP(A123,[1]TRATAMIENTI!$A:$B,2,FALSE)</f>
        <v>#N/A</v>
      </c>
      <c r="G123" s="2" t="str">
        <f t="shared" si="1"/>
        <v>NO</v>
      </c>
      <c r="J123" s="2"/>
      <c r="K123" s="2"/>
      <c r="L123" s="2"/>
      <c r="M123" s="2"/>
      <c r="N123" s="2"/>
      <c r="O123" s="2"/>
      <c r="P123" s="2"/>
      <c r="Q123" s="2"/>
      <c r="R123" s="2"/>
      <c r="S123" s="2"/>
      <c r="T123" s="2"/>
      <c r="U123" s="2"/>
      <c r="V123" s="2"/>
      <c r="W123" s="2"/>
      <c r="X123" s="2"/>
      <c r="Y123" s="2"/>
      <c r="Z123" s="2"/>
      <c r="AA123" s="2"/>
      <c r="AB123" s="2"/>
      <c r="AC123" s="2"/>
      <c r="AD123" s="2"/>
      <c r="AE123" s="2"/>
    </row>
    <row r="124" spans="2:31" ht="16" x14ac:dyDescent="0.2">
      <c r="B124" s="2" t="e">
        <f>VLOOKUP(A124,[1]TRATAMIENTI!$A:$B,2,FALSE)</f>
        <v>#N/A</v>
      </c>
      <c r="G124" s="2" t="str">
        <f t="shared" si="1"/>
        <v>NO</v>
      </c>
      <c r="J124" s="2"/>
      <c r="K124" s="2"/>
      <c r="L124" s="2"/>
      <c r="M124" s="2"/>
      <c r="N124" s="2"/>
      <c r="O124" s="2"/>
      <c r="P124" s="2"/>
      <c r="Q124" s="2"/>
      <c r="R124" s="2"/>
      <c r="S124" s="2"/>
      <c r="T124" s="2"/>
      <c r="U124" s="2"/>
      <c r="V124" s="2"/>
      <c r="W124" s="2"/>
      <c r="X124" s="2"/>
      <c r="Y124" s="2"/>
      <c r="Z124" s="2"/>
      <c r="AA124" s="2"/>
      <c r="AB124" s="2"/>
      <c r="AC124" s="2"/>
      <c r="AD124" s="2"/>
      <c r="AE124" s="2"/>
    </row>
    <row r="125" spans="2:31" ht="16" x14ac:dyDescent="0.2">
      <c r="B125" s="2" t="e">
        <f>VLOOKUP(A125,[1]TRATAMIENTI!$A:$B,2,FALSE)</f>
        <v>#N/A</v>
      </c>
      <c r="G125" s="2" t="str">
        <f t="shared" si="1"/>
        <v>NO</v>
      </c>
      <c r="J125" s="2"/>
      <c r="K125" s="2"/>
      <c r="L125" s="2"/>
      <c r="M125" s="2"/>
      <c r="N125" s="2"/>
      <c r="O125" s="2"/>
      <c r="P125" s="2"/>
      <c r="Q125" s="2"/>
      <c r="R125" s="2"/>
      <c r="S125" s="2"/>
      <c r="T125" s="2"/>
      <c r="U125" s="2"/>
      <c r="V125" s="2"/>
      <c r="W125" s="2"/>
      <c r="X125" s="2"/>
      <c r="Y125" s="2"/>
      <c r="Z125" s="2"/>
      <c r="AA125" s="2"/>
      <c r="AB125" s="2"/>
      <c r="AC125" s="2"/>
      <c r="AD125" s="2"/>
      <c r="AE125" s="2"/>
    </row>
    <row r="126" spans="2:31" ht="16" x14ac:dyDescent="0.2">
      <c r="B126" s="2" t="e">
        <f>VLOOKUP(A126,[1]TRATAMIENTI!$A:$B,2,FALSE)</f>
        <v>#N/A</v>
      </c>
      <c r="G126" s="2" t="str">
        <f t="shared" si="1"/>
        <v>NO</v>
      </c>
      <c r="J126" s="2"/>
      <c r="K126" s="2"/>
      <c r="L126" s="2"/>
      <c r="M126" s="2"/>
      <c r="N126" s="2"/>
      <c r="O126" s="2"/>
      <c r="P126" s="2"/>
      <c r="Q126" s="2"/>
      <c r="R126" s="2"/>
      <c r="S126" s="2"/>
      <c r="T126" s="2"/>
      <c r="U126" s="2"/>
      <c r="V126" s="2"/>
      <c r="W126" s="2"/>
      <c r="X126" s="2"/>
      <c r="Y126" s="2"/>
      <c r="Z126" s="2"/>
      <c r="AA126" s="2"/>
      <c r="AB126" s="2"/>
      <c r="AC126" s="2"/>
      <c r="AD126" s="2"/>
      <c r="AE126" s="2"/>
    </row>
    <row r="127" spans="2:31" ht="16" x14ac:dyDescent="0.2">
      <c r="B127" s="2" t="e">
        <f>VLOOKUP(A127,[1]TRATAMIENTI!$A:$B,2,FALSE)</f>
        <v>#N/A</v>
      </c>
      <c r="G127" s="2" t="str">
        <f t="shared" ref="G127:G190" si="2">IF(H127="CALI","VALLE DEL CAUCA",IF(H127="MEDELLIN","ANTIOQUIA",IF(H127="BARRANQUILLA","ATLANTICO","NO")))</f>
        <v>NO</v>
      </c>
      <c r="J127" s="2"/>
      <c r="K127" s="2"/>
      <c r="L127" s="2"/>
      <c r="M127" s="2"/>
      <c r="N127" s="2"/>
      <c r="O127" s="2"/>
      <c r="P127" s="2"/>
      <c r="Q127" s="2"/>
      <c r="R127" s="2"/>
      <c r="S127" s="2"/>
      <c r="T127" s="2"/>
      <c r="U127" s="2"/>
      <c r="V127" s="2"/>
      <c r="W127" s="2"/>
      <c r="X127" s="2"/>
      <c r="Y127" s="2"/>
      <c r="Z127" s="2"/>
      <c r="AA127" s="2"/>
      <c r="AB127" s="2"/>
      <c r="AC127" s="2"/>
      <c r="AD127" s="2"/>
      <c r="AE127" s="2"/>
    </row>
    <row r="128" spans="2:31" ht="16" x14ac:dyDescent="0.2">
      <c r="B128" s="2" t="e">
        <f>VLOOKUP(A128,[1]TRATAMIENTI!$A:$B,2,FALSE)</f>
        <v>#N/A</v>
      </c>
      <c r="G128" s="2" t="str">
        <f t="shared" si="2"/>
        <v>NO</v>
      </c>
      <c r="J128" s="2"/>
      <c r="K128" s="2"/>
      <c r="L128" s="2"/>
      <c r="M128" s="2"/>
      <c r="N128" s="2"/>
      <c r="O128" s="2"/>
      <c r="P128" s="2"/>
      <c r="Q128" s="2"/>
      <c r="R128" s="2"/>
      <c r="S128" s="2"/>
      <c r="T128" s="2"/>
      <c r="U128" s="2"/>
      <c r="V128" s="2"/>
      <c r="W128" s="2"/>
      <c r="X128" s="2"/>
      <c r="Y128" s="2"/>
      <c r="Z128" s="2"/>
      <c r="AA128" s="2"/>
      <c r="AB128" s="2"/>
      <c r="AC128" s="2"/>
      <c r="AD128" s="2"/>
      <c r="AE128" s="2"/>
    </row>
    <row r="129" spans="2:31" ht="16" x14ac:dyDescent="0.2">
      <c r="B129" s="2" t="e">
        <f>VLOOKUP(A129,[1]TRATAMIENTI!$A:$B,2,FALSE)</f>
        <v>#N/A</v>
      </c>
      <c r="G129" s="2" t="str">
        <f t="shared" si="2"/>
        <v>NO</v>
      </c>
      <c r="J129" s="2"/>
      <c r="K129" s="2"/>
      <c r="L129" s="2"/>
      <c r="M129" s="2"/>
      <c r="N129" s="2"/>
      <c r="O129" s="2"/>
      <c r="P129" s="2"/>
      <c r="Q129" s="2"/>
      <c r="R129" s="2"/>
      <c r="S129" s="2"/>
      <c r="T129" s="2"/>
      <c r="U129" s="2"/>
      <c r="V129" s="2"/>
      <c r="W129" s="2"/>
      <c r="X129" s="2"/>
      <c r="Y129" s="2"/>
      <c r="Z129" s="2"/>
      <c r="AA129" s="2"/>
      <c r="AB129" s="2"/>
      <c r="AC129" s="2"/>
      <c r="AD129" s="2"/>
      <c r="AE129" s="2"/>
    </row>
    <row r="130" spans="2:31" ht="16" x14ac:dyDescent="0.2">
      <c r="B130" s="2" t="e">
        <f>VLOOKUP(A130,[1]TRATAMIENTI!$A:$B,2,FALSE)</f>
        <v>#N/A</v>
      </c>
      <c r="G130" s="2" t="str">
        <f t="shared" si="2"/>
        <v>NO</v>
      </c>
      <c r="J130" s="2"/>
      <c r="K130" s="2"/>
      <c r="L130" s="2"/>
      <c r="M130" s="2"/>
      <c r="N130" s="2"/>
      <c r="O130" s="2"/>
      <c r="P130" s="2"/>
      <c r="Q130" s="2"/>
      <c r="R130" s="2"/>
      <c r="S130" s="2"/>
      <c r="T130" s="2"/>
      <c r="U130" s="2"/>
      <c r="V130" s="2"/>
      <c r="W130" s="2"/>
      <c r="X130" s="2"/>
      <c r="Y130" s="2"/>
      <c r="Z130" s="2"/>
      <c r="AA130" s="2"/>
      <c r="AB130" s="2"/>
      <c r="AC130" s="2"/>
      <c r="AD130" s="2"/>
      <c r="AE130" s="2"/>
    </row>
    <row r="131" spans="2:31" ht="16" x14ac:dyDescent="0.2">
      <c r="B131" s="2" t="e">
        <f>VLOOKUP(A131,[1]TRATAMIENTI!$A:$B,2,FALSE)</f>
        <v>#N/A</v>
      </c>
      <c r="G131" s="2" t="str">
        <f t="shared" si="2"/>
        <v>NO</v>
      </c>
      <c r="J131" s="2"/>
      <c r="K131" s="2"/>
      <c r="L131" s="2"/>
      <c r="M131" s="2"/>
      <c r="N131" s="2"/>
      <c r="O131" s="2"/>
      <c r="P131" s="2"/>
      <c r="Q131" s="2"/>
      <c r="R131" s="2"/>
      <c r="S131" s="2"/>
      <c r="T131" s="2"/>
      <c r="U131" s="2"/>
      <c r="V131" s="2"/>
      <c r="W131" s="2"/>
      <c r="X131" s="2"/>
      <c r="Y131" s="2"/>
      <c r="Z131" s="2"/>
      <c r="AA131" s="2"/>
      <c r="AB131" s="2"/>
      <c r="AC131" s="2"/>
      <c r="AD131" s="2"/>
      <c r="AE131" s="2"/>
    </row>
    <row r="132" spans="2:31" ht="16" x14ac:dyDescent="0.2">
      <c r="B132" s="2" t="e">
        <f>VLOOKUP(A132,[1]TRATAMIENTI!$A:$B,2,FALSE)</f>
        <v>#N/A</v>
      </c>
      <c r="G132" s="2" t="str">
        <f t="shared" si="2"/>
        <v>NO</v>
      </c>
      <c r="J132" s="2"/>
      <c r="K132" s="2"/>
      <c r="L132" s="2"/>
      <c r="M132" s="2"/>
      <c r="N132" s="2"/>
      <c r="O132" s="2"/>
      <c r="P132" s="2"/>
      <c r="Q132" s="2"/>
      <c r="R132" s="2"/>
      <c r="S132" s="2"/>
      <c r="T132" s="2"/>
      <c r="U132" s="2"/>
      <c r="V132" s="2"/>
      <c r="W132" s="2"/>
      <c r="X132" s="2"/>
      <c r="Y132" s="2"/>
      <c r="Z132" s="2"/>
      <c r="AA132" s="2"/>
      <c r="AB132" s="2"/>
      <c r="AC132" s="2"/>
      <c r="AD132" s="2"/>
      <c r="AE132" s="2"/>
    </row>
    <row r="133" spans="2:31" ht="16" x14ac:dyDescent="0.2">
      <c r="B133" s="2" t="e">
        <f>VLOOKUP(A133,[1]TRATAMIENTI!$A:$B,2,FALSE)</f>
        <v>#N/A</v>
      </c>
      <c r="G133" s="2" t="str">
        <f t="shared" si="2"/>
        <v>NO</v>
      </c>
      <c r="J133" s="2"/>
      <c r="K133" s="2"/>
      <c r="L133" s="2"/>
      <c r="M133" s="2"/>
      <c r="N133" s="2"/>
      <c r="O133" s="2"/>
      <c r="P133" s="2"/>
      <c r="Q133" s="2"/>
      <c r="R133" s="2"/>
      <c r="S133" s="2"/>
      <c r="T133" s="2"/>
      <c r="U133" s="2"/>
      <c r="V133" s="2"/>
      <c r="W133" s="2"/>
      <c r="X133" s="2"/>
      <c r="Y133" s="2"/>
      <c r="Z133" s="2"/>
      <c r="AA133" s="2"/>
      <c r="AB133" s="2"/>
      <c r="AC133" s="2"/>
      <c r="AD133" s="2"/>
      <c r="AE133" s="2"/>
    </row>
    <row r="134" spans="2:31" ht="16" x14ac:dyDescent="0.2">
      <c r="B134" s="2" t="e">
        <f>VLOOKUP(A134,[1]TRATAMIENTI!$A:$B,2,FALSE)</f>
        <v>#N/A</v>
      </c>
      <c r="G134" s="2" t="str">
        <f t="shared" si="2"/>
        <v>NO</v>
      </c>
      <c r="J134" s="2"/>
      <c r="K134" s="2"/>
      <c r="L134" s="2"/>
      <c r="M134" s="2"/>
      <c r="N134" s="2"/>
      <c r="O134" s="2"/>
      <c r="P134" s="2"/>
      <c r="Q134" s="2"/>
      <c r="R134" s="2"/>
      <c r="S134" s="2"/>
      <c r="T134" s="2"/>
      <c r="U134" s="2"/>
      <c r="V134" s="2"/>
      <c r="W134" s="2"/>
      <c r="X134" s="2"/>
      <c r="Y134" s="2"/>
      <c r="Z134" s="2"/>
      <c r="AA134" s="2"/>
      <c r="AB134" s="2"/>
      <c r="AC134" s="2"/>
      <c r="AD134" s="2"/>
      <c r="AE134" s="2"/>
    </row>
    <row r="135" spans="2:31" ht="16" x14ac:dyDescent="0.2">
      <c r="B135" s="2" t="e">
        <f>VLOOKUP(A135,[1]TRATAMIENTI!$A:$B,2,FALSE)</f>
        <v>#N/A</v>
      </c>
      <c r="G135" s="2" t="str">
        <f t="shared" si="2"/>
        <v>NO</v>
      </c>
      <c r="J135" s="2"/>
      <c r="K135" s="2"/>
      <c r="L135" s="2"/>
      <c r="M135" s="2"/>
      <c r="N135" s="2"/>
      <c r="O135" s="2"/>
      <c r="P135" s="2"/>
      <c r="Q135" s="2"/>
      <c r="R135" s="2"/>
      <c r="S135" s="2"/>
      <c r="T135" s="2"/>
      <c r="U135" s="2"/>
      <c r="V135" s="2"/>
      <c r="W135" s="2"/>
      <c r="X135" s="2"/>
      <c r="Y135" s="2"/>
      <c r="Z135" s="2"/>
      <c r="AA135" s="2"/>
      <c r="AB135" s="2"/>
      <c r="AC135" s="2"/>
      <c r="AD135" s="2"/>
      <c r="AE135" s="2"/>
    </row>
    <row r="136" spans="2:31" ht="16" x14ac:dyDescent="0.2">
      <c r="B136" s="2" t="e">
        <f>VLOOKUP(A136,[1]TRATAMIENTI!$A:$B,2,FALSE)</f>
        <v>#N/A</v>
      </c>
      <c r="G136" s="2" t="str">
        <f t="shared" si="2"/>
        <v>NO</v>
      </c>
      <c r="J136" s="2"/>
      <c r="K136" s="2"/>
      <c r="L136" s="2"/>
      <c r="M136" s="2"/>
      <c r="N136" s="2"/>
      <c r="O136" s="2"/>
      <c r="P136" s="2"/>
      <c r="Q136" s="2"/>
      <c r="R136" s="2"/>
      <c r="S136" s="2"/>
      <c r="T136" s="2"/>
      <c r="U136" s="2"/>
      <c r="V136" s="2"/>
      <c r="W136" s="2"/>
      <c r="X136" s="2"/>
      <c r="Y136" s="2"/>
      <c r="Z136" s="2"/>
      <c r="AA136" s="2"/>
      <c r="AB136" s="2"/>
      <c r="AC136" s="2"/>
      <c r="AD136" s="2"/>
      <c r="AE136" s="2"/>
    </row>
    <row r="137" spans="2:31" ht="16" x14ac:dyDescent="0.2">
      <c r="B137" s="2" t="e">
        <f>VLOOKUP(A137,[1]TRATAMIENTI!$A:$B,2,FALSE)</f>
        <v>#N/A</v>
      </c>
      <c r="G137" s="2" t="str">
        <f t="shared" si="2"/>
        <v>NO</v>
      </c>
      <c r="J137" s="2"/>
      <c r="K137" s="2"/>
      <c r="L137" s="2"/>
      <c r="M137" s="2"/>
      <c r="N137" s="2"/>
      <c r="O137" s="2"/>
      <c r="P137" s="2"/>
      <c r="Q137" s="2"/>
      <c r="R137" s="2"/>
      <c r="S137" s="2"/>
      <c r="T137" s="2"/>
      <c r="U137" s="2"/>
      <c r="V137" s="2"/>
      <c r="W137" s="2"/>
      <c r="X137" s="2"/>
      <c r="Y137" s="2"/>
      <c r="Z137" s="2"/>
      <c r="AA137" s="2"/>
      <c r="AB137" s="2"/>
      <c r="AC137" s="2"/>
      <c r="AD137" s="2"/>
      <c r="AE137" s="2"/>
    </row>
    <row r="138" spans="2:31" ht="16" x14ac:dyDescent="0.2">
      <c r="B138" s="2" t="e">
        <f>VLOOKUP(A138,[1]TRATAMIENTI!$A:$B,2,FALSE)</f>
        <v>#N/A</v>
      </c>
      <c r="G138" s="2" t="str">
        <f t="shared" si="2"/>
        <v>NO</v>
      </c>
      <c r="J138" s="2"/>
      <c r="K138" s="2"/>
      <c r="L138" s="2"/>
      <c r="M138" s="2"/>
      <c r="N138" s="2"/>
      <c r="O138" s="2"/>
      <c r="P138" s="2"/>
      <c r="Q138" s="2"/>
      <c r="R138" s="2"/>
      <c r="S138" s="2"/>
      <c r="T138" s="2"/>
      <c r="U138" s="2"/>
      <c r="V138" s="2"/>
      <c r="W138" s="2"/>
      <c r="X138" s="2"/>
      <c r="Y138" s="2"/>
      <c r="Z138" s="2"/>
      <c r="AA138" s="2"/>
      <c r="AB138" s="2"/>
      <c r="AC138" s="2"/>
      <c r="AD138" s="2"/>
      <c r="AE138" s="2"/>
    </row>
    <row r="139" spans="2:31" ht="16" x14ac:dyDescent="0.2">
      <c r="B139" s="2" t="e">
        <f>VLOOKUP(A139,[1]TRATAMIENTI!$A:$B,2,FALSE)</f>
        <v>#N/A</v>
      </c>
      <c r="G139" s="2" t="str">
        <f t="shared" si="2"/>
        <v>NO</v>
      </c>
      <c r="J139" s="2"/>
      <c r="K139" s="2"/>
      <c r="L139" s="2"/>
      <c r="M139" s="2"/>
      <c r="N139" s="2"/>
      <c r="O139" s="2"/>
      <c r="P139" s="2"/>
      <c r="Q139" s="2"/>
      <c r="R139" s="2"/>
      <c r="S139" s="2"/>
      <c r="T139" s="2"/>
      <c r="U139" s="2"/>
      <c r="V139" s="2"/>
      <c r="W139" s="2"/>
      <c r="X139" s="2"/>
      <c r="Y139" s="2"/>
      <c r="Z139" s="2"/>
      <c r="AA139" s="2"/>
      <c r="AB139" s="2"/>
      <c r="AC139" s="2"/>
      <c r="AD139" s="2"/>
      <c r="AE139" s="2"/>
    </row>
    <row r="140" spans="2:31" ht="16" x14ac:dyDescent="0.2">
      <c r="B140" s="2" t="e">
        <f>VLOOKUP(A140,[1]TRATAMIENTI!$A:$B,2,FALSE)</f>
        <v>#N/A</v>
      </c>
      <c r="G140" s="2" t="str">
        <f t="shared" si="2"/>
        <v>NO</v>
      </c>
      <c r="J140" s="2"/>
      <c r="K140" s="2"/>
      <c r="L140" s="2"/>
      <c r="M140" s="2"/>
      <c r="N140" s="2"/>
      <c r="O140" s="2"/>
      <c r="P140" s="2"/>
      <c r="Q140" s="2"/>
      <c r="R140" s="2"/>
      <c r="S140" s="2"/>
      <c r="T140" s="2"/>
      <c r="U140" s="2"/>
      <c r="V140" s="2"/>
      <c r="W140" s="2"/>
      <c r="X140" s="2"/>
      <c r="Y140" s="2"/>
      <c r="Z140" s="2"/>
      <c r="AA140" s="2"/>
      <c r="AB140" s="2"/>
      <c r="AC140" s="2"/>
      <c r="AD140" s="2"/>
      <c r="AE140" s="2"/>
    </row>
    <row r="141" spans="2:31" ht="16" x14ac:dyDescent="0.2">
      <c r="B141" s="2" t="e">
        <f>VLOOKUP(A141,[1]TRATAMIENTI!$A:$B,2,FALSE)</f>
        <v>#N/A</v>
      </c>
      <c r="G141" s="2" t="str">
        <f t="shared" si="2"/>
        <v>NO</v>
      </c>
      <c r="J141" s="2"/>
      <c r="K141" s="2"/>
      <c r="L141" s="2"/>
      <c r="M141" s="2"/>
      <c r="N141" s="2"/>
      <c r="O141" s="2"/>
      <c r="P141" s="2"/>
      <c r="Q141" s="2"/>
      <c r="R141" s="2"/>
      <c r="S141" s="2"/>
      <c r="T141" s="2"/>
      <c r="U141" s="2"/>
      <c r="V141" s="2"/>
      <c r="W141" s="2"/>
      <c r="X141" s="2"/>
      <c r="Y141" s="2"/>
      <c r="Z141" s="2"/>
      <c r="AA141" s="2"/>
      <c r="AB141" s="2"/>
      <c r="AC141" s="2"/>
      <c r="AD141" s="2"/>
      <c r="AE141" s="2"/>
    </row>
    <row r="142" spans="2:31" ht="16" x14ac:dyDescent="0.2">
      <c r="B142" s="2" t="e">
        <f>VLOOKUP(A142,[1]TRATAMIENTI!$A:$B,2,FALSE)</f>
        <v>#N/A</v>
      </c>
      <c r="G142" s="2" t="str">
        <f t="shared" si="2"/>
        <v>NO</v>
      </c>
      <c r="J142" s="2"/>
      <c r="K142" s="2"/>
      <c r="L142" s="2"/>
      <c r="M142" s="2"/>
      <c r="N142" s="2"/>
      <c r="O142" s="2"/>
      <c r="P142" s="2"/>
      <c r="Q142" s="2"/>
      <c r="R142" s="2"/>
      <c r="S142" s="2"/>
      <c r="T142" s="2"/>
      <c r="U142" s="2"/>
      <c r="V142" s="2"/>
      <c r="W142" s="2"/>
      <c r="X142" s="2"/>
      <c r="Y142" s="2"/>
      <c r="Z142" s="2"/>
      <c r="AA142" s="2"/>
      <c r="AB142" s="2"/>
      <c r="AC142" s="2"/>
      <c r="AD142" s="2"/>
      <c r="AE142" s="2"/>
    </row>
    <row r="143" spans="2:31" ht="16" x14ac:dyDescent="0.2">
      <c r="B143" s="2" t="e">
        <f>VLOOKUP(A143,[1]TRATAMIENTI!$A:$B,2,FALSE)</f>
        <v>#N/A</v>
      </c>
      <c r="G143" s="2" t="str">
        <f t="shared" si="2"/>
        <v>NO</v>
      </c>
      <c r="J143" s="2"/>
      <c r="K143" s="2"/>
      <c r="L143" s="2"/>
      <c r="M143" s="2"/>
      <c r="N143" s="2"/>
      <c r="O143" s="2"/>
      <c r="P143" s="2"/>
      <c r="Q143" s="2"/>
      <c r="R143" s="2"/>
      <c r="S143" s="2"/>
      <c r="T143" s="2"/>
      <c r="U143" s="2"/>
      <c r="V143" s="2"/>
      <c r="W143" s="2"/>
      <c r="X143" s="2"/>
      <c r="Y143" s="2"/>
      <c r="Z143" s="2"/>
      <c r="AA143" s="2"/>
      <c r="AB143" s="2"/>
      <c r="AC143" s="2"/>
      <c r="AD143" s="2"/>
      <c r="AE143" s="2"/>
    </row>
    <row r="144" spans="2:31" ht="16" x14ac:dyDescent="0.2">
      <c r="B144" s="2" t="e">
        <f>VLOOKUP(A144,[1]TRATAMIENTI!$A:$B,2,FALSE)</f>
        <v>#N/A</v>
      </c>
      <c r="G144" s="2" t="str">
        <f t="shared" si="2"/>
        <v>NO</v>
      </c>
      <c r="J144" s="2"/>
      <c r="K144" s="2"/>
      <c r="L144" s="2"/>
      <c r="M144" s="2"/>
      <c r="N144" s="2"/>
      <c r="O144" s="2"/>
      <c r="P144" s="2"/>
      <c r="Q144" s="2"/>
      <c r="R144" s="2"/>
      <c r="S144" s="2"/>
      <c r="T144" s="2"/>
      <c r="U144" s="2"/>
      <c r="V144" s="2"/>
      <c r="W144" s="2"/>
      <c r="X144" s="2"/>
      <c r="Y144" s="2"/>
      <c r="Z144" s="2"/>
      <c r="AA144" s="2"/>
      <c r="AB144" s="2"/>
      <c r="AC144" s="2"/>
      <c r="AD144" s="2"/>
      <c r="AE144" s="2"/>
    </row>
    <row r="145" spans="2:31" ht="16" x14ac:dyDescent="0.2">
      <c r="B145" s="2" t="e">
        <f>VLOOKUP(A145,[1]TRATAMIENTI!$A:$B,2,FALSE)</f>
        <v>#N/A</v>
      </c>
      <c r="G145" s="2" t="str">
        <f t="shared" si="2"/>
        <v>NO</v>
      </c>
      <c r="J145" s="2"/>
      <c r="K145" s="2"/>
      <c r="L145" s="2"/>
      <c r="M145" s="2"/>
      <c r="N145" s="2"/>
      <c r="O145" s="2"/>
      <c r="P145" s="2"/>
      <c r="Q145" s="2"/>
      <c r="R145" s="2"/>
      <c r="S145" s="2"/>
      <c r="T145" s="2"/>
      <c r="U145" s="2"/>
      <c r="V145" s="2"/>
      <c r="W145" s="2"/>
      <c r="X145" s="2"/>
      <c r="Y145" s="2"/>
      <c r="Z145" s="2"/>
      <c r="AA145" s="2"/>
      <c r="AB145" s="2"/>
      <c r="AC145" s="2"/>
      <c r="AD145" s="2"/>
      <c r="AE145" s="2"/>
    </row>
    <row r="146" spans="2:31" ht="16" x14ac:dyDescent="0.2">
      <c r="B146" s="2" t="e">
        <f>VLOOKUP(A146,[1]TRATAMIENTI!$A:$B,2,FALSE)</f>
        <v>#N/A</v>
      </c>
      <c r="G146" s="2" t="str">
        <f t="shared" si="2"/>
        <v>NO</v>
      </c>
      <c r="J146" s="2"/>
      <c r="K146" s="2"/>
      <c r="L146" s="2"/>
      <c r="M146" s="2"/>
      <c r="N146" s="2"/>
      <c r="O146" s="2"/>
      <c r="P146" s="2"/>
      <c r="Q146" s="2"/>
      <c r="R146" s="2"/>
      <c r="S146" s="2"/>
      <c r="T146" s="2"/>
      <c r="U146" s="2"/>
      <c r="V146" s="2"/>
      <c r="W146" s="2"/>
      <c r="X146" s="2"/>
      <c r="Y146" s="2"/>
      <c r="Z146" s="2"/>
      <c r="AA146" s="2"/>
      <c r="AB146" s="2"/>
      <c r="AC146" s="2"/>
      <c r="AD146" s="2"/>
      <c r="AE146" s="2"/>
    </row>
    <row r="147" spans="2:31" ht="16" x14ac:dyDescent="0.2">
      <c r="B147" s="2" t="e">
        <f>VLOOKUP(A147,[1]TRATAMIENTI!$A:$B,2,FALSE)</f>
        <v>#N/A</v>
      </c>
      <c r="G147" s="2" t="str">
        <f t="shared" si="2"/>
        <v>NO</v>
      </c>
      <c r="J147" s="2"/>
      <c r="K147" s="2"/>
      <c r="L147" s="2"/>
      <c r="M147" s="2"/>
      <c r="N147" s="2"/>
      <c r="O147" s="2"/>
      <c r="P147" s="2"/>
      <c r="Q147" s="2"/>
      <c r="R147" s="2"/>
      <c r="S147" s="2"/>
      <c r="T147" s="2"/>
      <c r="U147" s="2"/>
      <c r="V147" s="2"/>
      <c r="W147" s="2"/>
      <c r="X147" s="2"/>
      <c r="Y147" s="2"/>
      <c r="Z147" s="2"/>
      <c r="AA147" s="2"/>
      <c r="AB147" s="2"/>
      <c r="AC147" s="2"/>
      <c r="AD147" s="2"/>
      <c r="AE147" s="2"/>
    </row>
    <row r="148" spans="2:31" ht="16" x14ac:dyDescent="0.2">
      <c r="B148" s="2" t="e">
        <f>VLOOKUP(A148,[1]TRATAMIENTI!$A:$B,2,FALSE)</f>
        <v>#N/A</v>
      </c>
      <c r="G148" s="2" t="str">
        <f t="shared" si="2"/>
        <v>NO</v>
      </c>
      <c r="J148" s="2"/>
      <c r="K148" s="2"/>
      <c r="L148" s="2"/>
      <c r="M148" s="2"/>
      <c r="N148" s="2"/>
      <c r="O148" s="2"/>
      <c r="P148" s="2"/>
      <c r="Q148" s="2"/>
      <c r="R148" s="2"/>
      <c r="S148" s="2"/>
      <c r="T148" s="2"/>
      <c r="U148" s="2"/>
      <c r="V148" s="2"/>
      <c r="W148" s="2"/>
      <c r="X148" s="2"/>
      <c r="Y148" s="2"/>
      <c r="Z148" s="2"/>
      <c r="AA148" s="2"/>
      <c r="AB148" s="2"/>
      <c r="AC148" s="2"/>
      <c r="AD148" s="2"/>
      <c r="AE148" s="2"/>
    </row>
    <row r="149" spans="2:31" ht="16" x14ac:dyDescent="0.2">
      <c r="B149" s="2" t="e">
        <f>VLOOKUP(A149,[1]TRATAMIENTI!$A:$B,2,FALSE)</f>
        <v>#N/A</v>
      </c>
      <c r="G149" s="2" t="str">
        <f t="shared" si="2"/>
        <v>NO</v>
      </c>
      <c r="J149" s="2"/>
      <c r="K149" s="2"/>
      <c r="L149" s="2"/>
      <c r="M149" s="2"/>
      <c r="N149" s="2"/>
      <c r="O149" s="2"/>
      <c r="P149" s="2"/>
      <c r="Q149" s="2"/>
      <c r="R149" s="2"/>
      <c r="S149" s="2"/>
      <c r="T149" s="2"/>
      <c r="U149" s="2"/>
      <c r="V149" s="2"/>
      <c r="W149" s="2"/>
      <c r="X149" s="2"/>
      <c r="Y149" s="2"/>
      <c r="Z149" s="2"/>
      <c r="AA149" s="2"/>
      <c r="AB149" s="2"/>
      <c r="AC149" s="2"/>
      <c r="AD149" s="2"/>
      <c r="AE149" s="2"/>
    </row>
    <row r="150" spans="2:31" ht="16" x14ac:dyDescent="0.2">
      <c r="B150" s="2" t="e">
        <f>VLOOKUP(A150,[1]TRATAMIENTI!$A:$B,2,FALSE)</f>
        <v>#N/A</v>
      </c>
      <c r="G150" s="2" t="str">
        <f t="shared" si="2"/>
        <v>NO</v>
      </c>
      <c r="J150" s="2"/>
      <c r="K150" s="2"/>
      <c r="L150" s="2"/>
      <c r="M150" s="2"/>
      <c r="N150" s="2"/>
      <c r="O150" s="2"/>
      <c r="P150" s="2"/>
      <c r="Q150" s="2"/>
      <c r="R150" s="2"/>
      <c r="S150" s="2"/>
      <c r="T150" s="2"/>
      <c r="U150" s="2"/>
      <c r="V150" s="2"/>
      <c r="W150" s="2"/>
      <c r="X150" s="2"/>
      <c r="Y150" s="2"/>
      <c r="Z150" s="2"/>
      <c r="AA150" s="2"/>
      <c r="AB150" s="2"/>
      <c r="AC150" s="2"/>
      <c r="AD150" s="2"/>
      <c r="AE150" s="2"/>
    </row>
    <row r="151" spans="2:31" ht="16" x14ac:dyDescent="0.2">
      <c r="B151" s="2" t="e">
        <f>VLOOKUP(A151,[1]TRATAMIENTI!$A:$B,2,FALSE)</f>
        <v>#N/A</v>
      </c>
      <c r="G151" s="2" t="str">
        <f t="shared" si="2"/>
        <v>NO</v>
      </c>
      <c r="J151" s="2"/>
      <c r="K151" s="2"/>
      <c r="L151" s="2"/>
      <c r="M151" s="2"/>
      <c r="N151" s="2"/>
      <c r="O151" s="2"/>
      <c r="P151" s="2"/>
      <c r="Q151" s="2"/>
      <c r="R151" s="2"/>
      <c r="S151" s="2"/>
      <c r="T151" s="2"/>
      <c r="U151" s="2"/>
      <c r="V151" s="2"/>
      <c r="W151" s="2"/>
      <c r="X151" s="2"/>
      <c r="Y151" s="2"/>
      <c r="Z151" s="2"/>
      <c r="AA151" s="2"/>
      <c r="AB151" s="2"/>
      <c r="AC151" s="2"/>
      <c r="AD151" s="2"/>
      <c r="AE151" s="2"/>
    </row>
    <row r="152" spans="2:31" ht="16" x14ac:dyDescent="0.2">
      <c r="B152" s="2" t="e">
        <f>VLOOKUP(A152,[1]TRATAMIENTI!$A:$B,2,FALSE)</f>
        <v>#N/A</v>
      </c>
      <c r="G152" s="2" t="str">
        <f t="shared" si="2"/>
        <v>NO</v>
      </c>
      <c r="J152" s="2"/>
      <c r="K152" s="2"/>
      <c r="L152" s="2"/>
      <c r="M152" s="2"/>
      <c r="N152" s="2"/>
      <c r="O152" s="2"/>
      <c r="P152" s="2"/>
      <c r="Q152" s="2"/>
      <c r="R152" s="2"/>
      <c r="S152" s="2"/>
      <c r="T152" s="2"/>
      <c r="U152" s="2"/>
      <c r="V152" s="2"/>
      <c r="W152" s="2"/>
      <c r="X152" s="2"/>
      <c r="Y152" s="2"/>
      <c r="Z152" s="2"/>
      <c r="AA152" s="2"/>
      <c r="AB152" s="2"/>
      <c r="AC152" s="2"/>
      <c r="AD152" s="2"/>
      <c r="AE152" s="2"/>
    </row>
    <row r="153" spans="2:31" ht="16" x14ac:dyDescent="0.2">
      <c r="B153" s="2" t="e">
        <f>VLOOKUP(A153,[1]TRATAMIENTI!$A:$B,2,FALSE)</f>
        <v>#N/A</v>
      </c>
      <c r="G153" s="2" t="str">
        <f t="shared" si="2"/>
        <v>NO</v>
      </c>
      <c r="J153" s="2"/>
      <c r="K153" s="2"/>
      <c r="L153" s="2"/>
      <c r="M153" s="2"/>
      <c r="N153" s="2"/>
      <c r="O153" s="2"/>
      <c r="P153" s="2"/>
      <c r="Q153" s="2"/>
      <c r="R153" s="2"/>
      <c r="S153" s="2"/>
      <c r="T153" s="2"/>
      <c r="U153" s="2"/>
      <c r="V153" s="2"/>
      <c r="W153" s="2"/>
      <c r="X153" s="2"/>
      <c r="Y153" s="2"/>
      <c r="Z153" s="2"/>
      <c r="AA153" s="2"/>
      <c r="AB153" s="2"/>
      <c r="AC153" s="2"/>
      <c r="AD153" s="2"/>
      <c r="AE153" s="2"/>
    </row>
    <row r="154" spans="2:31" ht="16" x14ac:dyDescent="0.2">
      <c r="B154" s="2" t="e">
        <f>VLOOKUP(A154,[1]TRATAMIENTI!$A:$B,2,FALSE)</f>
        <v>#N/A</v>
      </c>
      <c r="G154" s="2" t="str">
        <f t="shared" si="2"/>
        <v>NO</v>
      </c>
      <c r="J154" s="2"/>
      <c r="K154" s="2"/>
      <c r="L154" s="2"/>
      <c r="M154" s="2"/>
      <c r="N154" s="2"/>
      <c r="O154" s="2"/>
      <c r="P154" s="2"/>
      <c r="Q154" s="2"/>
      <c r="R154" s="2"/>
      <c r="S154" s="2"/>
      <c r="T154" s="2"/>
      <c r="U154" s="2"/>
      <c r="V154" s="2"/>
      <c r="W154" s="2"/>
      <c r="X154" s="2"/>
      <c r="Y154" s="2"/>
      <c r="Z154" s="2"/>
      <c r="AA154" s="2"/>
      <c r="AB154" s="2"/>
      <c r="AC154" s="2"/>
      <c r="AD154" s="2"/>
      <c r="AE154" s="2"/>
    </row>
    <row r="155" spans="2:31" ht="16" x14ac:dyDescent="0.2">
      <c r="B155" s="2" t="e">
        <f>VLOOKUP(A155,[1]TRATAMIENTI!$A:$B,2,FALSE)</f>
        <v>#N/A</v>
      </c>
      <c r="G155" s="2" t="str">
        <f t="shared" si="2"/>
        <v>NO</v>
      </c>
      <c r="J155" s="2"/>
      <c r="K155" s="2"/>
      <c r="L155" s="2"/>
      <c r="M155" s="2"/>
      <c r="N155" s="2"/>
      <c r="O155" s="2"/>
      <c r="P155" s="2"/>
      <c r="Q155" s="2"/>
      <c r="R155" s="2"/>
      <c r="S155" s="2"/>
      <c r="T155" s="2"/>
      <c r="U155" s="2"/>
      <c r="V155" s="2"/>
      <c r="W155" s="2"/>
      <c r="X155" s="2"/>
      <c r="Y155" s="2"/>
      <c r="Z155" s="2"/>
      <c r="AA155" s="2"/>
      <c r="AB155" s="2"/>
      <c r="AC155" s="2"/>
      <c r="AD155" s="2"/>
      <c r="AE155" s="2"/>
    </row>
    <row r="156" spans="2:31" ht="16" x14ac:dyDescent="0.2">
      <c r="B156" s="2" t="e">
        <f>VLOOKUP(A156,[1]TRATAMIENTI!$A:$B,2,FALSE)</f>
        <v>#N/A</v>
      </c>
      <c r="G156" s="2" t="str">
        <f t="shared" si="2"/>
        <v>NO</v>
      </c>
      <c r="J156" s="2"/>
      <c r="K156" s="2"/>
      <c r="L156" s="2"/>
      <c r="M156" s="2"/>
      <c r="N156" s="2"/>
      <c r="O156" s="2"/>
      <c r="P156" s="2"/>
      <c r="Q156" s="2"/>
      <c r="R156" s="2"/>
      <c r="S156" s="2"/>
      <c r="T156" s="2"/>
      <c r="U156" s="2"/>
      <c r="V156" s="2"/>
      <c r="W156" s="2"/>
      <c r="X156" s="2"/>
      <c r="Y156" s="2"/>
      <c r="Z156" s="2"/>
      <c r="AA156" s="2"/>
      <c r="AB156" s="2"/>
      <c r="AC156" s="2"/>
      <c r="AD156" s="2"/>
      <c r="AE156" s="2"/>
    </row>
    <row r="157" spans="2:31" ht="16" x14ac:dyDescent="0.2">
      <c r="B157" s="2" t="e">
        <f>VLOOKUP(A157,[1]TRATAMIENTI!$A:$B,2,FALSE)</f>
        <v>#N/A</v>
      </c>
      <c r="G157" s="2" t="str">
        <f t="shared" si="2"/>
        <v>NO</v>
      </c>
      <c r="J157" s="2"/>
      <c r="K157" s="2"/>
      <c r="L157" s="2"/>
      <c r="M157" s="2"/>
      <c r="N157" s="2"/>
      <c r="O157" s="2"/>
      <c r="P157" s="2"/>
      <c r="Q157" s="2"/>
      <c r="R157" s="2"/>
      <c r="S157" s="2"/>
      <c r="T157" s="2"/>
      <c r="U157" s="2"/>
      <c r="V157" s="2"/>
      <c r="W157" s="2"/>
      <c r="X157" s="2"/>
      <c r="Y157" s="2"/>
      <c r="Z157" s="2"/>
      <c r="AA157" s="2"/>
      <c r="AB157" s="2"/>
      <c r="AC157" s="2"/>
      <c r="AD157" s="2"/>
      <c r="AE157" s="2"/>
    </row>
    <row r="158" spans="2:31" ht="16" x14ac:dyDescent="0.2">
      <c r="B158" s="2" t="e">
        <f>VLOOKUP(A158,[1]TRATAMIENTI!$A:$B,2,FALSE)</f>
        <v>#N/A</v>
      </c>
      <c r="G158" s="2" t="str">
        <f t="shared" si="2"/>
        <v>NO</v>
      </c>
      <c r="J158" s="2"/>
      <c r="K158" s="2"/>
      <c r="L158" s="2"/>
      <c r="M158" s="2"/>
      <c r="N158" s="2"/>
      <c r="O158" s="2"/>
      <c r="P158" s="2"/>
      <c r="Q158" s="2"/>
      <c r="R158" s="2"/>
      <c r="S158" s="2"/>
      <c r="T158" s="2"/>
      <c r="U158" s="2"/>
      <c r="V158" s="2"/>
      <c r="W158" s="2"/>
      <c r="X158" s="2"/>
      <c r="Y158" s="2"/>
      <c r="Z158" s="2"/>
      <c r="AA158" s="2"/>
      <c r="AB158" s="2"/>
      <c r="AC158" s="2"/>
      <c r="AD158" s="2"/>
      <c r="AE158" s="2"/>
    </row>
    <row r="159" spans="2:31" ht="16" x14ac:dyDescent="0.2">
      <c r="B159" s="2" t="e">
        <f>VLOOKUP(A159,[1]TRATAMIENTI!$A:$B,2,FALSE)</f>
        <v>#N/A</v>
      </c>
      <c r="G159" s="2" t="str">
        <f t="shared" si="2"/>
        <v>NO</v>
      </c>
      <c r="J159" s="2"/>
      <c r="K159" s="2"/>
      <c r="L159" s="2"/>
      <c r="M159" s="2"/>
      <c r="N159" s="2"/>
      <c r="O159" s="2"/>
      <c r="P159" s="2"/>
      <c r="Q159" s="2"/>
      <c r="R159" s="2"/>
      <c r="S159" s="2"/>
      <c r="T159" s="2"/>
      <c r="U159" s="2"/>
      <c r="V159" s="2"/>
      <c r="W159" s="2"/>
      <c r="X159" s="2"/>
      <c r="Y159" s="2"/>
      <c r="Z159" s="2"/>
      <c r="AA159" s="2"/>
      <c r="AB159" s="2"/>
      <c r="AC159" s="2"/>
      <c r="AD159" s="2"/>
      <c r="AE159" s="2"/>
    </row>
    <row r="160" spans="2:31" ht="16" x14ac:dyDescent="0.2">
      <c r="B160" s="2" t="e">
        <f>VLOOKUP(A160,[1]TRATAMIENTI!$A:$B,2,FALSE)</f>
        <v>#N/A</v>
      </c>
      <c r="G160" s="2" t="str">
        <f t="shared" si="2"/>
        <v>NO</v>
      </c>
      <c r="J160" s="2"/>
      <c r="K160" s="2"/>
      <c r="L160" s="2"/>
      <c r="M160" s="2"/>
      <c r="N160" s="2"/>
      <c r="O160" s="2"/>
      <c r="P160" s="2"/>
      <c r="Q160" s="2"/>
      <c r="R160" s="2"/>
      <c r="S160" s="2"/>
      <c r="T160" s="2"/>
      <c r="U160" s="2"/>
      <c r="V160" s="2"/>
      <c r="W160" s="2"/>
      <c r="X160" s="2"/>
      <c r="Y160" s="2"/>
      <c r="Z160" s="2"/>
      <c r="AA160" s="2"/>
      <c r="AB160" s="2"/>
      <c r="AC160" s="2"/>
      <c r="AD160" s="2"/>
      <c r="AE160" s="2"/>
    </row>
    <row r="161" spans="2:31" ht="16" x14ac:dyDescent="0.2">
      <c r="B161" s="2" t="e">
        <f>VLOOKUP(A161,[1]TRATAMIENTI!$A:$B,2,FALSE)</f>
        <v>#N/A</v>
      </c>
      <c r="G161" s="2" t="str">
        <f t="shared" si="2"/>
        <v>NO</v>
      </c>
      <c r="J161" s="2"/>
      <c r="K161" s="2"/>
      <c r="L161" s="2"/>
      <c r="M161" s="2"/>
      <c r="N161" s="2"/>
      <c r="O161" s="2"/>
      <c r="P161" s="2"/>
      <c r="Q161" s="2"/>
      <c r="R161" s="2"/>
      <c r="S161" s="2"/>
      <c r="T161" s="2"/>
      <c r="U161" s="2"/>
      <c r="V161" s="2"/>
      <c r="W161" s="2"/>
      <c r="X161" s="2"/>
      <c r="Y161" s="2"/>
      <c r="Z161" s="2"/>
      <c r="AA161" s="2"/>
      <c r="AB161" s="2"/>
      <c r="AC161" s="2"/>
      <c r="AD161" s="2"/>
      <c r="AE161" s="2"/>
    </row>
    <row r="162" spans="2:31" ht="16" x14ac:dyDescent="0.2">
      <c r="B162" s="2" t="e">
        <f>VLOOKUP(A162,[1]TRATAMIENTI!$A:$B,2,FALSE)</f>
        <v>#N/A</v>
      </c>
      <c r="G162" s="2" t="str">
        <f t="shared" si="2"/>
        <v>NO</v>
      </c>
      <c r="J162" s="2"/>
      <c r="K162" s="2"/>
      <c r="L162" s="2"/>
      <c r="M162" s="2"/>
      <c r="N162" s="2"/>
      <c r="O162" s="2"/>
      <c r="P162" s="2"/>
      <c r="Q162" s="2"/>
      <c r="R162" s="2"/>
      <c r="S162" s="2"/>
      <c r="T162" s="2"/>
      <c r="U162" s="2"/>
      <c r="V162" s="2"/>
      <c r="W162" s="2"/>
      <c r="X162" s="2"/>
      <c r="Y162" s="2"/>
      <c r="Z162" s="2"/>
      <c r="AA162" s="2"/>
      <c r="AB162" s="2"/>
      <c r="AC162" s="2"/>
      <c r="AD162" s="2"/>
      <c r="AE162" s="2"/>
    </row>
    <row r="163" spans="2:31" ht="16" x14ac:dyDescent="0.2">
      <c r="B163" s="2" t="e">
        <f>VLOOKUP(A163,[1]TRATAMIENTI!$A:$B,2,FALSE)</f>
        <v>#N/A</v>
      </c>
      <c r="G163" s="2" t="str">
        <f t="shared" si="2"/>
        <v>NO</v>
      </c>
      <c r="J163" s="2"/>
      <c r="K163" s="2"/>
      <c r="L163" s="2"/>
      <c r="M163" s="2"/>
      <c r="N163" s="2"/>
      <c r="O163" s="2"/>
      <c r="P163" s="2"/>
      <c r="Q163" s="2"/>
      <c r="R163" s="2"/>
      <c r="S163" s="2"/>
      <c r="T163" s="2"/>
      <c r="U163" s="2"/>
      <c r="V163" s="2"/>
      <c r="W163" s="2"/>
      <c r="X163" s="2"/>
      <c r="Y163" s="2"/>
      <c r="Z163" s="2"/>
      <c r="AA163" s="2"/>
      <c r="AB163" s="2"/>
      <c r="AC163" s="2"/>
      <c r="AD163" s="2"/>
      <c r="AE163" s="2"/>
    </row>
    <row r="164" spans="2:31" ht="16" x14ac:dyDescent="0.2">
      <c r="B164" s="2" t="e">
        <f>VLOOKUP(A164,[1]TRATAMIENTI!$A:$B,2,FALSE)</f>
        <v>#N/A</v>
      </c>
      <c r="G164" s="2" t="str">
        <f t="shared" si="2"/>
        <v>NO</v>
      </c>
      <c r="J164" s="2"/>
      <c r="K164" s="2"/>
      <c r="L164" s="2"/>
      <c r="M164" s="2"/>
      <c r="N164" s="2"/>
      <c r="O164" s="2"/>
      <c r="P164" s="2"/>
      <c r="Q164" s="2"/>
      <c r="R164" s="2"/>
      <c r="S164" s="2"/>
      <c r="T164" s="2"/>
      <c r="U164" s="2"/>
      <c r="V164" s="2"/>
      <c r="W164" s="2"/>
      <c r="X164" s="2"/>
      <c r="Y164" s="2"/>
      <c r="Z164" s="2"/>
      <c r="AA164" s="2"/>
      <c r="AB164" s="2"/>
      <c r="AC164" s="2"/>
      <c r="AD164" s="2"/>
      <c r="AE164" s="2"/>
    </row>
    <row r="165" spans="2:31" ht="16" x14ac:dyDescent="0.2">
      <c r="B165" s="2" t="e">
        <f>VLOOKUP(A165,[1]TRATAMIENTI!$A:$B,2,FALSE)</f>
        <v>#N/A</v>
      </c>
      <c r="G165" s="2" t="str">
        <f t="shared" si="2"/>
        <v>NO</v>
      </c>
      <c r="J165" s="2"/>
      <c r="K165" s="2"/>
      <c r="L165" s="2"/>
      <c r="M165" s="2"/>
      <c r="N165" s="2"/>
      <c r="O165" s="2"/>
      <c r="P165" s="2"/>
      <c r="Q165" s="2"/>
      <c r="R165" s="2"/>
      <c r="S165" s="2"/>
      <c r="T165" s="2"/>
      <c r="U165" s="2"/>
      <c r="V165" s="2"/>
      <c r="W165" s="2"/>
      <c r="X165" s="2"/>
      <c r="Y165" s="2"/>
      <c r="Z165" s="2"/>
      <c r="AA165" s="2"/>
      <c r="AB165" s="2"/>
      <c r="AC165" s="2"/>
      <c r="AD165" s="2"/>
      <c r="AE165" s="2"/>
    </row>
    <row r="166" spans="2:31" ht="16" x14ac:dyDescent="0.2">
      <c r="B166" s="2" t="e">
        <f>VLOOKUP(A166,[1]TRATAMIENTI!$A:$B,2,FALSE)</f>
        <v>#N/A</v>
      </c>
      <c r="G166" s="2" t="str">
        <f t="shared" si="2"/>
        <v>NO</v>
      </c>
      <c r="J166" s="2"/>
      <c r="K166" s="2"/>
      <c r="L166" s="2"/>
      <c r="M166" s="2"/>
      <c r="N166" s="2"/>
      <c r="O166" s="2"/>
      <c r="P166" s="2"/>
      <c r="Q166" s="2"/>
      <c r="R166" s="2"/>
      <c r="S166" s="2"/>
      <c r="T166" s="2"/>
      <c r="U166" s="2"/>
      <c r="V166" s="2"/>
      <c r="W166" s="2"/>
      <c r="X166" s="2"/>
      <c r="Y166" s="2"/>
      <c r="Z166" s="2"/>
      <c r="AA166" s="2"/>
      <c r="AB166" s="2"/>
      <c r="AC166" s="2"/>
      <c r="AD166" s="2"/>
      <c r="AE166" s="2"/>
    </row>
    <row r="167" spans="2:31" ht="16" x14ac:dyDescent="0.2">
      <c r="B167" s="2" t="e">
        <f>VLOOKUP(A167,[1]TRATAMIENTI!$A:$B,2,FALSE)</f>
        <v>#N/A</v>
      </c>
      <c r="G167" s="2" t="str">
        <f t="shared" si="2"/>
        <v>NO</v>
      </c>
      <c r="J167" s="2"/>
      <c r="K167" s="2"/>
      <c r="L167" s="2"/>
      <c r="M167" s="2"/>
      <c r="N167" s="2"/>
      <c r="O167" s="2"/>
      <c r="P167" s="2"/>
      <c r="Q167" s="2"/>
      <c r="R167" s="2"/>
      <c r="S167" s="2"/>
      <c r="T167" s="2"/>
      <c r="U167" s="2"/>
      <c r="V167" s="2"/>
      <c r="W167" s="2"/>
      <c r="X167" s="2"/>
      <c r="Y167" s="2"/>
      <c r="Z167" s="2"/>
      <c r="AA167" s="2"/>
      <c r="AB167" s="2"/>
      <c r="AC167" s="2"/>
      <c r="AD167" s="2"/>
      <c r="AE167" s="2"/>
    </row>
    <row r="168" spans="2:31" ht="16" x14ac:dyDescent="0.2">
      <c r="B168" s="2" t="e">
        <f>VLOOKUP(A168,[1]TRATAMIENTI!$A:$B,2,FALSE)</f>
        <v>#N/A</v>
      </c>
      <c r="G168" s="2" t="str">
        <f t="shared" si="2"/>
        <v>NO</v>
      </c>
      <c r="J168" s="2"/>
      <c r="K168" s="2"/>
      <c r="L168" s="2"/>
      <c r="M168" s="2"/>
      <c r="N168" s="2"/>
      <c r="O168" s="2"/>
      <c r="P168" s="2"/>
      <c r="Q168" s="2"/>
      <c r="R168" s="2"/>
      <c r="S168" s="2"/>
      <c r="T168" s="2"/>
      <c r="U168" s="2"/>
      <c r="V168" s="2"/>
      <c r="W168" s="2"/>
      <c r="X168" s="2"/>
      <c r="Y168" s="2"/>
      <c r="Z168" s="2"/>
      <c r="AA168" s="2"/>
      <c r="AB168" s="2"/>
      <c r="AC168" s="2"/>
      <c r="AD168" s="2"/>
      <c r="AE168" s="2"/>
    </row>
    <row r="169" spans="2:31" ht="16" x14ac:dyDescent="0.2">
      <c r="B169" s="2" t="e">
        <f>VLOOKUP(A169,[1]TRATAMIENTI!$A:$B,2,FALSE)</f>
        <v>#N/A</v>
      </c>
      <c r="G169" s="2" t="str">
        <f t="shared" si="2"/>
        <v>NO</v>
      </c>
      <c r="J169" s="2"/>
      <c r="K169" s="2"/>
      <c r="L169" s="2"/>
      <c r="M169" s="2"/>
      <c r="N169" s="2"/>
      <c r="O169" s="2"/>
      <c r="P169" s="2"/>
      <c r="Q169" s="2"/>
      <c r="R169" s="2"/>
      <c r="S169" s="2"/>
      <c r="T169" s="2"/>
      <c r="U169" s="2"/>
      <c r="V169" s="2"/>
      <c r="W169" s="2"/>
      <c r="X169" s="2"/>
      <c r="Y169" s="2"/>
      <c r="Z169" s="2"/>
      <c r="AA169" s="2"/>
      <c r="AB169" s="2"/>
      <c r="AC169" s="2"/>
      <c r="AD169" s="2"/>
      <c r="AE169" s="2"/>
    </row>
    <row r="170" spans="2:31" ht="16" x14ac:dyDescent="0.2">
      <c r="B170" s="2" t="e">
        <f>VLOOKUP(A170,[1]TRATAMIENTI!$A:$B,2,FALSE)</f>
        <v>#N/A</v>
      </c>
      <c r="G170" s="2" t="str">
        <f t="shared" si="2"/>
        <v>NO</v>
      </c>
      <c r="J170" s="2"/>
      <c r="K170" s="2"/>
      <c r="L170" s="2"/>
      <c r="M170" s="2"/>
      <c r="N170" s="2"/>
      <c r="O170" s="2"/>
      <c r="P170" s="2"/>
      <c r="Q170" s="2"/>
      <c r="R170" s="2"/>
      <c r="S170" s="2"/>
      <c r="T170" s="2"/>
      <c r="U170" s="2"/>
      <c r="V170" s="2"/>
      <c r="W170" s="2"/>
      <c r="X170" s="2"/>
      <c r="Y170" s="2"/>
      <c r="Z170" s="2"/>
      <c r="AA170" s="2"/>
      <c r="AB170" s="2"/>
      <c r="AC170" s="2"/>
      <c r="AD170" s="2"/>
      <c r="AE170" s="2"/>
    </row>
    <row r="171" spans="2:31" ht="16" x14ac:dyDescent="0.2">
      <c r="B171" s="2" t="e">
        <f>VLOOKUP(A171,[1]TRATAMIENTI!$A:$B,2,FALSE)</f>
        <v>#N/A</v>
      </c>
      <c r="G171" s="2" t="str">
        <f t="shared" si="2"/>
        <v>NO</v>
      </c>
      <c r="J171" s="2"/>
      <c r="K171" s="2"/>
      <c r="L171" s="2"/>
      <c r="M171" s="2"/>
      <c r="N171" s="2"/>
      <c r="O171" s="2"/>
      <c r="P171" s="2"/>
      <c r="Q171" s="2"/>
      <c r="R171" s="2"/>
      <c r="S171" s="2"/>
      <c r="T171" s="2"/>
      <c r="U171" s="2"/>
      <c r="V171" s="2"/>
      <c r="W171" s="2"/>
      <c r="X171" s="2"/>
      <c r="Y171" s="2"/>
      <c r="Z171" s="2"/>
      <c r="AA171" s="2"/>
      <c r="AB171" s="2"/>
      <c r="AC171" s="2"/>
      <c r="AD171" s="2"/>
      <c r="AE171" s="2"/>
    </row>
    <row r="172" spans="2:31" ht="16" x14ac:dyDescent="0.2">
      <c r="B172" s="2" t="e">
        <f>VLOOKUP(A172,[1]TRATAMIENTI!$A:$B,2,FALSE)</f>
        <v>#N/A</v>
      </c>
      <c r="G172" s="2" t="str">
        <f t="shared" si="2"/>
        <v>NO</v>
      </c>
      <c r="J172" s="2"/>
      <c r="K172" s="2"/>
      <c r="L172" s="2"/>
      <c r="M172" s="2"/>
      <c r="N172" s="2"/>
      <c r="O172" s="2"/>
      <c r="P172" s="2"/>
      <c r="Q172" s="2"/>
      <c r="R172" s="2"/>
      <c r="S172" s="2"/>
      <c r="T172" s="2"/>
      <c r="U172" s="2"/>
      <c r="V172" s="2"/>
      <c r="W172" s="2"/>
      <c r="X172" s="2"/>
      <c r="Y172" s="2"/>
      <c r="Z172" s="2"/>
      <c r="AA172" s="2"/>
      <c r="AB172" s="2"/>
      <c r="AC172" s="2"/>
      <c r="AD172" s="2"/>
      <c r="AE172" s="2"/>
    </row>
    <row r="173" spans="2:31" ht="16" x14ac:dyDescent="0.2">
      <c r="B173" s="2" t="e">
        <f>VLOOKUP(A173,[1]TRATAMIENTI!$A:$B,2,FALSE)</f>
        <v>#N/A</v>
      </c>
      <c r="G173" s="2" t="str">
        <f t="shared" si="2"/>
        <v>NO</v>
      </c>
      <c r="J173" s="2"/>
      <c r="K173" s="2"/>
      <c r="L173" s="2"/>
      <c r="M173" s="2"/>
      <c r="N173" s="2"/>
      <c r="O173" s="2"/>
      <c r="P173" s="2"/>
      <c r="Q173" s="2"/>
      <c r="R173" s="2"/>
      <c r="S173" s="2"/>
      <c r="T173" s="2"/>
      <c r="U173" s="2"/>
      <c r="V173" s="2"/>
      <c r="W173" s="2"/>
      <c r="X173" s="2"/>
      <c r="Y173" s="2"/>
      <c r="Z173" s="2"/>
      <c r="AA173" s="2"/>
      <c r="AB173" s="2"/>
      <c r="AC173" s="2"/>
      <c r="AD173" s="2"/>
      <c r="AE173" s="2"/>
    </row>
    <row r="174" spans="2:31" ht="16" x14ac:dyDescent="0.2">
      <c r="B174" s="2" t="e">
        <f>VLOOKUP(A174,[1]TRATAMIENTI!$A:$B,2,FALSE)</f>
        <v>#N/A</v>
      </c>
      <c r="G174" s="2" t="str">
        <f t="shared" si="2"/>
        <v>NO</v>
      </c>
      <c r="J174" s="2"/>
      <c r="K174" s="2"/>
      <c r="L174" s="2"/>
      <c r="M174" s="2"/>
      <c r="N174" s="2"/>
      <c r="O174" s="2"/>
      <c r="P174" s="2"/>
      <c r="Q174" s="2"/>
      <c r="R174" s="2"/>
      <c r="S174" s="2"/>
      <c r="T174" s="2"/>
      <c r="U174" s="2"/>
      <c r="V174" s="2"/>
      <c r="W174" s="2"/>
      <c r="X174" s="2"/>
      <c r="Y174" s="2"/>
      <c r="Z174" s="2"/>
      <c r="AA174" s="2"/>
      <c r="AB174" s="2"/>
      <c r="AC174" s="2"/>
      <c r="AD174" s="2"/>
      <c r="AE174" s="2"/>
    </row>
    <row r="175" spans="2:31" ht="16" x14ac:dyDescent="0.2">
      <c r="B175" s="2" t="e">
        <f>VLOOKUP(A175,[1]TRATAMIENTI!$A:$B,2,FALSE)</f>
        <v>#N/A</v>
      </c>
      <c r="G175" s="2" t="str">
        <f t="shared" si="2"/>
        <v>NO</v>
      </c>
      <c r="J175" s="2"/>
      <c r="K175" s="2"/>
      <c r="L175" s="2"/>
      <c r="M175" s="2"/>
      <c r="N175" s="2"/>
      <c r="O175" s="2"/>
      <c r="P175" s="2"/>
      <c r="Q175" s="2"/>
      <c r="R175" s="2"/>
      <c r="S175" s="2"/>
      <c r="T175" s="2"/>
      <c r="U175" s="2"/>
      <c r="V175" s="2"/>
      <c r="W175" s="2"/>
      <c r="X175" s="2"/>
      <c r="Y175" s="2"/>
      <c r="Z175" s="2"/>
      <c r="AA175" s="2"/>
      <c r="AB175" s="2"/>
      <c r="AC175" s="2"/>
      <c r="AD175" s="2"/>
      <c r="AE175" s="2"/>
    </row>
    <row r="176" spans="2:31" ht="16" x14ac:dyDescent="0.2">
      <c r="B176" s="2" t="e">
        <f>VLOOKUP(A176,[1]TRATAMIENTI!$A:$B,2,FALSE)</f>
        <v>#N/A</v>
      </c>
      <c r="G176" s="2" t="str">
        <f t="shared" si="2"/>
        <v>NO</v>
      </c>
      <c r="J176" s="2"/>
      <c r="K176" s="2"/>
      <c r="L176" s="2"/>
      <c r="M176" s="2"/>
      <c r="N176" s="2"/>
      <c r="O176" s="2"/>
      <c r="P176" s="2"/>
      <c r="Q176" s="2"/>
      <c r="R176" s="2"/>
      <c r="S176" s="2"/>
      <c r="T176" s="2"/>
      <c r="U176" s="2"/>
      <c r="V176" s="2"/>
      <c r="W176" s="2"/>
      <c r="X176" s="2"/>
      <c r="Y176" s="2"/>
      <c r="Z176" s="2"/>
      <c r="AA176" s="2"/>
      <c r="AB176" s="2"/>
      <c r="AC176" s="2"/>
      <c r="AD176" s="2"/>
      <c r="AE176" s="2"/>
    </row>
    <row r="177" spans="2:31" ht="16" x14ac:dyDescent="0.2">
      <c r="B177" s="2" t="e">
        <f>VLOOKUP(A177,[1]TRATAMIENTI!$A:$B,2,FALSE)</f>
        <v>#N/A</v>
      </c>
      <c r="G177" s="2" t="str">
        <f t="shared" si="2"/>
        <v>NO</v>
      </c>
      <c r="J177" s="2"/>
      <c r="K177" s="2"/>
      <c r="L177" s="2"/>
      <c r="M177" s="2"/>
      <c r="N177" s="2"/>
      <c r="O177" s="2"/>
      <c r="P177" s="2"/>
      <c r="Q177" s="2"/>
      <c r="R177" s="2"/>
      <c r="S177" s="2"/>
      <c r="T177" s="2"/>
      <c r="U177" s="2"/>
      <c r="V177" s="2"/>
      <c r="W177" s="2"/>
      <c r="X177" s="2"/>
      <c r="Y177" s="2"/>
      <c r="Z177" s="2"/>
      <c r="AA177" s="2"/>
      <c r="AB177" s="2"/>
      <c r="AC177" s="2"/>
      <c r="AD177" s="2"/>
      <c r="AE177" s="2"/>
    </row>
    <row r="178" spans="2:31" ht="16" x14ac:dyDescent="0.2">
      <c r="B178" s="2" t="e">
        <f>VLOOKUP(A178,[1]TRATAMIENTI!$A:$B,2,FALSE)</f>
        <v>#N/A</v>
      </c>
      <c r="G178" s="2" t="str">
        <f t="shared" si="2"/>
        <v>NO</v>
      </c>
      <c r="J178" s="2"/>
      <c r="K178" s="2"/>
      <c r="L178" s="2"/>
      <c r="M178" s="2"/>
      <c r="N178" s="2"/>
      <c r="O178" s="2"/>
      <c r="P178" s="2"/>
      <c r="Q178" s="2"/>
      <c r="R178" s="2"/>
      <c r="S178" s="2"/>
      <c r="T178" s="2"/>
      <c r="U178" s="2"/>
      <c r="V178" s="2"/>
      <c r="W178" s="2"/>
      <c r="X178" s="2"/>
      <c r="Y178" s="2"/>
      <c r="Z178" s="2"/>
      <c r="AA178" s="2"/>
      <c r="AB178" s="2"/>
      <c r="AC178" s="2"/>
      <c r="AD178" s="2"/>
      <c r="AE178" s="2"/>
    </row>
    <row r="179" spans="2:31" ht="16" x14ac:dyDescent="0.2">
      <c r="B179" s="2" t="e">
        <f>VLOOKUP(A179,[1]TRATAMIENTI!$A:$B,2,FALSE)</f>
        <v>#N/A</v>
      </c>
      <c r="G179" s="2" t="str">
        <f t="shared" si="2"/>
        <v>NO</v>
      </c>
      <c r="J179" s="2"/>
      <c r="K179" s="2"/>
      <c r="L179" s="2"/>
      <c r="M179" s="2"/>
      <c r="N179" s="2"/>
      <c r="O179" s="2"/>
      <c r="P179" s="2"/>
      <c r="Q179" s="2"/>
      <c r="R179" s="2"/>
      <c r="S179" s="2"/>
      <c r="T179" s="2"/>
      <c r="U179" s="2"/>
      <c r="V179" s="2"/>
      <c r="W179" s="2"/>
      <c r="X179" s="2"/>
      <c r="Y179" s="2"/>
      <c r="Z179" s="2"/>
      <c r="AA179" s="2"/>
      <c r="AB179" s="2"/>
      <c r="AC179" s="2"/>
      <c r="AD179" s="2"/>
      <c r="AE179" s="2"/>
    </row>
    <row r="180" spans="2:31" ht="16" x14ac:dyDescent="0.2">
      <c r="B180" s="2" t="e">
        <f>VLOOKUP(A180,[1]TRATAMIENTI!$A:$B,2,FALSE)</f>
        <v>#N/A</v>
      </c>
      <c r="G180" s="2" t="str">
        <f t="shared" si="2"/>
        <v>NO</v>
      </c>
      <c r="J180" s="2"/>
      <c r="K180" s="2"/>
      <c r="L180" s="2"/>
      <c r="M180" s="2"/>
      <c r="N180" s="2"/>
      <c r="O180" s="2"/>
      <c r="P180" s="2"/>
      <c r="Q180" s="2"/>
      <c r="R180" s="2"/>
      <c r="S180" s="2"/>
      <c r="T180" s="2"/>
      <c r="U180" s="2"/>
      <c r="V180" s="2"/>
      <c r="W180" s="2"/>
      <c r="X180" s="2"/>
      <c r="Y180" s="2"/>
      <c r="Z180" s="2"/>
      <c r="AA180" s="2"/>
      <c r="AB180" s="2"/>
      <c r="AC180" s="2"/>
      <c r="AD180" s="2"/>
      <c r="AE180" s="2"/>
    </row>
    <row r="181" spans="2:31" ht="16" x14ac:dyDescent="0.2">
      <c r="B181" s="2" t="e">
        <f>VLOOKUP(A181,[1]TRATAMIENTI!$A:$B,2,FALSE)</f>
        <v>#N/A</v>
      </c>
      <c r="G181" s="2" t="str">
        <f t="shared" si="2"/>
        <v>NO</v>
      </c>
      <c r="J181" s="2"/>
      <c r="K181" s="2"/>
      <c r="L181" s="2"/>
      <c r="M181" s="2"/>
      <c r="N181" s="2"/>
      <c r="O181" s="2"/>
      <c r="P181" s="2"/>
      <c r="Q181" s="2"/>
      <c r="R181" s="2"/>
      <c r="S181" s="2"/>
      <c r="T181" s="2"/>
      <c r="U181" s="2"/>
      <c r="V181" s="2"/>
      <c r="W181" s="2"/>
      <c r="X181" s="2"/>
      <c r="Y181" s="2"/>
      <c r="Z181" s="2"/>
      <c r="AA181" s="2"/>
      <c r="AB181" s="2"/>
      <c r="AC181" s="2"/>
      <c r="AD181" s="2"/>
      <c r="AE181" s="2"/>
    </row>
    <row r="182" spans="2:31" ht="16" x14ac:dyDescent="0.2">
      <c r="B182" s="2" t="e">
        <f>VLOOKUP(A182,[1]TRATAMIENTI!$A:$B,2,FALSE)</f>
        <v>#N/A</v>
      </c>
      <c r="G182" s="2" t="str">
        <f t="shared" si="2"/>
        <v>NO</v>
      </c>
      <c r="J182" s="2"/>
      <c r="K182" s="2"/>
      <c r="L182" s="2"/>
      <c r="M182" s="2"/>
      <c r="N182" s="2"/>
      <c r="O182" s="2"/>
      <c r="P182" s="2"/>
      <c r="Q182" s="2"/>
      <c r="R182" s="2"/>
      <c r="S182" s="2"/>
      <c r="T182" s="2"/>
      <c r="U182" s="2"/>
      <c r="V182" s="2"/>
      <c r="W182" s="2"/>
      <c r="X182" s="2"/>
      <c r="Y182" s="2"/>
      <c r="Z182" s="2"/>
      <c r="AA182" s="2"/>
      <c r="AB182" s="2"/>
      <c r="AC182" s="2"/>
      <c r="AD182" s="2"/>
      <c r="AE182" s="2"/>
    </row>
    <row r="183" spans="2:31" ht="16" x14ac:dyDescent="0.2">
      <c r="B183" s="2" t="e">
        <f>VLOOKUP(A183,[1]TRATAMIENTI!$A:$B,2,FALSE)</f>
        <v>#N/A</v>
      </c>
      <c r="G183" s="2" t="str">
        <f t="shared" si="2"/>
        <v>NO</v>
      </c>
      <c r="J183" s="2"/>
      <c r="K183" s="2"/>
      <c r="L183" s="2"/>
      <c r="M183" s="2"/>
      <c r="N183" s="2"/>
      <c r="O183" s="2"/>
      <c r="P183" s="2"/>
      <c r="Q183" s="2"/>
      <c r="R183" s="2"/>
      <c r="S183" s="2"/>
      <c r="T183" s="2"/>
      <c r="U183" s="2"/>
      <c r="V183" s="2"/>
      <c r="W183" s="2"/>
      <c r="X183" s="2"/>
      <c r="Y183" s="2"/>
      <c r="Z183" s="2"/>
      <c r="AA183" s="2"/>
      <c r="AB183" s="2"/>
      <c r="AC183" s="2"/>
      <c r="AD183" s="2"/>
      <c r="AE183" s="2"/>
    </row>
    <row r="184" spans="2:31" ht="16" x14ac:dyDescent="0.2">
      <c r="B184" s="2" t="e">
        <f>VLOOKUP(A184,[1]TRATAMIENTI!$A:$B,2,FALSE)</f>
        <v>#N/A</v>
      </c>
      <c r="G184" s="2" t="str">
        <f t="shared" si="2"/>
        <v>NO</v>
      </c>
      <c r="J184" s="2"/>
      <c r="K184" s="2"/>
      <c r="L184" s="2"/>
      <c r="M184" s="2"/>
      <c r="N184" s="2"/>
      <c r="O184" s="2"/>
      <c r="P184" s="2"/>
      <c r="Q184" s="2"/>
      <c r="R184" s="2"/>
      <c r="S184" s="2"/>
      <c r="T184" s="2"/>
      <c r="U184" s="2"/>
      <c r="V184" s="2"/>
      <c r="W184" s="2"/>
      <c r="X184" s="2"/>
      <c r="Y184" s="2"/>
      <c r="Z184" s="2"/>
      <c r="AA184" s="2"/>
      <c r="AB184" s="2"/>
      <c r="AC184" s="2"/>
      <c r="AD184" s="2"/>
      <c r="AE184" s="2"/>
    </row>
    <row r="185" spans="2:31" ht="16" x14ac:dyDescent="0.2">
      <c r="B185" s="2" t="e">
        <f>VLOOKUP(A185,[1]TRATAMIENTI!$A:$B,2,FALSE)</f>
        <v>#N/A</v>
      </c>
      <c r="G185" s="2" t="str">
        <f t="shared" si="2"/>
        <v>NO</v>
      </c>
      <c r="J185" s="2"/>
      <c r="K185" s="2"/>
      <c r="L185" s="2"/>
      <c r="M185" s="2"/>
      <c r="N185" s="2"/>
      <c r="O185" s="2"/>
      <c r="P185" s="2"/>
      <c r="Q185" s="2"/>
      <c r="R185" s="2"/>
      <c r="S185" s="2"/>
      <c r="T185" s="2"/>
      <c r="U185" s="2"/>
      <c r="V185" s="2"/>
      <c r="W185" s="2"/>
      <c r="X185" s="2"/>
      <c r="Y185" s="2"/>
      <c r="Z185" s="2"/>
      <c r="AA185" s="2"/>
      <c r="AB185" s="2"/>
      <c r="AC185" s="2"/>
      <c r="AD185" s="2"/>
      <c r="AE185" s="2"/>
    </row>
    <row r="186" spans="2:31" ht="16" x14ac:dyDescent="0.2">
      <c r="B186" s="2" t="e">
        <f>VLOOKUP(A186,[1]TRATAMIENTI!$A:$B,2,FALSE)</f>
        <v>#N/A</v>
      </c>
      <c r="G186" s="2" t="str">
        <f t="shared" si="2"/>
        <v>NO</v>
      </c>
      <c r="J186" s="2"/>
      <c r="K186" s="2"/>
      <c r="L186" s="2"/>
      <c r="M186" s="2"/>
      <c r="N186" s="2"/>
      <c r="O186" s="2"/>
      <c r="P186" s="2"/>
      <c r="Q186" s="2"/>
      <c r="R186" s="2"/>
      <c r="S186" s="2"/>
      <c r="T186" s="2"/>
      <c r="U186" s="2"/>
      <c r="V186" s="2"/>
      <c r="W186" s="2"/>
      <c r="X186" s="2"/>
      <c r="Y186" s="2"/>
      <c r="Z186" s="2"/>
      <c r="AA186" s="2"/>
      <c r="AB186" s="2"/>
      <c r="AC186" s="2"/>
      <c r="AD186" s="2"/>
      <c r="AE186" s="2"/>
    </row>
    <row r="187" spans="2:31" ht="16" x14ac:dyDescent="0.2">
      <c r="B187" s="2" t="e">
        <f>VLOOKUP(A187,[1]TRATAMIENTI!$A:$B,2,FALSE)</f>
        <v>#N/A</v>
      </c>
      <c r="G187" s="2" t="str">
        <f t="shared" si="2"/>
        <v>NO</v>
      </c>
      <c r="J187" s="2"/>
      <c r="K187" s="2"/>
      <c r="L187" s="2"/>
      <c r="M187" s="2"/>
      <c r="N187" s="2"/>
      <c r="O187" s="2"/>
      <c r="P187" s="2"/>
      <c r="Q187" s="2"/>
      <c r="R187" s="2"/>
      <c r="S187" s="2"/>
      <c r="T187" s="2"/>
      <c r="U187" s="2"/>
      <c r="V187" s="2"/>
      <c r="W187" s="2"/>
      <c r="X187" s="2"/>
      <c r="Y187" s="2"/>
      <c r="Z187" s="2"/>
      <c r="AA187" s="2"/>
      <c r="AB187" s="2"/>
      <c r="AC187" s="2"/>
      <c r="AD187" s="2"/>
      <c r="AE187" s="2"/>
    </row>
    <row r="188" spans="2:31" ht="16" x14ac:dyDescent="0.2">
      <c r="B188" s="2" t="e">
        <f>VLOOKUP(A188,[1]TRATAMIENTI!$A:$B,2,FALSE)</f>
        <v>#N/A</v>
      </c>
      <c r="G188" s="2" t="str">
        <f t="shared" si="2"/>
        <v>NO</v>
      </c>
      <c r="J188" s="2"/>
      <c r="K188" s="2"/>
      <c r="L188" s="2"/>
      <c r="M188" s="2"/>
      <c r="N188" s="2"/>
      <c r="O188" s="2"/>
      <c r="P188" s="2"/>
      <c r="Q188" s="2"/>
      <c r="R188" s="2"/>
      <c r="S188" s="2"/>
      <c r="T188" s="2"/>
      <c r="U188" s="2"/>
      <c r="V188" s="2"/>
      <c r="W188" s="2"/>
      <c r="X188" s="2"/>
      <c r="Y188" s="2"/>
      <c r="Z188" s="2"/>
      <c r="AA188" s="2"/>
      <c r="AB188" s="2"/>
      <c r="AC188" s="2"/>
      <c r="AD188" s="2"/>
      <c r="AE188" s="2"/>
    </row>
    <row r="189" spans="2:31" ht="16" x14ac:dyDescent="0.2">
      <c r="B189" s="2" t="e">
        <f>VLOOKUP(A189,[1]TRATAMIENTI!$A:$B,2,FALSE)</f>
        <v>#N/A</v>
      </c>
      <c r="G189" s="2" t="str">
        <f t="shared" si="2"/>
        <v>NO</v>
      </c>
      <c r="J189" s="2"/>
      <c r="K189" s="2"/>
      <c r="L189" s="2"/>
      <c r="M189" s="2"/>
      <c r="N189" s="2"/>
      <c r="O189" s="2"/>
      <c r="P189" s="2"/>
      <c r="Q189" s="2"/>
      <c r="R189" s="2"/>
      <c r="S189" s="2"/>
      <c r="T189" s="2"/>
      <c r="U189" s="2"/>
      <c r="V189" s="2"/>
      <c r="W189" s="2"/>
      <c r="X189" s="2"/>
      <c r="Y189" s="2"/>
      <c r="Z189" s="2"/>
      <c r="AA189" s="2"/>
      <c r="AB189" s="2"/>
      <c r="AC189" s="2"/>
      <c r="AD189" s="2"/>
      <c r="AE189" s="2"/>
    </row>
    <row r="190" spans="2:31" ht="16" x14ac:dyDescent="0.2">
      <c r="B190" s="2" t="e">
        <f>VLOOKUP(A190,[1]TRATAMIENTI!$A:$B,2,FALSE)</f>
        <v>#N/A</v>
      </c>
      <c r="G190" s="2" t="str">
        <f t="shared" si="2"/>
        <v>NO</v>
      </c>
      <c r="J190" s="2"/>
      <c r="K190" s="2"/>
      <c r="L190" s="2"/>
      <c r="M190" s="2"/>
      <c r="N190" s="2"/>
      <c r="O190" s="2"/>
      <c r="P190" s="2"/>
      <c r="Q190" s="2"/>
      <c r="R190" s="2"/>
      <c r="S190" s="2"/>
      <c r="T190" s="2"/>
      <c r="U190" s="2"/>
      <c r="V190" s="2"/>
      <c r="W190" s="2"/>
      <c r="X190" s="2"/>
      <c r="Y190" s="2"/>
      <c r="Z190" s="2"/>
      <c r="AA190" s="2"/>
      <c r="AB190" s="2"/>
      <c r="AC190" s="2"/>
      <c r="AD190" s="2"/>
      <c r="AE190" s="2"/>
    </row>
    <row r="191" spans="2:31" ht="16" x14ac:dyDescent="0.2">
      <c r="B191" s="2" t="e">
        <f>VLOOKUP(A191,[1]TRATAMIENTI!$A:$B,2,FALSE)</f>
        <v>#N/A</v>
      </c>
      <c r="G191" s="2" t="str">
        <f t="shared" ref="G191:G254" si="3">IF(H191="CALI","VALLE DEL CAUCA",IF(H191="MEDELLIN","ANTIOQUIA",IF(H191="BARRANQUILLA","ATLANTICO","NO")))</f>
        <v>NO</v>
      </c>
      <c r="J191" s="2"/>
      <c r="K191" s="2"/>
      <c r="L191" s="2"/>
      <c r="M191" s="2"/>
      <c r="N191" s="2"/>
      <c r="O191" s="2"/>
      <c r="P191" s="2"/>
      <c r="Q191" s="2"/>
      <c r="R191" s="2"/>
      <c r="S191" s="2"/>
      <c r="T191" s="2"/>
      <c r="U191" s="2"/>
      <c r="V191" s="2"/>
      <c r="W191" s="2"/>
      <c r="X191" s="2"/>
      <c r="Y191" s="2"/>
      <c r="Z191" s="2"/>
      <c r="AA191" s="2"/>
      <c r="AB191" s="2"/>
      <c r="AC191" s="2"/>
      <c r="AD191" s="2"/>
      <c r="AE191" s="2"/>
    </row>
    <row r="192" spans="2:31" ht="16" x14ac:dyDescent="0.2">
      <c r="B192" s="2" t="e">
        <f>VLOOKUP(A192,[1]TRATAMIENTI!$A:$B,2,FALSE)</f>
        <v>#N/A</v>
      </c>
      <c r="G192" s="2" t="str">
        <f t="shared" si="3"/>
        <v>NO</v>
      </c>
      <c r="J192" s="2"/>
      <c r="K192" s="2"/>
      <c r="L192" s="2"/>
      <c r="M192" s="2"/>
      <c r="N192" s="2"/>
      <c r="O192" s="2"/>
      <c r="P192" s="2"/>
      <c r="Q192" s="2"/>
      <c r="R192" s="2"/>
      <c r="S192" s="2"/>
      <c r="T192" s="2"/>
      <c r="U192" s="2"/>
      <c r="V192" s="2"/>
      <c r="W192" s="2"/>
      <c r="X192" s="2"/>
      <c r="Y192" s="2"/>
      <c r="Z192" s="2"/>
      <c r="AA192" s="2"/>
      <c r="AB192" s="2"/>
      <c r="AC192" s="2"/>
      <c r="AD192" s="2"/>
      <c r="AE192" s="2"/>
    </row>
    <row r="193" spans="2:31" ht="16" x14ac:dyDescent="0.2">
      <c r="B193" s="2" t="e">
        <f>VLOOKUP(A193,[1]TRATAMIENTI!$A:$B,2,FALSE)</f>
        <v>#N/A</v>
      </c>
      <c r="G193" s="2" t="str">
        <f t="shared" si="3"/>
        <v>NO</v>
      </c>
      <c r="J193" s="2"/>
      <c r="K193" s="2"/>
      <c r="L193" s="2"/>
      <c r="M193" s="2"/>
      <c r="N193" s="2"/>
      <c r="O193" s="2"/>
      <c r="P193" s="2"/>
      <c r="Q193" s="2"/>
      <c r="R193" s="2"/>
      <c r="S193" s="2"/>
      <c r="T193" s="2"/>
      <c r="U193" s="2"/>
      <c r="V193" s="2"/>
      <c r="W193" s="2"/>
      <c r="X193" s="2"/>
      <c r="Y193" s="2"/>
      <c r="Z193" s="2"/>
      <c r="AA193" s="2"/>
      <c r="AB193" s="2"/>
      <c r="AC193" s="2"/>
      <c r="AD193" s="2"/>
      <c r="AE193" s="2"/>
    </row>
    <row r="194" spans="2:31" ht="16" x14ac:dyDescent="0.2">
      <c r="B194" s="2" t="e">
        <f>VLOOKUP(A194,[1]TRATAMIENTI!$A:$B,2,FALSE)</f>
        <v>#N/A</v>
      </c>
      <c r="G194" s="2" t="str">
        <f t="shared" si="3"/>
        <v>NO</v>
      </c>
      <c r="J194" s="2"/>
      <c r="K194" s="2"/>
      <c r="L194" s="2"/>
      <c r="M194" s="2"/>
      <c r="N194" s="2"/>
      <c r="O194" s="2"/>
      <c r="P194" s="2"/>
      <c r="Q194" s="2"/>
      <c r="R194" s="2"/>
      <c r="S194" s="2"/>
      <c r="T194" s="2"/>
      <c r="U194" s="2"/>
      <c r="V194" s="2"/>
      <c r="W194" s="2"/>
      <c r="X194" s="2"/>
      <c r="Y194" s="2"/>
      <c r="Z194" s="2"/>
      <c r="AA194" s="2"/>
      <c r="AB194" s="2"/>
      <c r="AC194" s="2"/>
      <c r="AD194" s="2"/>
      <c r="AE194" s="2"/>
    </row>
    <row r="195" spans="2:31" ht="16" x14ac:dyDescent="0.2">
      <c r="B195" s="2" t="e">
        <f>VLOOKUP(A195,[1]TRATAMIENTI!$A:$B,2,FALSE)</f>
        <v>#N/A</v>
      </c>
      <c r="G195" s="2" t="str">
        <f t="shared" si="3"/>
        <v>NO</v>
      </c>
      <c r="J195" s="2"/>
      <c r="K195" s="2"/>
      <c r="L195" s="2"/>
      <c r="M195" s="2"/>
      <c r="N195" s="2"/>
      <c r="O195" s="2"/>
      <c r="P195" s="2"/>
      <c r="Q195" s="2"/>
      <c r="R195" s="2"/>
      <c r="S195" s="2"/>
      <c r="T195" s="2"/>
      <c r="U195" s="2"/>
      <c r="V195" s="2"/>
      <c r="W195" s="2"/>
      <c r="X195" s="2"/>
      <c r="Y195" s="2"/>
      <c r="Z195" s="2"/>
      <c r="AA195" s="2"/>
      <c r="AB195" s="2"/>
      <c r="AC195" s="2"/>
      <c r="AD195" s="2"/>
      <c r="AE195" s="2"/>
    </row>
    <row r="196" spans="2:31" ht="16" x14ac:dyDescent="0.2">
      <c r="B196" s="2" t="e">
        <f>VLOOKUP(A196,[1]TRATAMIENTI!$A:$B,2,FALSE)</f>
        <v>#N/A</v>
      </c>
      <c r="G196" s="2" t="str">
        <f t="shared" si="3"/>
        <v>NO</v>
      </c>
      <c r="J196" s="2"/>
      <c r="K196" s="2"/>
      <c r="L196" s="2"/>
      <c r="M196" s="2"/>
      <c r="N196" s="2"/>
      <c r="O196" s="2"/>
      <c r="P196" s="2"/>
      <c r="Q196" s="2"/>
      <c r="R196" s="2"/>
      <c r="S196" s="2"/>
      <c r="T196" s="2"/>
      <c r="U196" s="2"/>
      <c r="V196" s="2"/>
      <c r="W196" s="2"/>
      <c r="X196" s="2"/>
      <c r="Y196" s="2"/>
      <c r="Z196" s="2"/>
      <c r="AA196" s="2"/>
      <c r="AB196" s="2"/>
      <c r="AC196" s="2"/>
      <c r="AD196" s="2"/>
      <c r="AE196" s="2"/>
    </row>
    <row r="197" spans="2:31" ht="16" x14ac:dyDescent="0.2">
      <c r="B197" s="2" t="e">
        <f>VLOOKUP(A197,[1]TRATAMIENTI!$A:$B,2,FALSE)</f>
        <v>#N/A</v>
      </c>
      <c r="G197" s="2" t="str">
        <f t="shared" si="3"/>
        <v>NO</v>
      </c>
      <c r="J197" s="2"/>
      <c r="K197" s="2"/>
      <c r="L197" s="2"/>
      <c r="M197" s="2"/>
      <c r="N197" s="2"/>
      <c r="O197" s="2"/>
      <c r="P197" s="2"/>
      <c r="Q197" s="2"/>
      <c r="R197" s="2"/>
      <c r="S197" s="2"/>
      <c r="T197" s="2"/>
      <c r="U197" s="2"/>
      <c r="V197" s="2"/>
      <c r="W197" s="2"/>
      <c r="X197" s="2"/>
      <c r="Y197" s="2"/>
      <c r="Z197" s="2"/>
      <c r="AA197" s="2"/>
      <c r="AB197" s="2"/>
      <c r="AC197" s="2"/>
      <c r="AD197" s="2"/>
      <c r="AE197" s="2"/>
    </row>
    <row r="198" spans="2:31" ht="16" x14ac:dyDescent="0.2">
      <c r="B198" s="2" t="e">
        <f>VLOOKUP(A198,[1]TRATAMIENTI!$A:$B,2,FALSE)</f>
        <v>#N/A</v>
      </c>
      <c r="G198" s="2" t="str">
        <f t="shared" si="3"/>
        <v>NO</v>
      </c>
      <c r="J198" s="2"/>
      <c r="K198" s="2"/>
      <c r="L198" s="2"/>
      <c r="M198" s="2"/>
      <c r="N198" s="2"/>
      <c r="O198" s="2"/>
      <c r="P198" s="2"/>
      <c r="Q198" s="2"/>
      <c r="R198" s="2"/>
      <c r="S198" s="2"/>
      <c r="T198" s="2"/>
      <c r="U198" s="2"/>
      <c r="V198" s="2"/>
      <c r="W198" s="2"/>
      <c r="X198" s="2"/>
      <c r="Y198" s="2"/>
      <c r="Z198" s="2"/>
      <c r="AA198" s="2"/>
      <c r="AB198" s="2"/>
      <c r="AC198" s="2"/>
      <c r="AD198" s="2"/>
      <c r="AE198" s="2"/>
    </row>
    <row r="199" spans="2:31" ht="16" x14ac:dyDescent="0.2">
      <c r="B199" s="2" t="e">
        <f>VLOOKUP(A199,[1]TRATAMIENTI!$A:$B,2,FALSE)</f>
        <v>#N/A</v>
      </c>
      <c r="G199" s="2" t="str">
        <f t="shared" si="3"/>
        <v>NO</v>
      </c>
      <c r="J199" s="2"/>
      <c r="K199" s="2"/>
      <c r="L199" s="2"/>
      <c r="M199" s="2"/>
      <c r="N199" s="2"/>
      <c r="O199" s="2"/>
      <c r="P199" s="2"/>
      <c r="Q199" s="2"/>
      <c r="R199" s="2"/>
      <c r="S199" s="2"/>
      <c r="T199" s="2"/>
      <c r="U199" s="2"/>
      <c r="V199" s="2"/>
      <c r="W199" s="2"/>
      <c r="X199" s="2"/>
      <c r="Y199" s="2"/>
      <c r="Z199" s="2"/>
      <c r="AA199" s="2"/>
      <c r="AB199" s="2"/>
      <c r="AC199" s="2"/>
      <c r="AD199" s="2"/>
      <c r="AE199" s="2"/>
    </row>
    <row r="200" spans="2:31" ht="16" x14ac:dyDescent="0.2">
      <c r="B200" s="2" t="e">
        <f>VLOOKUP(A200,[1]TRATAMIENTI!$A:$B,2,FALSE)</f>
        <v>#N/A</v>
      </c>
      <c r="G200" s="2" t="str">
        <f t="shared" si="3"/>
        <v>NO</v>
      </c>
      <c r="J200" s="2"/>
      <c r="K200" s="2"/>
      <c r="L200" s="2"/>
      <c r="M200" s="2"/>
      <c r="N200" s="2"/>
      <c r="O200" s="2"/>
      <c r="P200" s="2"/>
      <c r="Q200" s="2"/>
      <c r="R200" s="2"/>
      <c r="S200" s="2"/>
      <c r="T200" s="2"/>
      <c r="U200" s="2"/>
      <c r="V200" s="2"/>
      <c r="W200" s="2"/>
      <c r="X200" s="2"/>
      <c r="Y200" s="2"/>
      <c r="Z200" s="2"/>
      <c r="AA200" s="2"/>
      <c r="AB200" s="2"/>
      <c r="AC200" s="2"/>
      <c r="AD200" s="2"/>
      <c r="AE200" s="2"/>
    </row>
    <row r="201" spans="2:31" ht="16" x14ac:dyDescent="0.2">
      <c r="B201" s="2" t="e">
        <f>VLOOKUP(A201,[1]TRATAMIENTI!$A:$B,2,FALSE)</f>
        <v>#N/A</v>
      </c>
      <c r="G201" s="2" t="str">
        <f t="shared" si="3"/>
        <v>NO</v>
      </c>
      <c r="J201" s="2"/>
      <c r="K201" s="2"/>
      <c r="L201" s="2"/>
      <c r="M201" s="2"/>
      <c r="N201" s="2"/>
      <c r="O201" s="2"/>
      <c r="P201" s="2"/>
      <c r="Q201" s="2"/>
      <c r="R201" s="2"/>
      <c r="S201" s="2"/>
      <c r="T201" s="2"/>
      <c r="U201" s="2"/>
      <c r="V201" s="2"/>
      <c r="W201" s="2"/>
      <c r="X201" s="2"/>
      <c r="Y201" s="2"/>
      <c r="Z201" s="2"/>
      <c r="AA201" s="2"/>
      <c r="AB201" s="2"/>
      <c r="AC201" s="2"/>
      <c r="AD201" s="2"/>
      <c r="AE201" s="2"/>
    </row>
    <row r="202" spans="2:31" ht="16" x14ac:dyDescent="0.2">
      <c r="B202" s="2" t="e">
        <f>VLOOKUP(A202,[1]TRATAMIENTI!$A:$B,2,FALSE)</f>
        <v>#N/A</v>
      </c>
      <c r="G202" s="2" t="str">
        <f t="shared" si="3"/>
        <v>NO</v>
      </c>
      <c r="J202" s="2"/>
      <c r="K202" s="2"/>
      <c r="L202" s="2"/>
      <c r="M202" s="2"/>
      <c r="N202" s="2"/>
      <c r="O202" s="2"/>
      <c r="P202" s="2"/>
      <c r="Q202" s="2"/>
      <c r="R202" s="2"/>
      <c r="S202" s="2"/>
      <c r="T202" s="2"/>
      <c r="U202" s="2"/>
      <c r="V202" s="2"/>
      <c r="W202" s="2"/>
      <c r="X202" s="2"/>
      <c r="Y202" s="2"/>
      <c r="Z202" s="2"/>
      <c r="AA202" s="2"/>
      <c r="AB202" s="2"/>
      <c r="AC202" s="2"/>
      <c r="AD202" s="2"/>
      <c r="AE202" s="2"/>
    </row>
    <row r="203" spans="2:31" ht="16" x14ac:dyDescent="0.2">
      <c r="B203" s="2" t="e">
        <f>VLOOKUP(A203,[1]TRATAMIENTI!$A:$B,2,FALSE)</f>
        <v>#N/A</v>
      </c>
      <c r="G203" s="2" t="str">
        <f t="shared" si="3"/>
        <v>NO</v>
      </c>
      <c r="J203" s="2"/>
      <c r="K203" s="2"/>
      <c r="L203" s="2"/>
      <c r="M203" s="2"/>
      <c r="N203" s="2"/>
      <c r="O203" s="2"/>
      <c r="P203" s="2"/>
      <c r="Q203" s="2"/>
      <c r="R203" s="2"/>
      <c r="S203" s="2"/>
      <c r="T203" s="2"/>
      <c r="U203" s="2"/>
      <c r="V203" s="2"/>
      <c r="W203" s="2"/>
      <c r="X203" s="2"/>
      <c r="Y203" s="2"/>
      <c r="Z203" s="2"/>
      <c r="AA203" s="2"/>
      <c r="AB203" s="2"/>
      <c r="AC203" s="2"/>
      <c r="AD203" s="2"/>
      <c r="AE203" s="2"/>
    </row>
    <row r="204" spans="2:31" ht="16" x14ac:dyDescent="0.2">
      <c r="B204" s="2" t="e">
        <f>VLOOKUP(A204,[1]TRATAMIENTI!$A:$B,2,FALSE)</f>
        <v>#N/A</v>
      </c>
      <c r="G204" s="2" t="str">
        <f t="shared" si="3"/>
        <v>NO</v>
      </c>
      <c r="J204" s="2"/>
      <c r="K204" s="2"/>
      <c r="L204" s="2"/>
      <c r="M204" s="2"/>
      <c r="N204" s="2"/>
      <c r="O204" s="2"/>
      <c r="P204" s="2"/>
      <c r="Q204" s="2"/>
      <c r="R204" s="2"/>
      <c r="S204" s="2"/>
      <c r="T204" s="2"/>
      <c r="U204" s="2"/>
      <c r="V204" s="2"/>
      <c r="W204" s="2"/>
      <c r="X204" s="2"/>
      <c r="Y204" s="2"/>
      <c r="Z204" s="2"/>
      <c r="AA204" s="2"/>
      <c r="AB204" s="2"/>
      <c r="AC204" s="2"/>
      <c r="AD204" s="2"/>
      <c r="AE204" s="2"/>
    </row>
    <row r="205" spans="2:31" ht="16" x14ac:dyDescent="0.2">
      <c r="B205" s="2" t="e">
        <f>VLOOKUP(A205,[1]TRATAMIENTI!$A:$B,2,FALSE)</f>
        <v>#N/A</v>
      </c>
      <c r="G205" s="2" t="str">
        <f t="shared" si="3"/>
        <v>NO</v>
      </c>
      <c r="J205" s="2"/>
      <c r="K205" s="2"/>
      <c r="L205" s="2"/>
      <c r="M205" s="2"/>
      <c r="N205" s="2"/>
      <c r="O205" s="2"/>
      <c r="P205" s="2"/>
      <c r="Q205" s="2"/>
      <c r="R205" s="2"/>
      <c r="S205" s="2"/>
      <c r="T205" s="2"/>
      <c r="U205" s="2"/>
      <c r="V205" s="2"/>
      <c r="W205" s="2"/>
      <c r="X205" s="2"/>
      <c r="Y205" s="2"/>
      <c r="Z205" s="2"/>
      <c r="AA205" s="2"/>
      <c r="AB205" s="2"/>
      <c r="AC205" s="2"/>
      <c r="AD205" s="2"/>
      <c r="AE205" s="2"/>
    </row>
    <row r="206" spans="2:31" ht="16" x14ac:dyDescent="0.2">
      <c r="B206" s="2" t="e">
        <f>VLOOKUP(A206,[1]TRATAMIENTI!$A:$B,2,FALSE)</f>
        <v>#N/A</v>
      </c>
      <c r="G206" s="2" t="str">
        <f t="shared" si="3"/>
        <v>NO</v>
      </c>
      <c r="J206" s="2"/>
      <c r="K206" s="2"/>
      <c r="L206" s="2"/>
      <c r="M206" s="2"/>
      <c r="N206" s="2"/>
      <c r="O206" s="2"/>
      <c r="P206" s="2"/>
      <c r="Q206" s="2"/>
      <c r="R206" s="2"/>
      <c r="S206" s="2"/>
      <c r="T206" s="2"/>
      <c r="U206" s="2"/>
      <c r="V206" s="2"/>
      <c r="W206" s="2"/>
      <c r="X206" s="2"/>
      <c r="Y206" s="2"/>
      <c r="Z206" s="2"/>
      <c r="AA206" s="2"/>
      <c r="AB206" s="2"/>
      <c r="AC206" s="2"/>
      <c r="AD206" s="2"/>
      <c r="AE206" s="2"/>
    </row>
    <row r="207" spans="2:31" ht="16" x14ac:dyDescent="0.2">
      <c r="B207" s="2" t="e">
        <f>VLOOKUP(A207,[1]TRATAMIENTI!$A:$B,2,FALSE)</f>
        <v>#N/A</v>
      </c>
      <c r="G207" s="2" t="str">
        <f t="shared" si="3"/>
        <v>NO</v>
      </c>
      <c r="J207" s="2"/>
      <c r="K207" s="2"/>
      <c r="L207" s="2"/>
      <c r="M207" s="2"/>
      <c r="N207" s="2"/>
      <c r="O207" s="2"/>
      <c r="P207" s="2"/>
      <c r="Q207" s="2"/>
      <c r="R207" s="2"/>
      <c r="S207" s="2"/>
      <c r="T207" s="2"/>
      <c r="U207" s="2"/>
      <c r="V207" s="2"/>
      <c r="W207" s="2"/>
      <c r="X207" s="2"/>
      <c r="Y207" s="2"/>
      <c r="Z207" s="2"/>
      <c r="AA207" s="2"/>
      <c r="AB207" s="2"/>
      <c r="AC207" s="2"/>
      <c r="AD207" s="2"/>
      <c r="AE207" s="2"/>
    </row>
    <row r="208" spans="2:31" ht="16" x14ac:dyDescent="0.2">
      <c r="B208" s="2" t="e">
        <f>VLOOKUP(A208,[1]TRATAMIENTI!$A:$B,2,FALSE)</f>
        <v>#N/A</v>
      </c>
      <c r="G208" s="2" t="str">
        <f t="shared" si="3"/>
        <v>NO</v>
      </c>
      <c r="J208" s="2"/>
      <c r="K208" s="2"/>
      <c r="L208" s="2"/>
      <c r="M208" s="2"/>
      <c r="N208" s="2"/>
      <c r="O208" s="2"/>
      <c r="P208" s="2"/>
      <c r="Q208" s="2"/>
      <c r="R208" s="2"/>
      <c r="S208" s="2"/>
      <c r="T208" s="2"/>
      <c r="U208" s="2"/>
      <c r="V208" s="2"/>
      <c r="W208" s="2"/>
      <c r="X208" s="2"/>
      <c r="Y208" s="2"/>
      <c r="Z208" s="2"/>
      <c r="AA208" s="2"/>
      <c r="AB208" s="2"/>
      <c r="AC208" s="2"/>
      <c r="AD208" s="2"/>
      <c r="AE208" s="2"/>
    </row>
    <row r="209" spans="2:31" ht="16" x14ac:dyDescent="0.2">
      <c r="B209" s="2" t="e">
        <f>VLOOKUP(A209,[1]TRATAMIENTI!$A:$B,2,FALSE)</f>
        <v>#N/A</v>
      </c>
      <c r="G209" s="2" t="str">
        <f t="shared" si="3"/>
        <v>NO</v>
      </c>
      <c r="J209" s="2"/>
      <c r="K209" s="2"/>
      <c r="L209" s="2"/>
      <c r="M209" s="2"/>
      <c r="N209" s="2"/>
      <c r="O209" s="2"/>
      <c r="P209" s="2"/>
      <c r="Q209" s="2"/>
      <c r="R209" s="2"/>
      <c r="S209" s="2"/>
      <c r="T209" s="2"/>
      <c r="U209" s="2"/>
      <c r="V209" s="2"/>
      <c r="W209" s="2"/>
      <c r="X209" s="2"/>
      <c r="Y209" s="2"/>
      <c r="Z209" s="2"/>
      <c r="AA209" s="2"/>
      <c r="AB209" s="2"/>
      <c r="AC209" s="2"/>
      <c r="AD209" s="2"/>
      <c r="AE209" s="2"/>
    </row>
    <row r="210" spans="2:31" ht="16" x14ac:dyDescent="0.2">
      <c r="B210" s="2" t="e">
        <f>VLOOKUP(A210,[1]TRATAMIENTI!$A:$B,2,FALSE)</f>
        <v>#N/A</v>
      </c>
      <c r="G210" s="2" t="str">
        <f t="shared" si="3"/>
        <v>NO</v>
      </c>
      <c r="J210" s="2"/>
      <c r="K210" s="2"/>
      <c r="L210" s="2"/>
      <c r="M210" s="2"/>
      <c r="N210" s="2"/>
      <c r="O210" s="2"/>
      <c r="P210" s="2"/>
      <c r="Q210" s="2"/>
      <c r="R210" s="2"/>
      <c r="S210" s="2"/>
      <c r="T210" s="2"/>
      <c r="U210" s="2"/>
      <c r="V210" s="2"/>
      <c r="W210" s="2"/>
      <c r="X210" s="2"/>
      <c r="Y210" s="2"/>
      <c r="Z210" s="2"/>
      <c r="AA210" s="2"/>
      <c r="AB210" s="2"/>
      <c r="AC210" s="2"/>
      <c r="AD210" s="2"/>
      <c r="AE210" s="2"/>
    </row>
    <row r="211" spans="2:31" ht="16" x14ac:dyDescent="0.2">
      <c r="B211" s="2" t="e">
        <f>VLOOKUP(A211,[1]TRATAMIENTI!$A:$B,2,FALSE)</f>
        <v>#N/A</v>
      </c>
      <c r="G211" s="2" t="str">
        <f t="shared" si="3"/>
        <v>NO</v>
      </c>
      <c r="J211" s="2"/>
      <c r="K211" s="2"/>
      <c r="L211" s="2"/>
      <c r="M211" s="2"/>
      <c r="N211" s="2"/>
      <c r="O211" s="2"/>
      <c r="P211" s="2"/>
      <c r="Q211" s="2"/>
      <c r="R211" s="2"/>
      <c r="S211" s="2"/>
      <c r="T211" s="2"/>
      <c r="U211" s="2"/>
      <c r="V211" s="2"/>
      <c r="W211" s="2"/>
      <c r="X211" s="2"/>
      <c r="Y211" s="2"/>
      <c r="Z211" s="2"/>
      <c r="AA211" s="2"/>
      <c r="AB211" s="2"/>
      <c r="AC211" s="2"/>
      <c r="AD211" s="2"/>
      <c r="AE211" s="2"/>
    </row>
    <row r="212" spans="2:31" ht="16" x14ac:dyDescent="0.2">
      <c r="B212" s="2" t="e">
        <f>VLOOKUP(A212,[1]TRATAMIENTI!$A:$B,2,FALSE)</f>
        <v>#N/A</v>
      </c>
      <c r="G212" s="2" t="str">
        <f t="shared" si="3"/>
        <v>NO</v>
      </c>
      <c r="J212" s="2"/>
      <c r="K212" s="2"/>
      <c r="L212" s="2"/>
      <c r="M212" s="2"/>
      <c r="N212" s="2"/>
      <c r="O212" s="2"/>
      <c r="P212" s="2"/>
      <c r="Q212" s="2"/>
      <c r="R212" s="2"/>
      <c r="S212" s="2"/>
      <c r="T212" s="2"/>
      <c r="U212" s="2"/>
      <c r="V212" s="2"/>
      <c r="W212" s="2"/>
      <c r="X212" s="2"/>
      <c r="Y212" s="2"/>
      <c r="Z212" s="2"/>
      <c r="AA212" s="2"/>
      <c r="AB212" s="2"/>
      <c r="AC212" s="2"/>
      <c r="AD212" s="2"/>
      <c r="AE212" s="2"/>
    </row>
    <row r="213" spans="2:31" ht="16" x14ac:dyDescent="0.2">
      <c r="B213" s="2" t="e">
        <f>VLOOKUP(A213,[1]TRATAMIENTI!$A:$B,2,FALSE)</f>
        <v>#N/A</v>
      </c>
      <c r="G213" s="2" t="str">
        <f t="shared" si="3"/>
        <v>NO</v>
      </c>
      <c r="J213" s="2"/>
      <c r="K213" s="2"/>
      <c r="L213" s="2"/>
      <c r="M213" s="2"/>
      <c r="N213" s="2"/>
      <c r="O213" s="2"/>
      <c r="P213" s="2"/>
      <c r="Q213" s="2"/>
      <c r="R213" s="2"/>
      <c r="S213" s="2"/>
      <c r="T213" s="2"/>
      <c r="U213" s="2"/>
      <c r="V213" s="2"/>
      <c r="W213" s="2"/>
      <c r="X213" s="2"/>
      <c r="Y213" s="2"/>
      <c r="Z213" s="2"/>
      <c r="AA213" s="2"/>
      <c r="AB213" s="2"/>
      <c r="AC213" s="2"/>
      <c r="AD213" s="2"/>
      <c r="AE213" s="2"/>
    </row>
    <row r="214" spans="2:31" ht="16" x14ac:dyDescent="0.2">
      <c r="B214" s="2" t="e">
        <f>VLOOKUP(A214,[1]TRATAMIENTI!$A:$B,2,FALSE)</f>
        <v>#N/A</v>
      </c>
      <c r="G214" s="2" t="str">
        <f t="shared" si="3"/>
        <v>NO</v>
      </c>
      <c r="J214" s="2"/>
      <c r="K214" s="2"/>
      <c r="L214" s="2"/>
      <c r="M214" s="2"/>
      <c r="N214" s="2"/>
      <c r="O214" s="2"/>
      <c r="P214" s="2"/>
      <c r="Q214" s="2"/>
      <c r="R214" s="2"/>
      <c r="S214" s="2"/>
      <c r="T214" s="2"/>
      <c r="U214" s="2"/>
      <c r="V214" s="2"/>
      <c r="W214" s="2"/>
      <c r="X214" s="2"/>
      <c r="Y214" s="2"/>
      <c r="Z214" s="2"/>
      <c r="AA214" s="2"/>
      <c r="AB214" s="2"/>
      <c r="AC214" s="2"/>
      <c r="AD214" s="2"/>
      <c r="AE214" s="2"/>
    </row>
    <row r="215" spans="2:31" ht="16" x14ac:dyDescent="0.2">
      <c r="B215" s="2" t="e">
        <f>VLOOKUP(A215,[1]TRATAMIENTI!$A:$B,2,FALSE)</f>
        <v>#N/A</v>
      </c>
      <c r="G215" s="2" t="str">
        <f t="shared" si="3"/>
        <v>NO</v>
      </c>
      <c r="J215" s="2"/>
      <c r="K215" s="2"/>
      <c r="L215" s="2"/>
      <c r="M215" s="2"/>
      <c r="N215" s="2"/>
      <c r="O215" s="2"/>
      <c r="P215" s="2"/>
      <c r="Q215" s="2"/>
      <c r="R215" s="2"/>
      <c r="S215" s="2"/>
      <c r="T215" s="2"/>
      <c r="U215" s="2"/>
      <c r="V215" s="2"/>
      <c r="W215" s="2"/>
      <c r="X215" s="2"/>
      <c r="Y215" s="2"/>
      <c r="Z215" s="2"/>
      <c r="AA215" s="2"/>
      <c r="AB215" s="2"/>
      <c r="AC215" s="2"/>
      <c r="AD215" s="2"/>
      <c r="AE215" s="2"/>
    </row>
    <row r="216" spans="2:31" ht="16" x14ac:dyDescent="0.2">
      <c r="B216" s="2" t="e">
        <f>VLOOKUP(A216,[1]TRATAMIENTI!$A:$B,2,FALSE)</f>
        <v>#N/A</v>
      </c>
      <c r="G216" s="2" t="str">
        <f t="shared" si="3"/>
        <v>NO</v>
      </c>
      <c r="J216" s="2"/>
      <c r="K216" s="2"/>
      <c r="L216" s="2"/>
      <c r="M216" s="2"/>
      <c r="N216" s="2"/>
      <c r="O216" s="2"/>
      <c r="P216" s="2"/>
      <c r="Q216" s="2"/>
      <c r="R216" s="2"/>
      <c r="S216" s="2"/>
      <c r="T216" s="2"/>
      <c r="U216" s="2"/>
      <c r="V216" s="2"/>
      <c r="W216" s="2"/>
      <c r="X216" s="2"/>
      <c r="Y216" s="2"/>
      <c r="Z216" s="2"/>
      <c r="AA216" s="2"/>
      <c r="AB216" s="2"/>
      <c r="AC216" s="2"/>
      <c r="AD216" s="2"/>
      <c r="AE216" s="2"/>
    </row>
    <row r="217" spans="2:31" ht="16" x14ac:dyDescent="0.2">
      <c r="B217" s="2" t="e">
        <f>VLOOKUP(A217,[1]TRATAMIENTI!$A:$B,2,FALSE)</f>
        <v>#N/A</v>
      </c>
      <c r="G217" s="2" t="str">
        <f t="shared" si="3"/>
        <v>NO</v>
      </c>
      <c r="J217" s="2"/>
      <c r="K217" s="2"/>
      <c r="L217" s="2"/>
      <c r="M217" s="2"/>
      <c r="N217" s="2"/>
      <c r="O217" s="2"/>
      <c r="P217" s="2"/>
      <c r="Q217" s="2"/>
      <c r="R217" s="2"/>
      <c r="S217" s="2"/>
      <c r="T217" s="2"/>
      <c r="U217" s="2"/>
      <c r="V217" s="2"/>
      <c r="W217" s="2"/>
      <c r="X217" s="2"/>
      <c r="Y217" s="2"/>
      <c r="Z217" s="2"/>
      <c r="AA217" s="2"/>
      <c r="AB217" s="2"/>
      <c r="AC217" s="2"/>
      <c r="AD217" s="2"/>
      <c r="AE217" s="2"/>
    </row>
    <row r="218" spans="2:31" ht="16" x14ac:dyDescent="0.2">
      <c r="B218" s="2" t="e">
        <f>VLOOKUP(A218,[1]TRATAMIENTI!$A:$B,2,FALSE)</f>
        <v>#N/A</v>
      </c>
      <c r="G218" s="2" t="str">
        <f t="shared" si="3"/>
        <v>NO</v>
      </c>
      <c r="J218" s="2"/>
      <c r="K218" s="2"/>
      <c r="L218" s="2"/>
      <c r="M218" s="2"/>
      <c r="N218" s="2"/>
      <c r="O218" s="2"/>
      <c r="P218" s="2"/>
      <c r="Q218" s="2"/>
      <c r="R218" s="2"/>
      <c r="S218" s="2"/>
      <c r="T218" s="2"/>
      <c r="U218" s="2"/>
      <c r="V218" s="2"/>
      <c r="W218" s="2"/>
      <c r="X218" s="2"/>
      <c r="Y218" s="2"/>
      <c r="Z218" s="2"/>
      <c r="AA218" s="2"/>
      <c r="AB218" s="2"/>
      <c r="AC218" s="2"/>
      <c r="AD218" s="2"/>
      <c r="AE218" s="2"/>
    </row>
    <row r="219" spans="2:31" ht="16" x14ac:dyDescent="0.2">
      <c r="B219" s="2" t="e">
        <f>VLOOKUP(A219,[1]TRATAMIENTI!$A:$B,2,FALSE)</f>
        <v>#N/A</v>
      </c>
      <c r="G219" s="2" t="str">
        <f t="shared" si="3"/>
        <v>NO</v>
      </c>
      <c r="J219" s="2"/>
      <c r="K219" s="2"/>
      <c r="L219" s="2"/>
      <c r="M219" s="2"/>
      <c r="N219" s="2"/>
      <c r="O219" s="2"/>
      <c r="P219" s="2"/>
      <c r="Q219" s="2"/>
      <c r="R219" s="2"/>
      <c r="S219" s="2"/>
      <c r="T219" s="2"/>
      <c r="U219" s="2"/>
      <c r="V219" s="2"/>
      <c r="W219" s="2"/>
      <c r="X219" s="2"/>
      <c r="Y219" s="2"/>
      <c r="Z219" s="2"/>
      <c r="AA219" s="2"/>
      <c r="AB219" s="2"/>
      <c r="AC219" s="2"/>
      <c r="AD219" s="2"/>
      <c r="AE219" s="2"/>
    </row>
    <row r="220" spans="2:31" ht="16" x14ac:dyDescent="0.2">
      <c r="B220" s="2" t="e">
        <f>VLOOKUP(A220,[1]TRATAMIENTI!$A:$B,2,FALSE)</f>
        <v>#N/A</v>
      </c>
      <c r="G220" s="2" t="str">
        <f t="shared" si="3"/>
        <v>NO</v>
      </c>
      <c r="J220" s="2"/>
      <c r="K220" s="2"/>
      <c r="L220" s="2"/>
      <c r="M220" s="2"/>
      <c r="N220" s="2"/>
      <c r="O220" s="2"/>
      <c r="P220" s="2"/>
      <c r="Q220" s="2"/>
      <c r="R220" s="2"/>
      <c r="S220" s="2"/>
      <c r="T220" s="2"/>
      <c r="U220" s="2"/>
      <c r="V220" s="2"/>
      <c r="W220" s="2"/>
      <c r="X220" s="2"/>
      <c r="Y220" s="2"/>
      <c r="Z220" s="2"/>
      <c r="AA220" s="2"/>
      <c r="AB220" s="2"/>
      <c r="AC220" s="2"/>
      <c r="AD220" s="2"/>
      <c r="AE220" s="2"/>
    </row>
    <row r="221" spans="2:31" ht="16" x14ac:dyDescent="0.2">
      <c r="B221" s="2" t="e">
        <f>VLOOKUP(A221,[1]TRATAMIENTI!$A:$B,2,FALSE)</f>
        <v>#N/A</v>
      </c>
      <c r="G221" s="2" t="str">
        <f t="shared" si="3"/>
        <v>NO</v>
      </c>
      <c r="J221" s="2"/>
      <c r="K221" s="2"/>
      <c r="L221" s="2"/>
      <c r="M221" s="2"/>
      <c r="N221" s="2"/>
      <c r="O221" s="2"/>
      <c r="P221" s="2"/>
      <c r="Q221" s="2"/>
      <c r="R221" s="2"/>
      <c r="S221" s="2"/>
      <c r="T221" s="2"/>
      <c r="U221" s="2"/>
      <c r="V221" s="2"/>
      <c r="W221" s="2"/>
      <c r="X221" s="2"/>
      <c r="Y221" s="2"/>
      <c r="Z221" s="2"/>
      <c r="AA221" s="2"/>
      <c r="AB221" s="2"/>
      <c r="AC221" s="2"/>
      <c r="AD221" s="2"/>
      <c r="AE221" s="2"/>
    </row>
    <row r="222" spans="2:31" ht="16" x14ac:dyDescent="0.2">
      <c r="B222" s="2" t="e">
        <f>VLOOKUP(A222,[1]TRATAMIENTI!$A:$B,2,FALSE)</f>
        <v>#N/A</v>
      </c>
      <c r="G222" s="2" t="str">
        <f t="shared" si="3"/>
        <v>NO</v>
      </c>
      <c r="J222" s="2"/>
      <c r="K222" s="2"/>
      <c r="L222" s="2"/>
      <c r="M222" s="2"/>
      <c r="N222" s="2"/>
      <c r="O222" s="2"/>
      <c r="P222" s="2"/>
      <c r="Q222" s="2"/>
      <c r="R222" s="2"/>
      <c r="S222" s="2"/>
      <c r="T222" s="2"/>
      <c r="U222" s="2"/>
      <c r="V222" s="2"/>
      <c r="W222" s="2"/>
      <c r="X222" s="2"/>
      <c r="Y222" s="2"/>
      <c r="Z222" s="2"/>
      <c r="AA222" s="2"/>
      <c r="AB222" s="2"/>
      <c r="AC222" s="2"/>
      <c r="AD222" s="2"/>
      <c r="AE222" s="2"/>
    </row>
    <row r="223" spans="2:31" ht="16" x14ac:dyDescent="0.2">
      <c r="B223" s="2" t="e">
        <f>VLOOKUP(A223,[1]TRATAMIENTI!$A:$B,2,FALSE)</f>
        <v>#N/A</v>
      </c>
      <c r="G223" s="2" t="str">
        <f t="shared" si="3"/>
        <v>NO</v>
      </c>
      <c r="J223" s="2"/>
      <c r="K223" s="2"/>
      <c r="L223" s="2"/>
      <c r="M223" s="2"/>
      <c r="N223" s="2"/>
      <c r="O223" s="2"/>
      <c r="P223" s="2"/>
      <c r="Q223" s="2"/>
      <c r="R223" s="2"/>
      <c r="S223" s="2"/>
      <c r="T223" s="2"/>
      <c r="U223" s="2"/>
      <c r="V223" s="2"/>
      <c r="W223" s="2"/>
      <c r="X223" s="2"/>
      <c r="Y223" s="2"/>
      <c r="Z223" s="2"/>
      <c r="AA223" s="2"/>
      <c r="AB223" s="2"/>
      <c r="AC223" s="2"/>
      <c r="AD223" s="2"/>
      <c r="AE223" s="2"/>
    </row>
    <row r="224" spans="2:31" ht="16" x14ac:dyDescent="0.2">
      <c r="B224" s="2" t="e">
        <f>VLOOKUP(A224,[1]TRATAMIENTI!$A:$B,2,FALSE)</f>
        <v>#N/A</v>
      </c>
      <c r="G224" s="2" t="str">
        <f t="shared" si="3"/>
        <v>NO</v>
      </c>
      <c r="J224" s="2"/>
      <c r="K224" s="2"/>
      <c r="L224" s="2"/>
      <c r="M224" s="2"/>
      <c r="N224" s="2"/>
      <c r="O224" s="2"/>
      <c r="P224" s="2"/>
      <c r="Q224" s="2"/>
      <c r="R224" s="2"/>
      <c r="S224" s="2"/>
      <c r="T224" s="2"/>
      <c r="U224" s="2"/>
      <c r="V224" s="2"/>
      <c r="W224" s="2"/>
      <c r="X224" s="2"/>
      <c r="Y224" s="2"/>
      <c r="Z224" s="2"/>
      <c r="AA224" s="2"/>
      <c r="AB224" s="2"/>
      <c r="AC224" s="2"/>
      <c r="AD224" s="2"/>
      <c r="AE224" s="2"/>
    </row>
    <row r="225" spans="2:31" ht="16" x14ac:dyDescent="0.2">
      <c r="B225" s="2" t="e">
        <f>VLOOKUP(A225,[1]TRATAMIENTI!$A:$B,2,FALSE)</f>
        <v>#N/A</v>
      </c>
      <c r="G225" s="2" t="str">
        <f t="shared" si="3"/>
        <v>NO</v>
      </c>
      <c r="J225" s="2"/>
      <c r="K225" s="2"/>
      <c r="L225" s="2"/>
      <c r="M225" s="2"/>
      <c r="N225" s="2"/>
      <c r="O225" s="2"/>
      <c r="P225" s="2"/>
      <c r="Q225" s="2"/>
      <c r="R225" s="2"/>
      <c r="S225" s="2"/>
      <c r="T225" s="2"/>
      <c r="U225" s="2"/>
      <c r="V225" s="2"/>
      <c r="W225" s="2"/>
      <c r="X225" s="2"/>
      <c r="Y225" s="2"/>
      <c r="Z225" s="2"/>
      <c r="AA225" s="2"/>
      <c r="AB225" s="2"/>
      <c r="AC225" s="2"/>
      <c r="AD225" s="2"/>
      <c r="AE225" s="2"/>
    </row>
    <row r="226" spans="2:31" ht="16" x14ac:dyDescent="0.2">
      <c r="B226" s="2" t="e">
        <f>VLOOKUP(A226,[1]TRATAMIENTI!$A:$B,2,FALSE)</f>
        <v>#N/A</v>
      </c>
      <c r="G226" s="2" t="str">
        <f t="shared" si="3"/>
        <v>NO</v>
      </c>
      <c r="J226" s="2"/>
      <c r="K226" s="2"/>
      <c r="L226" s="2"/>
      <c r="M226" s="2"/>
      <c r="N226" s="2"/>
      <c r="O226" s="2"/>
      <c r="P226" s="2"/>
      <c r="Q226" s="2"/>
      <c r="R226" s="2"/>
      <c r="S226" s="2"/>
      <c r="T226" s="2"/>
      <c r="U226" s="2"/>
      <c r="V226" s="2"/>
      <c r="W226" s="2"/>
      <c r="X226" s="2"/>
      <c r="Y226" s="2"/>
      <c r="Z226" s="2"/>
      <c r="AA226" s="2"/>
      <c r="AB226" s="2"/>
      <c r="AC226" s="2"/>
      <c r="AD226" s="2"/>
      <c r="AE226" s="2"/>
    </row>
    <row r="227" spans="2:31" ht="16" x14ac:dyDescent="0.2">
      <c r="B227" s="2" t="e">
        <f>VLOOKUP(A227,[1]TRATAMIENTI!$A:$B,2,FALSE)</f>
        <v>#N/A</v>
      </c>
      <c r="G227" s="2" t="str">
        <f t="shared" si="3"/>
        <v>NO</v>
      </c>
      <c r="J227" s="2"/>
      <c r="K227" s="2"/>
      <c r="L227" s="2"/>
      <c r="M227" s="2"/>
      <c r="N227" s="2"/>
      <c r="O227" s="2"/>
      <c r="P227" s="2"/>
      <c r="Q227" s="2"/>
      <c r="R227" s="2"/>
      <c r="S227" s="2"/>
      <c r="T227" s="2"/>
      <c r="U227" s="2"/>
      <c r="V227" s="2"/>
      <c r="W227" s="2"/>
      <c r="X227" s="2"/>
      <c r="Y227" s="2"/>
      <c r="Z227" s="2"/>
      <c r="AA227" s="2"/>
      <c r="AB227" s="2"/>
      <c r="AC227" s="2"/>
      <c r="AD227" s="2"/>
      <c r="AE227" s="2"/>
    </row>
    <row r="228" spans="2:31" ht="16" x14ac:dyDescent="0.2">
      <c r="B228" s="2" t="e">
        <f>VLOOKUP(A228,[1]TRATAMIENTI!$A:$B,2,FALSE)</f>
        <v>#N/A</v>
      </c>
      <c r="G228" s="2" t="str">
        <f t="shared" si="3"/>
        <v>NO</v>
      </c>
      <c r="J228" s="2"/>
      <c r="K228" s="2"/>
      <c r="L228" s="2"/>
      <c r="M228" s="2"/>
      <c r="N228" s="2"/>
      <c r="O228" s="2"/>
      <c r="P228" s="2"/>
      <c r="Q228" s="2"/>
      <c r="R228" s="2"/>
      <c r="S228" s="2"/>
      <c r="T228" s="2"/>
      <c r="U228" s="2"/>
      <c r="V228" s="2"/>
      <c r="W228" s="2"/>
      <c r="X228" s="2"/>
      <c r="Y228" s="2"/>
      <c r="Z228" s="2"/>
      <c r="AA228" s="2"/>
      <c r="AB228" s="2"/>
      <c r="AC228" s="2"/>
      <c r="AD228" s="2"/>
      <c r="AE228" s="2"/>
    </row>
    <row r="229" spans="2:31" ht="16" x14ac:dyDescent="0.2">
      <c r="B229" s="2" t="e">
        <f>VLOOKUP(A229,[1]TRATAMIENTI!$A:$B,2,FALSE)</f>
        <v>#N/A</v>
      </c>
      <c r="G229" s="2" t="str">
        <f t="shared" si="3"/>
        <v>NO</v>
      </c>
      <c r="J229" s="2"/>
      <c r="K229" s="2"/>
      <c r="L229" s="2"/>
      <c r="M229" s="2"/>
      <c r="N229" s="2"/>
      <c r="O229" s="2"/>
      <c r="P229" s="2"/>
      <c r="Q229" s="2"/>
      <c r="R229" s="2"/>
      <c r="S229" s="2"/>
      <c r="T229" s="2"/>
      <c r="U229" s="2"/>
      <c r="V229" s="2"/>
      <c r="W229" s="2"/>
      <c r="X229" s="2"/>
      <c r="Y229" s="2"/>
      <c r="Z229" s="2"/>
      <c r="AA229" s="2"/>
      <c r="AB229" s="2"/>
      <c r="AC229" s="2"/>
      <c r="AD229" s="2"/>
      <c r="AE229" s="2"/>
    </row>
    <row r="230" spans="2:31" ht="16" x14ac:dyDescent="0.2">
      <c r="B230" s="2" t="e">
        <f>VLOOKUP(A230,[1]TRATAMIENTI!$A:$B,2,FALSE)</f>
        <v>#N/A</v>
      </c>
      <c r="G230" s="2" t="str">
        <f t="shared" si="3"/>
        <v>NO</v>
      </c>
      <c r="J230" s="2"/>
      <c r="K230" s="2"/>
      <c r="L230" s="2"/>
      <c r="M230" s="2"/>
      <c r="N230" s="2"/>
      <c r="O230" s="2"/>
      <c r="P230" s="2"/>
      <c r="Q230" s="2"/>
      <c r="R230" s="2"/>
      <c r="S230" s="2"/>
      <c r="T230" s="2"/>
      <c r="U230" s="2"/>
      <c r="V230" s="2"/>
      <c r="W230" s="2"/>
      <c r="X230" s="2"/>
      <c r="Y230" s="2"/>
      <c r="Z230" s="2"/>
      <c r="AA230" s="2"/>
      <c r="AB230" s="2"/>
      <c r="AC230" s="2"/>
      <c r="AD230" s="2"/>
      <c r="AE230" s="2"/>
    </row>
    <row r="231" spans="2:31" ht="16" x14ac:dyDescent="0.2">
      <c r="B231" s="2" t="e">
        <f>VLOOKUP(A231,[1]TRATAMIENTI!$A:$B,2,FALSE)</f>
        <v>#N/A</v>
      </c>
      <c r="G231" s="2" t="str">
        <f t="shared" si="3"/>
        <v>NO</v>
      </c>
      <c r="J231" s="2"/>
      <c r="K231" s="2"/>
      <c r="L231" s="2"/>
      <c r="M231" s="2"/>
      <c r="N231" s="2"/>
      <c r="O231" s="2"/>
      <c r="P231" s="2"/>
      <c r="Q231" s="2"/>
      <c r="R231" s="2"/>
      <c r="S231" s="2"/>
      <c r="T231" s="2"/>
      <c r="U231" s="2"/>
      <c r="V231" s="2"/>
      <c r="W231" s="2"/>
      <c r="X231" s="2"/>
      <c r="Y231" s="2"/>
      <c r="Z231" s="2"/>
      <c r="AA231" s="2"/>
      <c r="AB231" s="2"/>
      <c r="AC231" s="2"/>
      <c r="AD231" s="2"/>
      <c r="AE231" s="2"/>
    </row>
    <row r="232" spans="2:31" ht="16" x14ac:dyDescent="0.2">
      <c r="B232" s="2" t="e">
        <f>VLOOKUP(A232,[1]TRATAMIENTI!$A:$B,2,FALSE)</f>
        <v>#N/A</v>
      </c>
      <c r="G232" s="2" t="str">
        <f t="shared" si="3"/>
        <v>NO</v>
      </c>
      <c r="J232" s="2"/>
      <c r="K232" s="2"/>
      <c r="L232" s="2"/>
      <c r="M232" s="2"/>
      <c r="N232" s="2"/>
      <c r="O232" s="2"/>
      <c r="P232" s="2"/>
      <c r="Q232" s="2"/>
      <c r="R232" s="2"/>
      <c r="S232" s="2"/>
      <c r="T232" s="2"/>
      <c r="U232" s="2"/>
      <c r="V232" s="2"/>
      <c r="W232" s="2"/>
      <c r="X232" s="2"/>
      <c r="Y232" s="2"/>
      <c r="Z232" s="2"/>
      <c r="AA232" s="2"/>
      <c r="AB232" s="2"/>
      <c r="AC232" s="2"/>
      <c r="AD232" s="2"/>
      <c r="AE232" s="2"/>
    </row>
    <row r="233" spans="2:31" ht="16" x14ac:dyDescent="0.2">
      <c r="B233" s="2" t="e">
        <f>VLOOKUP(A233,[1]TRATAMIENTI!$A:$B,2,FALSE)</f>
        <v>#N/A</v>
      </c>
      <c r="G233" s="2" t="str">
        <f t="shared" si="3"/>
        <v>NO</v>
      </c>
      <c r="J233" s="2"/>
      <c r="K233" s="2"/>
      <c r="L233" s="2"/>
      <c r="M233" s="2"/>
      <c r="N233" s="2"/>
      <c r="O233" s="2"/>
      <c r="P233" s="2"/>
      <c r="Q233" s="2"/>
      <c r="R233" s="2"/>
      <c r="S233" s="2"/>
      <c r="T233" s="2"/>
      <c r="U233" s="2"/>
      <c r="V233" s="2"/>
      <c r="W233" s="2"/>
      <c r="X233" s="2"/>
      <c r="Y233" s="2"/>
      <c r="Z233" s="2"/>
      <c r="AA233" s="2"/>
      <c r="AB233" s="2"/>
      <c r="AC233" s="2"/>
      <c r="AD233" s="2"/>
      <c r="AE233" s="2"/>
    </row>
    <row r="234" spans="2:31" ht="16" x14ac:dyDescent="0.2">
      <c r="B234" s="2" t="e">
        <f>VLOOKUP(A234,[1]TRATAMIENTI!$A:$B,2,FALSE)</f>
        <v>#N/A</v>
      </c>
      <c r="G234" s="2" t="str">
        <f t="shared" si="3"/>
        <v>NO</v>
      </c>
      <c r="J234" s="2"/>
      <c r="K234" s="2"/>
      <c r="L234" s="2"/>
      <c r="M234" s="2"/>
      <c r="N234" s="2"/>
      <c r="O234" s="2"/>
      <c r="P234" s="2"/>
      <c r="Q234" s="2"/>
      <c r="R234" s="2"/>
      <c r="S234" s="2"/>
      <c r="T234" s="2"/>
      <c r="U234" s="2"/>
      <c r="V234" s="2"/>
      <c r="W234" s="2"/>
      <c r="X234" s="2"/>
      <c r="Y234" s="2"/>
      <c r="Z234" s="2"/>
      <c r="AA234" s="2"/>
      <c r="AB234" s="2"/>
      <c r="AC234" s="2"/>
      <c r="AD234" s="2"/>
      <c r="AE234" s="2"/>
    </row>
    <row r="235" spans="2:31" ht="16" x14ac:dyDescent="0.2">
      <c r="B235" s="2" t="e">
        <f>VLOOKUP(A235,[1]TRATAMIENTI!$A:$B,2,FALSE)</f>
        <v>#N/A</v>
      </c>
      <c r="G235" s="2" t="str">
        <f t="shared" si="3"/>
        <v>NO</v>
      </c>
      <c r="J235" s="2"/>
      <c r="K235" s="2"/>
      <c r="L235" s="2"/>
      <c r="M235" s="2"/>
      <c r="N235" s="2"/>
      <c r="O235" s="2"/>
      <c r="P235" s="2"/>
      <c r="Q235" s="2"/>
      <c r="R235" s="2"/>
      <c r="S235" s="2"/>
      <c r="T235" s="2"/>
      <c r="U235" s="2"/>
      <c r="V235" s="2"/>
      <c r="W235" s="2"/>
      <c r="X235" s="2"/>
      <c r="Y235" s="2"/>
      <c r="Z235" s="2"/>
      <c r="AA235" s="2"/>
      <c r="AB235" s="2"/>
      <c r="AC235" s="2"/>
      <c r="AD235" s="2"/>
      <c r="AE235" s="2"/>
    </row>
    <row r="236" spans="2:31" ht="16" x14ac:dyDescent="0.2">
      <c r="B236" s="2" t="e">
        <f>VLOOKUP(A236,[1]TRATAMIENTI!$A:$B,2,FALSE)</f>
        <v>#N/A</v>
      </c>
      <c r="G236" s="2" t="str">
        <f t="shared" si="3"/>
        <v>NO</v>
      </c>
      <c r="J236" s="2"/>
      <c r="K236" s="2"/>
      <c r="L236" s="2"/>
      <c r="M236" s="2"/>
      <c r="N236" s="2"/>
      <c r="O236" s="2"/>
      <c r="P236" s="2"/>
      <c r="Q236" s="2"/>
      <c r="R236" s="2"/>
      <c r="S236" s="2"/>
      <c r="T236" s="2"/>
      <c r="U236" s="2"/>
      <c r="V236" s="2"/>
      <c r="W236" s="2"/>
      <c r="X236" s="2"/>
      <c r="Y236" s="2"/>
      <c r="Z236" s="2"/>
      <c r="AA236" s="2"/>
      <c r="AB236" s="2"/>
      <c r="AC236" s="2"/>
      <c r="AD236" s="2"/>
      <c r="AE236" s="2"/>
    </row>
    <row r="237" spans="2:31" ht="16" x14ac:dyDescent="0.2">
      <c r="B237" s="2" t="e">
        <f>VLOOKUP(A237,[1]TRATAMIENTI!$A:$B,2,FALSE)</f>
        <v>#N/A</v>
      </c>
      <c r="G237" s="2" t="str">
        <f t="shared" si="3"/>
        <v>NO</v>
      </c>
      <c r="J237" s="2"/>
      <c r="K237" s="2"/>
      <c r="L237" s="2"/>
      <c r="M237" s="2"/>
      <c r="N237" s="2"/>
      <c r="O237" s="2"/>
      <c r="P237" s="2"/>
      <c r="Q237" s="2"/>
      <c r="R237" s="2"/>
      <c r="S237" s="2"/>
      <c r="T237" s="2"/>
      <c r="U237" s="2"/>
      <c r="V237" s="2"/>
      <c r="W237" s="2"/>
      <c r="X237" s="2"/>
      <c r="Y237" s="2"/>
      <c r="Z237" s="2"/>
      <c r="AA237" s="2"/>
      <c r="AB237" s="2"/>
      <c r="AC237" s="2"/>
      <c r="AD237" s="2"/>
      <c r="AE237" s="2"/>
    </row>
    <row r="238" spans="2:31" ht="16" x14ac:dyDescent="0.2">
      <c r="B238" s="2" t="e">
        <f>VLOOKUP(A238,[1]TRATAMIENTI!$A:$B,2,FALSE)</f>
        <v>#N/A</v>
      </c>
      <c r="G238" s="2" t="str">
        <f t="shared" si="3"/>
        <v>NO</v>
      </c>
      <c r="J238" s="2"/>
      <c r="K238" s="2"/>
      <c r="L238" s="2"/>
      <c r="M238" s="2"/>
      <c r="N238" s="2"/>
      <c r="O238" s="2"/>
      <c r="P238" s="2"/>
      <c r="Q238" s="2"/>
      <c r="R238" s="2"/>
      <c r="S238" s="2"/>
      <c r="T238" s="2"/>
      <c r="U238" s="2"/>
      <c r="V238" s="2"/>
      <c r="W238" s="2"/>
      <c r="X238" s="2"/>
      <c r="Y238" s="2"/>
      <c r="Z238" s="2"/>
      <c r="AA238" s="2"/>
      <c r="AB238" s="2"/>
      <c r="AC238" s="2"/>
      <c r="AD238" s="2"/>
      <c r="AE238" s="2"/>
    </row>
    <row r="239" spans="2:31" ht="16" x14ac:dyDescent="0.2">
      <c r="B239" s="2" t="e">
        <f>VLOOKUP(A239,[1]TRATAMIENTI!$A:$B,2,FALSE)</f>
        <v>#N/A</v>
      </c>
      <c r="G239" s="2" t="str">
        <f t="shared" si="3"/>
        <v>NO</v>
      </c>
      <c r="J239" s="2"/>
      <c r="K239" s="2"/>
      <c r="L239" s="2"/>
      <c r="M239" s="2"/>
      <c r="N239" s="2"/>
      <c r="O239" s="2"/>
      <c r="P239" s="2"/>
      <c r="Q239" s="2"/>
      <c r="R239" s="2"/>
      <c r="S239" s="2"/>
      <c r="T239" s="2"/>
      <c r="U239" s="2"/>
      <c r="V239" s="2"/>
      <c r="W239" s="2"/>
      <c r="X239" s="2"/>
      <c r="Y239" s="2"/>
      <c r="Z239" s="2"/>
      <c r="AA239" s="2"/>
      <c r="AB239" s="2"/>
      <c r="AC239" s="2"/>
      <c r="AD239" s="2"/>
      <c r="AE239" s="2"/>
    </row>
    <row r="240" spans="2:31" ht="16" x14ac:dyDescent="0.2">
      <c r="B240" s="2" t="e">
        <f>VLOOKUP(A240,[1]TRATAMIENTI!$A:$B,2,FALSE)</f>
        <v>#N/A</v>
      </c>
      <c r="G240" s="2" t="str">
        <f t="shared" si="3"/>
        <v>NO</v>
      </c>
      <c r="J240" s="2"/>
      <c r="K240" s="2"/>
      <c r="L240" s="2"/>
      <c r="M240" s="2"/>
      <c r="N240" s="2"/>
      <c r="O240" s="2"/>
      <c r="P240" s="2"/>
      <c r="Q240" s="2"/>
      <c r="R240" s="2"/>
      <c r="S240" s="2"/>
      <c r="T240" s="2"/>
      <c r="U240" s="2"/>
      <c r="V240" s="2"/>
      <c r="W240" s="2"/>
      <c r="X240" s="2"/>
      <c r="Y240" s="2"/>
      <c r="Z240" s="2"/>
      <c r="AA240" s="2"/>
      <c r="AB240" s="2"/>
      <c r="AC240" s="2"/>
      <c r="AD240" s="2"/>
      <c r="AE240" s="2"/>
    </row>
    <row r="241" spans="2:31" ht="16" x14ac:dyDescent="0.2">
      <c r="B241" s="2" t="e">
        <f>VLOOKUP(A241,[1]TRATAMIENTI!$A:$B,2,FALSE)</f>
        <v>#N/A</v>
      </c>
      <c r="G241" s="2" t="str">
        <f t="shared" si="3"/>
        <v>NO</v>
      </c>
      <c r="J241" s="2"/>
      <c r="K241" s="2"/>
      <c r="L241" s="2"/>
      <c r="M241" s="2"/>
      <c r="N241" s="2"/>
      <c r="O241" s="2"/>
      <c r="P241" s="2"/>
      <c r="Q241" s="2"/>
      <c r="R241" s="2"/>
      <c r="S241" s="2"/>
      <c r="T241" s="2"/>
      <c r="U241" s="2"/>
      <c r="V241" s="2"/>
      <c r="W241" s="2"/>
      <c r="X241" s="2"/>
      <c r="Y241" s="2"/>
      <c r="Z241" s="2"/>
      <c r="AA241" s="2"/>
      <c r="AB241" s="2"/>
      <c r="AC241" s="2"/>
      <c r="AD241" s="2"/>
      <c r="AE241" s="2"/>
    </row>
    <row r="242" spans="2:31" ht="16" x14ac:dyDescent="0.2">
      <c r="B242" s="2" t="e">
        <f>VLOOKUP(A242,[1]TRATAMIENTI!$A:$B,2,FALSE)</f>
        <v>#N/A</v>
      </c>
      <c r="G242" s="2" t="str">
        <f t="shared" si="3"/>
        <v>NO</v>
      </c>
      <c r="J242" s="2"/>
      <c r="K242" s="2"/>
      <c r="L242" s="2"/>
      <c r="M242" s="2"/>
      <c r="N242" s="2"/>
      <c r="O242" s="2"/>
      <c r="P242" s="2"/>
      <c r="Q242" s="2"/>
      <c r="R242" s="2"/>
      <c r="S242" s="2"/>
      <c r="T242" s="2"/>
      <c r="U242" s="2"/>
      <c r="V242" s="2"/>
      <c r="W242" s="2"/>
      <c r="X242" s="2"/>
      <c r="Y242" s="2"/>
      <c r="Z242" s="2"/>
      <c r="AA242" s="2"/>
      <c r="AB242" s="2"/>
      <c r="AC242" s="2"/>
      <c r="AD242" s="2"/>
      <c r="AE242" s="2"/>
    </row>
    <row r="243" spans="2:31" ht="16" x14ac:dyDescent="0.2">
      <c r="B243" s="2" t="e">
        <f>VLOOKUP(A243,[1]TRATAMIENTI!$A:$B,2,FALSE)</f>
        <v>#N/A</v>
      </c>
      <c r="G243" s="2" t="str">
        <f t="shared" si="3"/>
        <v>NO</v>
      </c>
      <c r="J243" s="2"/>
      <c r="K243" s="2"/>
      <c r="L243" s="2"/>
      <c r="M243" s="2"/>
      <c r="N243" s="2"/>
      <c r="O243" s="2"/>
      <c r="P243" s="2"/>
      <c r="Q243" s="2"/>
      <c r="R243" s="2"/>
      <c r="S243" s="2"/>
      <c r="T243" s="2"/>
      <c r="U243" s="2"/>
      <c r="V243" s="2"/>
      <c r="W243" s="2"/>
      <c r="X243" s="2"/>
      <c r="Y243" s="2"/>
      <c r="Z243" s="2"/>
      <c r="AA243" s="2"/>
      <c r="AB243" s="2"/>
      <c r="AC243" s="2"/>
      <c r="AD243" s="2"/>
      <c r="AE243" s="2"/>
    </row>
    <row r="244" spans="2:31" ht="16" x14ac:dyDescent="0.2">
      <c r="B244" s="2" t="e">
        <f>VLOOKUP(A244,[1]TRATAMIENTI!$A:$B,2,FALSE)</f>
        <v>#N/A</v>
      </c>
      <c r="G244" s="2" t="str">
        <f t="shared" si="3"/>
        <v>NO</v>
      </c>
      <c r="J244" s="2"/>
      <c r="K244" s="2"/>
      <c r="L244" s="2"/>
      <c r="M244" s="2"/>
      <c r="N244" s="2"/>
      <c r="O244" s="2"/>
      <c r="P244" s="2"/>
      <c r="Q244" s="2"/>
      <c r="R244" s="2"/>
      <c r="S244" s="2"/>
      <c r="T244" s="2"/>
      <c r="U244" s="2"/>
      <c r="V244" s="2"/>
      <c r="W244" s="2"/>
      <c r="X244" s="2"/>
      <c r="Y244" s="2"/>
      <c r="Z244" s="2"/>
      <c r="AA244" s="2"/>
      <c r="AB244" s="2"/>
      <c r="AC244" s="2"/>
      <c r="AD244" s="2"/>
      <c r="AE244" s="2"/>
    </row>
    <row r="245" spans="2:31" ht="16" x14ac:dyDescent="0.2">
      <c r="B245" s="2" t="e">
        <f>VLOOKUP(A245,[1]TRATAMIENTI!$A:$B,2,FALSE)</f>
        <v>#N/A</v>
      </c>
      <c r="G245" s="2" t="str">
        <f t="shared" si="3"/>
        <v>NO</v>
      </c>
      <c r="J245" s="2"/>
      <c r="K245" s="2"/>
      <c r="L245" s="2"/>
      <c r="M245" s="2"/>
      <c r="N245" s="2"/>
      <c r="O245" s="2"/>
      <c r="P245" s="2"/>
      <c r="Q245" s="2"/>
      <c r="R245" s="2"/>
      <c r="S245" s="2"/>
      <c r="T245" s="2"/>
      <c r="U245" s="2"/>
      <c r="V245" s="2"/>
      <c r="W245" s="2"/>
      <c r="X245" s="2"/>
      <c r="Y245" s="2"/>
      <c r="Z245" s="2"/>
      <c r="AA245" s="2"/>
      <c r="AB245" s="2"/>
      <c r="AC245" s="2"/>
      <c r="AD245" s="2"/>
      <c r="AE245" s="2"/>
    </row>
    <row r="246" spans="2:31" ht="16" x14ac:dyDescent="0.2">
      <c r="B246" s="2" t="e">
        <f>VLOOKUP(A246,[1]TRATAMIENTI!$A:$B,2,FALSE)</f>
        <v>#N/A</v>
      </c>
      <c r="G246" s="2" t="str">
        <f t="shared" si="3"/>
        <v>NO</v>
      </c>
      <c r="J246" s="2"/>
      <c r="K246" s="2"/>
      <c r="L246" s="2"/>
      <c r="M246" s="2"/>
      <c r="N246" s="2"/>
      <c r="O246" s="2"/>
      <c r="P246" s="2"/>
      <c r="Q246" s="2"/>
      <c r="R246" s="2"/>
      <c r="S246" s="2"/>
      <c r="T246" s="2"/>
      <c r="U246" s="2"/>
      <c r="V246" s="2"/>
      <c r="W246" s="2"/>
      <c r="X246" s="2"/>
      <c r="Y246" s="2"/>
      <c r="Z246" s="2"/>
      <c r="AA246" s="2"/>
      <c r="AB246" s="2"/>
      <c r="AC246" s="2"/>
      <c r="AD246" s="2"/>
      <c r="AE246" s="2"/>
    </row>
    <row r="247" spans="2:31" ht="16" x14ac:dyDescent="0.2">
      <c r="B247" s="2" t="e">
        <f>VLOOKUP(A247,[1]TRATAMIENTI!$A:$B,2,FALSE)</f>
        <v>#N/A</v>
      </c>
      <c r="G247" s="2" t="str">
        <f t="shared" si="3"/>
        <v>NO</v>
      </c>
      <c r="J247" s="2"/>
      <c r="K247" s="2"/>
      <c r="L247" s="2"/>
      <c r="M247" s="2"/>
      <c r="N247" s="2"/>
      <c r="O247" s="2"/>
      <c r="P247" s="2"/>
      <c r="Q247" s="2"/>
      <c r="R247" s="2"/>
      <c r="S247" s="2"/>
      <c r="T247" s="2"/>
      <c r="U247" s="2"/>
      <c r="V247" s="2"/>
      <c r="W247" s="2"/>
      <c r="X247" s="2"/>
      <c r="Y247" s="2"/>
      <c r="Z247" s="2"/>
      <c r="AA247" s="2"/>
      <c r="AB247" s="2"/>
      <c r="AC247" s="2"/>
      <c r="AD247" s="2"/>
      <c r="AE247" s="2"/>
    </row>
    <row r="248" spans="2:31" ht="16" x14ac:dyDescent="0.2">
      <c r="B248" s="2" t="e">
        <f>VLOOKUP(A248,[1]TRATAMIENTI!$A:$B,2,FALSE)</f>
        <v>#N/A</v>
      </c>
      <c r="G248" s="2" t="str">
        <f t="shared" si="3"/>
        <v>NO</v>
      </c>
      <c r="J248" s="2"/>
      <c r="K248" s="2"/>
      <c r="L248" s="2"/>
      <c r="M248" s="2"/>
      <c r="N248" s="2"/>
      <c r="O248" s="2"/>
      <c r="P248" s="2"/>
      <c r="Q248" s="2"/>
      <c r="R248" s="2"/>
      <c r="S248" s="2"/>
      <c r="T248" s="2"/>
      <c r="U248" s="2"/>
      <c r="V248" s="2"/>
      <c r="W248" s="2"/>
      <c r="X248" s="2"/>
      <c r="Y248" s="2"/>
      <c r="Z248" s="2"/>
      <c r="AA248" s="2"/>
      <c r="AB248" s="2"/>
      <c r="AC248" s="2"/>
      <c r="AD248" s="2"/>
      <c r="AE248" s="2"/>
    </row>
    <row r="249" spans="2:31" ht="16" x14ac:dyDescent="0.2">
      <c r="B249" s="2" t="e">
        <f>VLOOKUP(A249,[1]TRATAMIENTI!$A:$B,2,FALSE)</f>
        <v>#N/A</v>
      </c>
      <c r="G249" s="2" t="str">
        <f t="shared" si="3"/>
        <v>NO</v>
      </c>
      <c r="J249" s="2"/>
      <c r="K249" s="2"/>
      <c r="L249" s="2"/>
      <c r="M249" s="2"/>
      <c r="N249" s="2"/>
      <c r="O249" s="2"/>
      <c r="P249" s="2"/>
      <c r="Q249" s="2"/>
      <c r="R249" s="2"/>
      <c r="S249" s="2"/>
      <c r="T249" s="2"/>
      <c r="U249" s="2"/>
      <c r="V249" s="2"/>
      <c r="W249" s="2"/>
      <c r="X249" s="2"/>
      <c r="Y249" s="2"/>
      <c r="Z249" s="2"/>
      <c r="AA249" s="2"/>
      <c r="AB249" s="2"/>
      <c r="AC249" s="2"/>
      <c r="AD249" s="2"/>
      <c r="AE249" s="2"/>
    </row>
    <row r="250" spans="2:31" ht="16" x14ac:dyDescent="0.2">
      <c r="B250" s="2" t="e">
        <f>VLOOKUP(A250,[1]TRATAMIENTI!$A:$B,2,FALSE)</f>
        <v>#N/A</v>
      </c>
      <c r="G250" s="2" t="str">
        <f t="shared" si="3"/>
        <v>NO</v>
      </c>
      <c r="J250" s="2"/>
      <c r="K250" s="2"/>
      <c r="L250" s="2"/>
      <c r="M250" s="2"/>
      <c r="N250" s="2"/>
      <c r="O250" s="2"/>
      <c r="P250" s="2"/>
      <c r="Q250" s="2"/>
      <c r="R250" s="2"/>
      <c r="S250" s="2"/>
      <c r="T250" s="2"/>
      <c r="U250" s="2"/>
      <c r="V250" s="2"/>
      <c r="W250" s="2"/>
      <c r="X250" s="2"/>
      <c r="Y250" s="2"/>
      <c r="Z250" s="2"/>
      <c r="AA250" s="2"/>
      <c r="AB250" s="2"/>
      <c r="AC250" s="2"/>
      <c r="AD250" s="2"/>
      <c r="AE250" s="2"/>
    </row>
    <row r="251" spans="2:31" ht="16" x14ac:dyDescent="0.2">
      <c r="B251" s="2" t="e">
        <f>VLOOKUP(A251,[1]TRATAMIENTI!$A:$B,2,FALSE)</f>
        <v>#N/A</v>
      </c>
      <c r="G251" s="2" t="str">
        <f t="shared" si="3"/>
        <v>NO</v>
      </c>
      <c r="J251" s="2"/>
      <c r="K251" s="2"/>
      <c r="L251" s="2"/>
      <c r="M251" s="2"/>
      <c r="N251" s="2"/>
      <c r="O251" s="2"/>
      <c r="P251" s="2"/>
      <c r="Q251" s="2"/>
      <c r="R251" s="2"/>
      <c r="S251" s="2"/>
      <c r="T251" s="2"/>
      <c r="U251" s="2"/>
      <c r="V251" s="2"/>
      <c r="W251" s="2"/>
      <c r="X251" s="2"/>
      <c r="Y251" s="2"/>
      <c r="Z251" s="2"/>
      <c r="AA251" s="2"/>
      <c r="AB251" s="2"/>
      <c r="AC251" s="2"/>
      <c r="AD251" s="2"/>
      <c r="AE251" s="2"/>
    </row>
    <row r="252" spans="2:31" ht="16" x14ac:dyDescent="0.2">
      <c r="B252" s="2" t="e">
        <f>VLOOKUP(A252,[1]TRATAMIENTI!$A:$B,2,FALSE)</f>
        <v>#N/A</v>
      </c>
      <c r="G252" s="2" t="str">
        <f t="shared" si="3"/>
        <v>NO</v>
      </c>
      <c r="J252" s="2"/>
      <c r="K252" s="2"/>
      <c r="L252" s="2"/>
      <c r="M252" s="2"/>
      <c r="N252" s="2"/>
      <c r="O252" s="2"/>
      <c r="P252" s="2"/>
      <c r="Q252" s="2"/>
      <c r="R252" s="2"/>
      <c r="S252" s="2"/>
      <c r="T252" s="2"/>
      <c r="U252" s="2"/>
      <c r="V252" s="2"/>
      <c r="W252" s="2"/>
      <c r="X252" s="2"/>
      <c r="Y252" s="2"/>
      <c r="Z252" s="2"/>
      <c r="AA252" s="2"/>
      <c r="AB252" s="2"/>
      <c r="AC252" s="2"/>
      <c r="AD252" s="2"/>
      <c r="AE252" s="2"/>
    </row>
    <row r="253" spans="2:31" ht="16" x14ac:dyDescent="0.2">
      <c r="B253" s="2" t="e">
        <f>VLOOKUP(A253,[1]TRATAMIENTI!$A:$B,2,FALSE)</f>
        <v>#N/A</v>
      </c>
      <c r="G253" s="2" t="str">
        <f t="shared" si="3"/>
        <v>NO</v>
      </c>
      <c r="J253" s="2"/>
      <c r="K253" s="2"/>
      <c r="L253" s="2"/>
      <c r="M253" s="2"/>
      <c r="N253" s="2"/>
      <c r="O253" s="2"/>
      <c r="P253" s="2"/>
      <c r="Q253" s="2"/>
      <c r="R253" s="2"/>
      <c r="S253" s="2"/>
      <c r="T253" s="2"/>
      <c r="U253" s="2"/>
      <c r="V253" s="2"/>
      <c r="W253" s="2"/>
      <c r="X253" s="2"/>
      <c r="Y253" s="2"/>
      <c r="Z253" s="2"/>
      <c r="AA253" s="2"/>
      <c r="AB253" s="2"/>
      <c r="AC253" s="2"/>
      <c r="AD253" s="2"/>
      <c r="AE253" s="2"/>
    </row>
    <row r="254" spans="2:31" ht="16" x14ac:dyDescent="0.2">
      <c r="B254" s="2" t="e">
        <f>VLOOKUP(A254,[1]TRATAMIENTI!$A:$B,2,FALSE)</f>
        <v>#N/A</v>
      </c>
      <c r="G254" s="2" t="str">
        <f t="shared" si="3"/>
        <v>NO</v>
      </c>
      <c r="J254" s="2"/>
      <c r="K254" s="2"/>
      <c r="L254" s="2"/>
      <c r="M254" s="2"/>
      <c r="N254" s="2"/>
      <c r="O254" s="2"/>
      <c r="P254" s="2"/>
      <c r="Q254" s="2"/>
      <c r="R254" s="2"/>
      <c r="S254" s="2"/>
      <c r="T254" s="2"/>
      <c r="U254" s="2"/>
      <c r="V254" s="2"/>
      <c r="W254" s="2"/>
      <c r="X254" s="2"/>
      <c r="Y254" s="2"/>
      <c r="Z254" s="2"/>
      <c r="AA254" s="2"/>
      <c r="AB254" s="2"/>
      <c r="AC254" s="2"/>
      <c r="AD254" s="2"/>
      <c r="AE254" s="2"/>
    </row>
    <row r="255" spans="2:31" ht="16" x14ac:dyDescent="0.2">
      <c r="B255" s="2" t="e">
        <f>VLOOKUP(A255,[1]TRATAMIENTI!$A:$B,2,FALSE)</f>
        <v>#N/A</v>
      </c>
      <c r="G255" s="2" t="str">
        <f t="shared" ref="G255:G308" si="4">IF(H255="CALI","VALLE DEL CAUCA",IF(H255="MEDELLIN","ANTIOQUIA",IF(H255="BARRANQUILLA","ATLANTICO","NO")))</f>
        <v>NO</v>
      </c>
      <c r="J255" s="2"/>
      <c r="K255" s="2"/>
      <c r="L255" s="2"/>
      <c r="M255" s="2"/>
      <c r="N255" s="2"/>
      <c r="O255" s="2"/>
      <c r="P255" s="2"/>
      <c r="Q255" s="2"/>
      <c r="R255" s="2"/>
      <c r="S255" s="2"/>
      <c r="T255" s="2"/>
      <c r="U255" s="2"/>
      <c r="V255" s="2"/>
      <c r="W255" s="2"/>
      <c r="X255" s="2"/>
      <c r="Y255" s="2"/>
      <c r="Z255" s="2"/>
      <c r="AA255" s="2"/>
      <c r="AB255" s="2"/>
      <c r="AC255" s="2"/>
      <c r="AD255" s="2"/>
      <c r="AE255" s="2"/>
    </row>
    <row r="256" spans="2:31" ht="16" x14ac:dyDescent="0.2">
      <c r="B256" s="2" t="e">
        <f>VLOOKUP(A256,[1]TRATAMIENTI!$A:$B,2,FALSE)</f>
        <v>#N/A</v>
      </c>
      <c r="G256" s="2" t="str">
        <f t="shared" si="4"/>
        <v>NO</v>
      </c>
      <c r="J256" s="2"/>
      <c r="K256" s="2"/>
      <c r="L256" s="2"/>
      <c r="M256" s="2"/>
      <c r="N256" s="2"/>
      <c r="O256" s="2"/>
      <c r="P256" s="2"/>
      <c r="Q256" s="2"/>
      <c r="R256" s="2"/>
      <c r="S256" s="2"/>
      <c r="T256" s="2"/>
      <c r="U256" s="2"/>
      <c r="V256" s="2"/>
      <c r="W256" s="2"/>
      <c r="X256" s="2"/>
      <c r="Y256" s="2"/>
      <c r="Z256" s="2"/>
      <c r="AA256" s="2"/>
      <c r="AB256" s="2"/>
      <c r="AC256" s="2"/>
      <c r="AD256" s="2"/>
      <c r="AE256" s="2"/>
    </row>
    <row r="257" spans="2:31" ht="16" x14ac:dyDescent="0.2">
      <c r="B257" s="2" t="e">
        <f>VLOOKUP(A257,[1]TRATAMIENTI!$A:$B,2,FALSE)</f>
        <v>#N/A</v>
      </c>
      <c r="G257" s="2" t="str">
        <f t="shared" si="4"/>
        <v>NO</v>
      </c>
      <c r="J257" s="2"/>
      <c r="K257" s="2"/>
      <c r="L257" s="2"/>
      <c r="M257" s="2"/>
      <c r="N257" s="2"/>
      <c r="O257" s="2"/>
      <c r="P257" s="2"/>
      <c r="Q257" s="2"/>
      <c r="R257" s="2"/>
      <c r="S257" s="2"/>
      <c r="T257" s="2"/>
      <c r="U257" s="2"/>
      <c r="V257" s="2"/>
      <c r="W257" s="2"/>
      <c r="X257" s="2"/>
      <c r="Y257" s="2"/>
      <c r="Z257" s="2"/>
      <c r="AA257" s="2"/>
      <c r="AB257" s="2"/>
      <c r="AC257" s="2"/>
      <c r="AD257" s="2"/>
      <c r="AE257" s="2"/>
    </row>
    <row r="258" spans="2:31" ht="16" x14ac:dyDescent="0.2">
      <c r="B258" s="2" t="e">
        <f>VLOOKUP(A258,[1]TRATAMIENTI!$A:$B,2,FALSE)</f>
        <v>#N/A</v>
      </c>
      <c r="G258" s="2" t="str">
        <f t="shared" si="4"/>
        <v>NO</v>
      </c>
      <c r="J258" s="2"/>
      <c r="K258" s="2"/>
      <c r="L258" s="2"/>
      <c r="M258" s="2"/>
      <c r="N258" s="2"/>
      <c r="O258" s="2"/>
      <c r="P258" s="2"/>
      <c r="Q258" s="2"/>
      <c r="R258" s="2"/>
      <c r="S258" s="2"/>
      <c r="T258" s="2"/>
      <c r="U258" s="2"/>
      <c r="V258" s="2"/>
      <c r="W258" s="2"/>
      <c r="X258" s="2"/>
      <c r="Y258" s="2"/>
      <c r="Z258" s="2"/>
      <c r="AA258" s="2"/>
      <c r="AB258" s="2"/>
      <c r="AC258" s="2"/>
      <c r="AD258" s="2"/>
      <c r="AE258" s="2"/>
    </row>
    <row r="259" spans="2:31" ht="16" x14ac:dyDescent="0.2">
      <c r="B259" s="2" t="e">
        <f>VLOOKUP(A259,[1]TRATAMIENTI!$A:$B,2,FALSE)</f>
        <v>#N/A</v>
      </c>
      <c r="G259" s="2" t="str">
        <f t="shared" si="4"/>
        <v>NO</v>
      </c>
      <c r="J259" s="2"/>
      <c r="K259" s="2"/>
      <c r="L259" s="2"/>
      <c r="M259" s="2"/>
      <c r="N259" s="2"/>
      <c r="O259" s="2"/>
      <c r="P259" s="2"/>
      <c r="Q259" s="2"/>
      <c r="R259" s="2"/>
      <c r="S259" s="2"/>
      <c r="T259" s="2"/>
      <c r="U259" s="2"/>
      <c r="V259" s="2"/>
      <c r="W259" s="2"/>
      <c r="X259" s="2"/>
      <c r="Y259" s="2"/>
      <c r="Z259" s="2"/>
      <c r="AA259" s="2"/>
      <c r="AB259" s="2"/>
      <c r="AC259" s="2"/>
      <c r="AD259" s="2"/>
      <c r="AE259" s="2"/>
    </row>
    <row r="260" spans="2:31" ht="16" x14ac:dyDescent="0.2">
      <c r="B260" s="2" t="e">
        <f>VLOOKUP(A260,[1]TRATAMIENTI!$A:$B,2,FALSE)</f>
        <v>#N/A</v>
      </c>
      <c r="G260" s="2" t="str">
        <f t="shared" si="4"/>
        <v>NO</v>
      </c>
      <c r="J260" s="2"/>
      <c r="K260" s="2"/>
      <c r="L260" s="2"/>
      <c r="M260" s="2"/>
      <c r="N260" s="2"/>
      <c r="O260" s="2"/>
      <c r="P260" s="2"/>
      <c r="Q260" s="2"/>
      <c r="R260" s="2"/>
      <c r="S260" s="2"/>
      <c r="T260" s="2"/>
      <c r="U260" s="2"/>
      <c r="V260" s="2"/>
      <c r="W260" s="2"/>
      <c r="X260" s="2"/>
      <c r="Y260" s="2"/>
      <c r="Z260" s="2"/>
      <c r="AA260" s="2"/>
      <c r="AB260" s="2"/>
      <c r="AC260" s="2"/>
      <c r="AD260" s="2"/>
      <c r="AE260" s="2"/>
    </row>
    <row r="261" spans="2:31" ht="16" x14ac:dyDescent="0.2">
      <c r="B261" s="2" t="e">
        <f>VLOOKUP(A261,[1]TRATAMIENTI!$A:$B,2,FALSE)</f>
        <v>#N/A</v>
      </c>
      <c r="G261" s="2" t="str">
        <f t="shared" si="4"/>
        <v>NO</v>
      </c>
      <c r="J261" s="2"/>
      <c r="K261" s="2"/>
      <c r="L261" s="2"/>
      <c r="M261" s="2"/>
      <c r="N261" s="2"/>
      <c r="O261" s="2"/>
      <c r="P261" s="2"/>
      <c r="Q261" s="2"/>
      <c r="R261" s="2"/>
      <c r="S261" s="2"/>
      <c r="T261" s="2"/>
      <c r="U261" s="2"/>
      <c r="V261" s="2"/>
      <c r="W261" s="2"/>
      <c r="X261" s="2"/>
      <c r="Y261" s="2"/>
      <c r="Z261" s="2"/>
      <c r="AA261" s="2"/>
      <c r="AB261" s="2"/>
      <c r="AC261" s="2"/>
      <c r="AD261" s="2"/>
      <c r="AE261" s="2"/>
    </row>
    <row r="262" spans="2:31" ht="16" x14ac:dyDescent="0.2">
      <c r="B262" s="2" t="e">
        <f>VLOOKUP(A262,[1]TRATAMIENTI!$A:$B,2,FALSE)</f>
        <v>#N/A</v>
      </c>
      <c r="G262" s="2" t="str">
        <f t="shared" si="4"/>
        <v>NO</v>
      </c>
      <c r="J262" s="2"/>
      <c r="K262" s="2"/>
      <c r="L262" s="2"/>
      <c r="M262" s="2"/>
      <c r="N262" s="2"/>
      <c r="O262" s="2"/>
      <c r="P262" s="2"/>
      <c r="Q262" s="2"/>
      <c r="R262" s="2"/>
      <c r="S262" s="2"/>
      <c r="T262" s="2"/>
      <c r="U262" s="2"/>
      <c r="V262" s="2"/>
      <c r="W262" s="2"/>
      <c r="X262" s="2"/>
      <c r="Y262" s="2"/>
      <c r="Z262" s="2"/>
      <c r="AA262" s="2"/>
      <c r="AB262" s="2"/>
      <c r="AC262" s="2"/>
      <c r="AD262" s="2"/>
      <c r="AE262" s="2"/>
    </row>
    <row r="263" spans="2:31" ht="16" x14ac:dyDescent="0.2">
      <c r="B263" s="2" t="e">
        <f>VLOOKUP(A263,[1]TRATAMIENTI!$A:$B,2,FALSE)</f>
        <v>#N/A</v>
      </c>
      <c r="G263" s="2" t="str">
        <f t="shared" si="4"/>
        <v>NO</v>
      </c>
      <c r="J263" s="2"/>
      <c r="K263" s="2"/>
      <c r="L263" s="2"/>
      <c r="M263" s="2"/>
      <c r="N263" s="2"/>
      <c r="O263" s="2"/>
      <c r="P263" s="2"/>
      <c r="Q263" s="2"/>
      <c r="R263" s="2"/>
      <c r="S263" s="2"/>
      <c r="T263" s="2"/>
      <c r="U263" s="2"/>
      <c r="V263" s="2"/>
      <c r="W263" s="2"/>
      <c r="X263" s="2"/>
      <c r="Y263" s="2"/>
      <c r="Z263" s="2"/>
      <c r="AA263" s="2"/>
      <c r="AB263" s="2"/>
      <c r="AC263" s="2"/>
      <c r="AD263" s="2"/>
      <c r="AE263" s="2"/>
    </row>
    <row r="264" spans="2:31" ht="16" x14ac:dyDescent="0.2">
      <c r="B264" s="2" t="e">
        <f>VLOOKUP(A264,[1]TRATAMIENTI!$A:$B,2,FALSE)</f>
        <v>#N/A</v>
      </c>
      <c r="G264" s="2" t="str">
        <f t="shared" si="4"/>
        <v>NO</v>
      </c>
    </row>
    <row r="265" spans="2:31" ht="16" x14ac:dyDescent="0.2">
      <c r="B265" s="2" t="e">
        <f>VLOOKUP(A265,[1]TRATAMIENTI!$A:$B,2,FALSE)</f>
        <v>#N/A</v>
      </c>
      <c r="G265" s="2" t="str">
        <f t="shared" si="4"/>
        <v>NO</v>
      </c>
    </row>
    <row r="266" spans="2:31" ht="16" x14ac:dyDescent="0.2">
      <c r="B266" s="2" t="e">
        <f>VLOOKUP(A266,[1]TRATAMIENTI!$A:$B,2,FALSE)</f>
        <v>#N/A</v>
      </c>
      <c r="G266" s="2" t="str">
        <f t="shared" si="4"/>
        <v>NO</v>
      </c>
    </row>
    <row r="267" spans="2:31" ht="16" x14ac:dyDescent="0.2">
      <c r="B267" s="2" t="e">
        <f>VLOOKUP(A267,[1]TRATAMIENTI!$A:$B,2,FALSE)</f>
        <v>#N/A</v>
      </c>
      <c r="G267" s="2" t="str">
        <f t="shared" si="4"/>
        <v>NO</v>
      </c>
    </row>
    <row r="268" spans="2:31" ht="16" x14ac:dyDescent="0.2">
      <c r="B268" s="2" t="e">
        <f>VLOOKUP(A268,[1]TRATAMIENTI!$A:$B,2,FALSE)</f>
        <v>#N/A</v>
      </c>
      <c r="G268" s="2" t="str">
        <f t="shared" si="4"/>
        <v>NO</v>
      </c>
    </row>
    <row r="269" spans="2:31" ht="16" x14ac:dyDescent="0.2">
      <c r="B269" s="2" t="e">
        <f>VLOOKUP(A269,[1]TRATAMIENTI!$A:$B,2,FALSE)</f>
        <v>#N/A</v>
      </c>
      <c r="G269" s="2" t="str">
        <f t="shared" si="4"/>
        <v>NO</v>
      </c>
    </row>
    <row r="270" spans="2:31" ht="16" x14ac:dyDescent="0.2">
      <c r="B270" s="2" t="e">
        <f>VLOOKUP(A270,[1]TRATAMIENTI!$A:$B,2,FALSE)</f>
        <v>#N/A</v>
      </c>
      <c r="G270" s="2" t="str">
        <f t="shared" si="4"/>
        <v>NO</v>
      </c>
    </row>
    <row r="271" spans="2:31" ht="16" x14ac:dyDescent="0.2">
      <c r="B271" s="2" t="e">
        <f>VLOOKUP(A271,[1]TRATAMIENTI!$A:$B,2,FALSE)</f>
        <v>#N/A</v>
      </c>
      <c r="G271" s="2" t="str">
        <f t="shared" si="4"/>
        <v>NO</v>
      </c>
    </row>
    <row r="272" spans="2:31" ht="16" x14ac:dyDescent="0.2">
      <c r="B272" s="2" t="e">
        <f>VLOOKUP(A272,[1]TRATAMIENTI!$A:$B,2,FALSE)</f>
        <v>#N/A</v>
      </c>
      <c r="G272" s="2" t="str">
        <f t="shared" si="4"/>
        <v>NO</v>
      </c>
    </row>
    <row r="273" spans="2:7" ht="16" x14ac:dyDescent="0.2">
      <c r="B273" s="2" t="e">
        <f>VLOOKUP(A273,[1]TRATAMIENTI!$A:$B,2,FALSE)</f>
        <v>#N/A</v>
      </c>
      <c r="G273" s="2" t="str">
        <f t="shared" si="4"/>
        <v>NO</v>
      </c>
    </row>
    <row r="274" spans="2:7" ht="16" x14ac:dyDescent="0.2">
      <c r="B274" s="2" t="e">
        <f>VLOOKUP(A274,[1]TRATAMIENTI!$A:$B,2,FALSE)</f>
        <v>#N/A</v>
      </c>
      <c r="G274" s="2" t="str">
        <f t="shared" si="4"/>
        <v>NO</v>
      </c>
    </row>
    <row r="275" spans="2:7" ht="16" x14ac:dyDescent="0.2">
      <c r="B275" s="2" t="e">
        <f>VLOOKUP(A275,[1]TRATAMIENTI!$A:$B,2,FALSE)</f>
        <v>#N/A</v>
      </c>
      <c r="G275" s="2" t="str">
        <f t="shared" si="4"/>
        <v>NO</v>
      </c>
    </row>
    <row r="276" spans="2:7" ht="16" x14ac:dyDescent="0.2">
      <c r="B276" s="2" t="e">
        <f>VLOOKUP(A276,[1]TRATAMIENTI!$A:$B,2,FALSE)</f>
        <v>#N/A</v>
      </c>
      <c r="G276" s="2" t="str">
        <f t="shared" si="4"/>
        <v>NO</v>
      </c>
    </row>
    <row r="277" spans="2:7" ht="16" x14ac:dyDescent="0.2">
      <c r="B277" s="2" t="e">
        <f>VLOOKUP(A277,[1]TRATAMIENTI!$A:$B,2,FALSE)</f>
        <v>#N/A</v>
      </c>
      <c r="G277" s="2" t="str">
        <f t="shared" si="4"/>
        <v>NO</v>
      </c>
    </row>
    <row r="278" spans="2:7" ht="16" x14ac:dyDescent="0.2">
      <c r="B278" s="2" t="e">
        <f>VLOOKUP(A278,[1]TRATAMIENTI!$A:$B,2,FALSE)</f>
        <v>#N/A</v>
      </c>
      <c r="G278" s="2" t="str">
        <f t="shared" si="4"/>
        <v>NO</v>
      </c>
    </row>
    <row r="279" spans="2:7" ht="16" x14ac:dyDescent="0.2">
      <c r="B279" s="2" t="e">
        <f>VLOOKUP(A279,[1]TRATAMIENTI!$A:$B,2,FALSE)</f>
        <v>#N/A</v>
      </c>
      <c r="G279" s="2" t="str">
        <f t="shared" si="4"/>
        <v>NO</v>
      </c>
    </row>
    <row r="280" spans="2:7" ht="16" x14ac:dyDescent="0.2">
      <c r="B280" s="2" t="e">
        <f>VLOOKUP(A280,[1]TRATAMIENTI!$A:$B,2,FALSE)</f>
        <v>#N/A</v>
      </c>
      <c r="G280" s="2" t="str">
        <f t="shared" si="4"/>
        <v>NO</v>
      </c>
    </row>
    <row r="281" spans="2:7" ht="16" x14ac:dyDescent="0.2">
      <c r="B281" s="2" t="e">
        <f>VLOOKUP(A281,[1]TRATAMIENTI!$A:$B,2,FALSE)</f>
        <v>#N/A</v>
      </c>
      <c r="G281" s="2" t="str">
        <f t="shared" si="4"/>
        <v>NO</v>
      </c>
    </row>
    <row r="282" spans="2:7" ht="16" x14ac:dyDescent="0.2">
      <c r="B282" s="2" t="e">
        <f>VLOOKUP(A282,[1]TRATAMIENTI!$A:$B,2,FALSE)</f>
        <v>#N/A</v>
      </c>
      <c r="G282" s="2" t="str">
        <f t="shared" si="4"/>
        <v>NO</v>
      </c>
    </row>
    <row r="283" spans="2:7" ht="16" x14ac:dyDescent="0.2">
      <c r="B283" s="2" t="e">
        <f>VLOOKUP(A283,[1]TRATAMIENTI!$A:$B,2,FALSE)</f>
        <v>#N/A</v>
      </c>
      <c r="G283" s="2" t="str">
        <f t="shared" si="4"/>
        <v>NO</v>
      </c>
    </row>
    <row r="284" spans="2:7" ht="16" x14ac:dyDescent="0.2">
      <c r="B284" s="2" t="e">
        <f>VLOOKUP(A284,[1]TRATAMIENTI!$A:$B,2,FALSE)</f>
        <v>#N/A</v>
      </c>
      <c r="G284" s="2" t="str">
        <f t="shared" si="4"/>
        <v>NO</v>
      </c>
    </row>
    <row r="285" spans="2:7" ht="16" x14ac:dyDescent="0.2">
      <c r="B285" s="2" t="e">
        <f>VLOOKUP(A285,[1]TRATAMIENTI!$A:$B,2,FALSE)</f>
        <v>#N/A</v>
      </c>
      <c r="G285" s="2" t="str">
        <f t="shared" si="4"/>
        <v>NO</v>
      </c>
    </row>
    <row r="286" spans="2:7" ht="16" x14ac:dyDescent="0.2">
      <c r="B286" s="2" t="e">
        <f>VLOOKUP(A286,[1]TRATAMIENTI!$A:$B,2,FALSE)</f>
        <v>#N/A</v>
      </c>
      <c r="G286" s="2" t="str">
        <f t="shared" si="4"/>
        <v>NO</v>
      </c>
    </row>
    <row r="287" spans="2:7" ht="16" x14ac:dyDescent="0.2">
      <c r="B287" s="2" t="e">
        <f>VLOOKUP(A287,[1]TRATAMIENTI!$A:$B,2,FALSE)</f>
        <v>#N/A</v>
      </c>
      <c r="G287" s="2" t="str">
        <f t="shared" si="4"/>
        <v>NO</v>
      </c>
    </row>
    <row r="288" spans="2:7" ht="16" x14ac:dyDescent="0.2">
      <c r="B288" s="2" t="e">
        <f>VLOOKUP(A288,[1]TRATAMIENTI!$A:$B,2,FALSE)</f>
        <v>#N/A</v>
      </c>
      <c r="G288" s="2" t="str">
        <f t="shared" si="4"/>
        <v>NO</v>
      </c>
    </row>
    <row r="289" spans="2:7" ht="16" x14ac:dyDescent="0.2">
      <c r="B289" s="2" t="e">
        <f>VLOOKUP(A289,[1]TRATAMIENTI!$A:$B,2,FALSE)</f>
        <v>#N/A</v>
      </c>
      <c r="G289" s="2" t="str">
        <f t="shared" si="4"/>
        <v>NO</v>
      </c>
    </row>
    <row r="290" spans="2:7" ht="16" x14ac:dyDescent="0.2">
      <c r="B290" s="2" t="e">
        <f>VLOOKUP(A290,[1]TRATAMIENTI!$A:$B,2,FALSE)</f>
        <v>#N/A</v>
      </c>
      <c r="G290" s="2" t="str">
        <f t="shared" si="4"/>
        <v>NO</v>
      </c>
    </row>
    <row r="291" spans="2:7" ht="16" x14ac:dyDescent="0.2">
      <c r="B291" s="2" t="e">
        <f>VLOOKUP(A291,[1]TRATAMIENTI!$A:$B,2,FALSE)</f>
        <v>#N/A</v>
      </c>
      <c r="G291" s="2" t="str">
        <f t="shared" si="4"/>
        <v>NO</v>
      </c>
    </row>
    <row r="292" spans="2:7" ht="16" x14ac:dyDescent="0.2">
      <c r="B292" s="2" t="e">
        <f>VLOOKUP(A292,[1]TRATAMIENTI!$A:$B,2,FALSE)</f>
        <v>#N/A</v>
      </c>
      <c r="G292" s="2" t="str">
        <f t="shared" si="4"/>
        <v>NO</v>
      </c>
    </row>
    <row r="293" spans="2:7" ht="16" x14ac:dyDescent="0.2">
      <c r="B293" s="2" t="e">
        <f>VLOOKUP(A293,[1]TRATAMIENTI!$A:$B,2,FALSE)</f>
        <v>#N/A</v>
      </c>
      <c r="G293" s="2" t="str">
        <f t="shared" si="4"/>
        <v>NO</v>
      </c>
    </row>
    <row r="294" spans="2:7" ht="16" x14ac:dyDescent="0.2">
      <c r="B294" s="2" t="e">
        <f>VLOOKUP(A294,[1]TRATAMIENTI!$A:$B,2,FALSE)</f>
        <v>#N/A</v>
      </c>
      <c r="G294" s="2" t="str">
        <f t="shared" si="4"/>
        <v>NO</v>
      </c>
    </row>
    <row r="295" spans="2:7" ht="16" x14ac:dyDescent="0.2">
      <c r="B295" s="2" t="e">
        <f>VLOOKUP(A295,[1]TRATAMIENTI!$A:$B,2,FALSE)</f>
        <v>#N/A</v>
      </c>
      <c r="G295" s="2" t="str">
        <f t="shared" si="4"/>
        <v>NO</v>
      </c>
    </row>
    <row r="296" spans="2:7" ht="16" x14ac:dyDescent="0.2">
      <c r="B296" s="2" t="e">
        <f>VLOOKUP(A296,[1]TRATAMIENTI!$A:$B,2,FALSE)</f>
        <v>#N/A</v>
      </c>
      <c r="G296" s="2" t="str">
        <f t="shared" si="4"/>
        <v>NO</v>
      </c>
    </row>
    <row r="297" spans="2:7" ht="16" x14ac:dyDescent="0.2">
      <c r="B297" s="2" t="e">
        <f>VLOOKUP(A297,[1]TRATAMIENTI!$A:$B,2,FALSE)</f>
        <v>#N/A</v>
      </c>
      <c r="G297" s="2" t="str">
        <f t="shared" si="4"/>
        <v>NO</v>
      </c>
    </row>
    <row r="298" spans="2:7" ht="16" x14ac:dyDescent="0.2">
      <c r="B298" s="2" t="e">
        <f>VLOOKUP(A298,[1]TRATAMIENTI!$A:$B,2,FALSE)</f>
        <v>#N/A</v>
      </c>
      <c r="G298" s="2" t="str">
        <f t="shared" si="4"/>
        <v>NO</v>
      </c>
    </row>
    <row r="299" spans="2:7" ht="16" x14ac:dyDescent="0.2">
      <c r="B299" s="2" t="e">
        <f>VLOOKUP(A299,[1]TRATAMIENTI!$A:$B,2,FALSE)</f>
        <v>#N/A</v>
      </c>
      <c r="G299" s="2" t="str">
        <f t="shared" si="4"/>
        <v>NO</v>
      </c>
    </row>
    <row r="300" spans="2:7" ht="16" x14ac:dyDescent="0.2">
      <c r="B300" s="2" t="e">
        <f>VLOOKUP(A300,[1]TRATAMIENTI!$A:$B,2,FALSE)</f>
        <v>#N/A</v>
      </c>
      <c r="G300" s="2" t="str">
        <f t="shared" si="4"/>
        <v>NO</v>
      </c>
    </row>
    <row r="301" spans="2:7" ht="16" x14ac:dyDescent="0.2">
      <c r="B301" s="2" t="e">
        <f>VLOOKUP(A301,[1]TRATAMIENTI!$A:$B,2,FALSE)</f>
        <v>#N/A</v>
      </c>
      <c r="G301" s="2" t="str">
        <f t="shared" si="4"/>
        <v>NO</v>
      </c>
    </row>
    <row r="302" spans="2:7" ht="16" x14ac:dyDescent="0.2">
      <c r="B302" s="2" t="e">
        <f>VLOOKUP(A302,[1]TRATAMIENTI!$A:$B,2,FALSE)</f>
        <v>#N/A</v>
      </c>
      <c r="G302" s="2" t="str">
        <f t="shared" si="4"/>
        <v>NO</v>
      </c>
    </row>
    <row r="303" spans="2:7" ht="16" x14ac:dyDescent="0.2">
      <c r="B303" s="2" t="e">
        <f>VLOOKUP(A303,[1]TRATAMIENTI!$A:$B,2,FALSE)</f>
        <v>#N/A</v>
      </c>
      <c r="G303" s="2" t="str">
        <f t="shared" si="4"/>
        <v>NO</v>
      </c>
    </row>
    <row r="304" spans="2:7" ht="16" x14ac:dyDescent="0.2">
      <c r="B304" s="2" t="e">
        <f>VLOOKUP(A304,[1]TRATAMIENTI!$A:$B,2,FALSE)</f>
        <v>#N/A</v>
      </c>
      <c r="G304" s="2" t="str">
        <f t="shared" si="4"/>
        <v>NO</v>
      </c>
    </row>
    <row r="305" spans="2:7" ht="16" x14ac:dyDescent="0.2">
      <c r="B305" s="2" t="e">
        <f>VLOOKUP(A305,[1]TRATAMIENTI!$A:$B,2,FALSE)</f>
        <v>#N/A</v>
      </c>
      <c r="G305" s="2" t="str">
        <f t="shared" si="4"/>
        <v>NO</v>
      </c>
    </row>
    <row r="306" spans="2:7" ht="16" x14ac:dyDescent="0.2">
      <c r="B306" s="2" t="e">
        <f>VLOOKUP(A306,[1]TRATAMIENTI!$A:$B,2,FALSE)</f>
        <v>#N/A</v>
      </c>
      <c r="G306" s="2" t="str">
        <f t="shared" si="4"/>
        <v>NO</v>
      </c>
    </row>
    <row r="307" spans="2:7" ht="16" x14ac:dyDescent="0.2">
      <c r="B307" s="2" t="e">
        <f>VLOOKUP(A307,[1]TRATAMIENTI!$A:$B,2,FALSE)</f>
        <v>#N/A</v>
      </c>
      <c r="G307" s="2" t="str">
        <f t="shared" si="4"/>
        <v>NO</v>
      </c>
    </row>
    <row r="308" spans="2:7" ht="16" x14ac:dyDescent="0.2">
      <c r="B308" s="2" t="e">
        <f>VLOOKUP(A308,[1]TRATAMIENTI!$A:$B,2,FALSE)</f>
        <v>#N/A</v>
      </c>
      <c r="G308" s="2" t="str">
        <f t="shared" si="4"/>
        <v>NO</v>
      </c>
    </row>
  </sheetData>
  <autoFilter ref="A1:AG308" xr:uid="{72FB77AC-C019-4B4F-A8EB-99FC01E612ED}">
    <filterColumn colId="8">
      <filters blank="1"/>
    </filterColumn>
  </autoFilter>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1D27FE9D-3D01-48E2-BB7C-D4B14677D8E3}">
          <x14:formula1>
            <xm:f>Hoja2!$A$1:$A$3</xm:f>
          </x14:formula1>
          <xm:sqref>AE111:AE263 J2:AD18 J19:AC19 J20:AD95 J98:AD263 AD96:AD97 O96:S96 M96 V96:AC96</xm:sqref>
        </x14:dataValidation>
        <x14:dataValidation type="list" allowBlank="1" showInputMessage="1" showErrorMessage="1" xr:uid="{4EE3FA69-F44C-4A76-A293-80A496CAF747}">
          <x14:formula1>
            <xm:f>Hoja2!$A$11:$A$17</xm:f>
          </x14:formula1>
          <xm:sqref>AE2:AE110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43337-A650-4879-9CD0-3022C43B74C7}">
  <dimension ref="A1:A17"/>
  <sheetViews>
    <sheetView workbookViewId="0">
      <selection activeCell="A17" sqref="A1:A17"/>
    </sheetView>
  </sheetViews>
  <sheetFormatPr baseColWidth="10" defaultColWidth="11.5" defaultRowHeight="15" x14ac:dyDescent="0.2"/>
  <sheetData>
    <row r="1" spans="1:1" x14ac:dyDescent="0.2">
      <c r="A1" t="s">
        <v>72</v>
      </c>
    </row>
    <row r="2" spans="1:1" x14ac:dyDescent="0.2">
      <c r="A2" t="s">
        <v>76</v>
      </c>
    </row>
    <row r="3" spans="1:1" x14ac:dyDescent="0.2">
      <c r="A3" t="s">
        <v>71</v>
      </c>
    </row>
    <row r="6" spans="1:1" x14ac:dyDescent="0.2">
      <c r="A6" t="s">
        <v>69</v>
      </c>
    </row>
    <row r="7" spans="1:1" x14ac:dyDescent="0.2">
      <c r="A7" t="s">
        <v>476</v>
      </c>
    </row>
    <row r="8" spans="1:1" x14ac:dyDescent="0.2">
      <c r="A8" t="s">
        <v>924</v>
      </c>
    </row>
    <row r="11" spans="1:1" x14ac:dyDescent="0.2">
      <c r="A11" t="s">
        <v>73</v>
      </c>
    </row>
    <row r="12" spans="1:1" x14ac:dyDescent="0.2">
      <c r="A12" t="s">
        <v>256</v>
      </c>
    </row>
    <row r="13" spans="1:1" x14ac:dyDescent="0.2">
      <c r="A13" t="s">
        <v>179</v>
      </c>
    </row>
    <row r="14" spans="1:1" x14ac:dyDescent="0.2">
      <c r="A14" t="s">
        <v>85</v>
      </c>
    </row>
    <row r="15" spans="1:1" x14ac:dyDescent="0.2">
      <c r="A15" t="s">
        <v>77</v>
      </c>
    </row>
    <row r="16" spans="1:1" x14ac:dyDescent="0.2">
      <c r="A16" t="s">
        <v>91</v>
      </c>
    </row>
    <row r="17" spans="1:1" x14ac:dyDescent="0.2">
      <c r="A17" t="s">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439BE-B094-48A7-874B-B4F6E6A1316B}">
  <dimension ref="A1:AF423"/>
  <sheetViews>
    <sheetView topLeftCell="M1" zoomScale="55" zoomScaleNormal="70" workbookViewId="0">
      <pane ySplit="1" topLeftCell="A2" activePane="bottomLeft" state="frozen"/>
      <selection pane="bottomLeft" activeCell="AF1" sqref="AF1"/>
    </sheetView>
  </sheetViews>
  <sheetFormatPr baseColWidth="10" defaultColWidth="11.5" defaultRowHeight="15" x14ac:dyDescent="0.2"/>
  <cols>
    <col min="1" max="1" width="12.33203125" style="4" bestFit="1" customWidth="1"/>
    <col min="2" max="2" width="11.5" style="4"/>
    <col min="3" max="3" width="13.6640625" style="4" customWidth="1"/>
    <col min="4" max="4" width="24.5" style="4" bestFit="1" customWidth="1"/>
    <col min="5" max="29" width="11.5" style="4"/>
    <col min="30" max="30" width="33.6640625" style="4" customWidth="1"/>
    <col min="31" max="31" width="40.33203125" style="4" hidden="1" customWidth="1"/>
    <col min="32" max="16384" width="11.5" style="4"/>
  </cols>
  <sheetData>
    <row r="1" spans="1:32" s="1" customFormat="1" ht="84" x14ac:dyDescent="0.2">
      <c r="A1" s="1" t="s">
        <v>1</v>
      </c>
      <c r="B1" s="1" t="s">
        <v>2</v>
      </c>
      <c r="C1" s="1" t="s">
        <v>3</v>
      </c>
      <c r="D1" s="1" t="s">
        <v>4</v>
      </c>
      <c r="E1" s="1" t="s">
        <v>5</v>
      </c>
      <c r="F1" s="1" t="s">
        <v>6</v>
      </c>
      <c r="G1" s="1" t="s">
        <v>7</v>
      </c>
      <c r="H1" s="1" t="s">
        <v>8</v>
      </c>
      <c r="I1" s="1" t="s">
        <v>9</v>
      </c>
      <c r="J1" s="1" t="s">
        <v>10</v>
      </c>
      <c r="K1" s="1" t="s">
        <v>35</v>
      </c>
      <c r="L1" s="1" t="s">
        <v>11</v>
      </c>
      <c r="M1" s="1" t="s">
        <v>36</v>
      </c>
      <c r="N1" s="1" t="s">
        <v>37</v>
      </c>
      <c r="O1" s="1" t="s">
        <v>12</v>
      </c>
      <c r="P1" s="1" t="s">
        <v>38</v>
      </c>
      <c r="Q1" s="1" t="s">
        <v>39</v>
      </c>
      <c r="R1" s="1" t="s">
        <v>40</v>
      </c>
      <c r="S1" s="1" t="s">
        <v>41</v>
      </c>
      <c r="T1" s="1" t="s">
        <v>44</v>
      </c>
      <c r="U1" s="1" t="s">
        <v>45</v>
      </c>
      <c r="V1" s="1" t="s">
        <v>46</v>
      </c>
      <c r="W1" s="1" t="s">
        <v>47</v>
      </c>
      <c r="X1" s="1" t="s">
        <v>48</v>
      </c>
      <c r="Y1" s="1" t="s">
        <v>49</v>
      </c>
      <c r="Z1" s="1" t="s">
        <v>50</v>
      </c>
      <c r="AA1" s="1" t="s">
        <v>51</v>
      </c>
      <c r="AB1" s="1" t="s">
        <v>52</v>
      </c>
      <c r="AC1" s="1" t="s">
        <v>54</v>
      </c>
      <c r="AD1" s="1" t="s">
        <v>55</v>
      </c>
      <c r="AE1" s="1" t="s">
        <v>648</v>
      </c>
      <c r="AF1" s="1" t="s">
        <v>65</v>
      </c>
    </row>
    <row r="2" spans="1:32" ht="48" x14ac:dyDescent="0.2">
      <c r="A2" s="2">
        <v>1000536137</v>
      </c>
      <c r="B2" s="2">
        <f>VLOOKUP(A2,[1]TRATAMIENTI!$A:$B,2,FALSE)</f>
        <v>383</v>
      </c>
      <c r="C2" s="4" t="s">
        <v>925</v>
      </c>
      <c r="D2" s="4" t="s">
        <v>926</v>
      </c>
      <c r="E2" s="4" t="s">
        <v>927</v>
      </c>
      <c r="F2" s="4" t="s">
        <v>928</v>
      </c>
      <c r="G2" s="2" t="str">
        <f t="shared" ref="G2:G65" si="0">IF(H2="CALI","VALLE DEL CAUCA",IF(H2="MEDELLIN","ANTIOQUIA",IF(H2="BARRANQUILLA","ATLANTICO","NO")))</f>
        <v>ANTIOQUIA</v>
      </c>
      <c r="H2" s="4" t="s">
        <v>924</v>
      </c>
      <c r="J2" s="2" t="s">
        <v>76</v>
      </c>
      <c r="K2" s="2" t="s">
        <v>71</v>
      </c>
      <c r="L2" s="2" t="s">
        <v>71</v>
      </c>
      <c r="M2" s="2" t="s">
        <v>72</v>
      </c>
      <c r="N2" s="2" t="s">
        <v>71</v>
      </c>
      <c r="O2" s="2" t="s">
        <v>72</v>
      </c>
      <c r="P2" s="2" t="s">
        <v>72</v>
      </c>
      <c r="Q2" s="2" t="s">
        <v>72</v>
      </c>
      <c r="R2" s="2" t="s">
        <v>76</v>
      </c>
      <c r="S2" s="2" t="s">
        <v>72</v>
      </c>
      <c r="T2" s="2" t="s">
        <v>76</v>
      </c>
      <c r="U2" s="2" t="s">
        <v>72</v>
      </c>
      <c r="V2" s="2" t="s">
        <v>76</v>
      </c>
      <c r="W2" s="2" t="s">
        <v>76</v>
      </c>
      <c r="X2" s="2" t="s">
        <v>76</v>
      </c>
      <c r="Y2" s="2" t="s">
        <v>72</v>
      </c>
      <c r="Z2" s="2" t="s">
        <v>72</v>
      </c>
      <c r="AA2" s="2" t="s">
        <v>72</v>
      </c>
      <c r="AB2" s="2" t="s">
        <v>76</v>
      </c>
      <c r="AC2" s="2" t="s">
        <v>71</v>
      </c>
      <c r="AD2" s="2" t="s">
        <v>80</v>
      </c>
      <c r="AF2" s="4">
        <v>2</v>
      </c>
    </row>
    <row r="3" spans="1:32" ht="48" x14ac:dyDescent="0.2">
      <c r="A3" s="2">
        <v>1000538215</v>
      </c>
      <c r="B3" s="2">
        <f>VLOOKUP(A3,[1]TRATAMIENTI!$A:$B,2,FALSE)</f>
        <v>384</v>
      </c>
      <c r="C3" s="4" t="s">
        <v>929</v>
      </c>
      <c r="D3" s="4">
        <v>3008150394</v>
      </c>
      <c r="E3" s="4" t="s">
        <v>930</v>
      </c>
      <c r="F3" s="4" t="s">
        <v>928</v>
      </c>
      <c r="G3" s="2" t="str">
        <f t="shared" si="0"/>
        <v>ANTIOQUIA</v>
      </c>
      <c r="H3" s="4" t="s">
        <v>924</v>
      </c>
      <c r="I3" s="4" t="s">
        <v>931</v>
      </c>
      <c r="J3" s="2" t="s">
        <v>71</v>
      </c>
      <c r="K3" s="2" t="s">
        <v>71</v>
      </c>
      <c r="L3" s="2" t="s">
        <v>71</v>
      </c>
      <c r="M3" s="2" t="s">
        <v>71</v>
      </c>
      <c r="N3" s="2" t="s">
        <v>71</v>
      </c>
      <c r="O3" s="2" t="s">
        <v>72</v>
      </c>
      <c r="P3" s="2" t="s">
        <v>72</v>
      </c>
      <c r="Q3" s="2" t="s">
        <v>72</v>
      </c>
      <c r="R3" s="2" t="s">
        <v>76</v>
      </c>
      <c r="S3" s="2" t="s">
        <v>72</v>
      </c>
      <c r="T3" s="2" t="s">
        <v>71</v>
      </c>
      <c r="U3" s="2" t="s">
        <v>72</v>
      </c>
      <c r="V3" s="2" t="s">
        <v>76</v>
      </c>
      <c r="W3" s="2" t="s">
        <v>76</v>
      </c>
      <c r="X3" s="2" t="s">
        <v>76</v>
      </c>
      <c r="Y3" s="2" t="s">
        <v>71</v>
      </c>
      <c r="Z3" s="2" t="s">
        <v>72</v>
      </c>
      <c r="AA3" s="2" t="s">
        <v>71</v>
      </c>
      <c r="AB3" s="2" t="s">
        <v>71</v>
      </c>
      <c r="AC3" s="2" t="s">
        <v>71</v>
      </c>
      <c r="AD3" s="2" t="s">
        <v>80</v>
      </c>
      <c r="AF3" s="4">
        <v>2</v>
      </c>
    </row>
    <row r="4" spans="1:32" ht="64" x14ac:dyDescent="0.2">
      <c r="A4" s="4">
        <v>1000638664</v>
      </c>
      <c r="B4" s="2">
        <f>VLOOKUP(A4,[1]TRATAMIENTI!$A:$B,2,FALSE)</f>
        <v>385</v>
      </c>
      <c r="C4" s="4" t="s">
        <v>932</v>
      </c>
      <c r="D4" s="4">
        <v>3046127155</v>
      </c>
      <c r="E4" s="4" t="s">
        <v>933</v>
      </c>
      <c r="F4" s="4" t="s">
        <v>928</v>
      </c>
      <c r="G4" s="2" t="str">
        <f t="shared" si="0"/>
        <v>ANTIOQUIA</v>
      </c>
      <c r="H4" s="4" t="s">
        <v>924</v>
      </c>
      <c r="I4" s="4" t="s">
        <v>931</v>
      </c>
      <c r="J4" s="2" t="s">
        <v>71</v>
      </c>
      <c r="K4" s="2" t="s">
        <v>71</v>
      </c>
      <c r="L4" s="2" t="s">
        <v>71</v>
      </c>
      <c r="M4" s="2" t="s">
        <v>72</v>
      </c>
      <c r="N4" s="2" t="s">
        <v>71</v>
      </c>
      <c r="O4" s="2" t="s">
        <v>72</v>
      </c>
      <c r="P4" s="2" t="s">
        <v>72</v>
      </c>
      <c r="Q4" s="2" t="s">
        <v>72</v>
      </c>
      <c r="R4" s="2" t="s">
        <v>76</v>
      </c>
      <c r="S4" s="2" t="s">
        <v>71</v>
      </c>
      <c r="T4" s="2" t="s">
        <v>71</v>
      </c>
      <c r="U4" s="2" t="s">
        <v>71</v>
      </c>
      <c r="V4" s="2" t="s">
        <v>76</v>
      </c>
      <c r="W4" s="2" t="s">
        <v>76</v>
      </c>
      <c r="X4" s="2" t="s">
        <v>76</v>
      </c>
      <c r="Y4" s="2" t="s">
        <v>72</v>
      </c>
      <c r="Z4" s="2" t="s">
        <v>72</v>
      </c>
      <c r="AA4" s="2" t="s">
        <v>72</v>
      </c>
      <c r="AB4" s="2" t="s">
        <v>71</v>
      </c>
      <c r="AC4" s="2" t="s">
        <v>71</v>
      </c>
      <c r="AD4" s="2" t="s">
        <v>80</v>
      </c>
      <c r="AF4" s="4">
        <v>2</v>
      </c>
    </row>
    <row r="5" spans="1:32" ht="48" x14ac:dyDescent="0.2">
      <c r="A5" s="4">
        <v>1000643548</v>
      </c>
      <c r="B5" s="2">
        <f>VLOOKUP(A5,[1]TRATAMIENTI!$A:$B,2,FALSE)</f>
        <v>386</v>
      </c>
      <c r="C5" s="4" t="s">
        <v>934</v>
      </c>
      <c r="D5" s="4">
        <v>3013585823</v>
      </c>
      <c r="E5" s="4" t="s">
        <v>935</v>
      </c>
      <c r="F5" s="4" t="s">
        <v>928</v>
      </c>
      <c r="G5" s="2" t="str">
        <f t="shared" si="0"/>
        <v>ANTIOQUIA</v>
      </c>
      <c r="H5" s="4" t="s">
        <v>924</v>
      </c>
      <c r="I5" s="4" t="s">
        <v>936</v>
      </c>
      <c r="J5" s="2" t="s">
        <v>71</v>
      </c>
      <c r="K5" s="2" t="s">
        <v>71</v>
      </c>
      <c r="L5" s="2" t="s">
        <v>71</v>
      </c>
      <c r="M5" s="2" t="s">
        <v>72</v>
      </c>
      <c r="N5" s="2" t="s">
        <v>71</v>
      </c>
      <c r="O5" s="2" t="s">
        <v>72</v>
      </c>
      <c r="P5" s="2" t="s">
        <v>72</v>
      </c>
      <c r="Q5" s="2" t="s">
        <v>72</v>
      </c>
      <c r="R5" s="2" t="s">
        <v>76</v>
      </c>
      <c r="S5" s="2" t="s">
        <v>72</v>
      </c>
      <c r="T5" s="2" t="s">
        <v>71</v>
      </c>
      <c r="U5" s="2" t="s">
        <v>72</v>
      </c>
      <c r="V5" s="2" t="s">
        <v>76</v>
      </c>
      <c r="W5" s="2" t="s">
        <v>76</v>
      </c>
      <c r="X5" s="2" t="s">
        <v>76</v>
      </c>
      <c r="Y5" s="2" t="s">
        <v>71</v>
      </c>
      <c r="Z5" s="2" t="s">
        <v>76</v>
      </c>
      <c r="AA5" s="2" t="s">
        <v>71</v>
      </c>
      <c r="AB5" s="2" t="s">
        <v>71</v>
      </c>
      <c r="AC5" s="2" t="s">
        <v>71</v>
      </c>
      <c r="AD5" s="2" t="s">
        <v>80</v>
      </c>
      <c r="AE5" s="5" t="s">
        <v>937</v>
      </c>
      <c r="AF5" s="4">
        <v>2</v>
      </c>
    </row>
    <row r="6" spans="1:32" ht="64" x14ac:dyDescent="0.2">
      <c r="A6" s="4">
        <v>1000871711</v>
      </c>
      <c r="B6" s="2">
        <f>VLOOKUP(A6,[1]TRATAMIENTI!$A:$B,2,FALSE)</f>
        <v>387</v>
      </c>
      <c r="C6" s="4" t="s">
        <v>938</v>
      </c>
      <c r="D6" s="4" t="s">
        <v>939</v>
      </c>
      <c r="E6" s="4" t="s">
        <v>940</v>
      </c>
      <c r="F6" s="4" t="s">
        <v>928</v>
      </c>
      <c r="G6" s="2" t="str">
        <f t="shared" si="0"/>
        <v>ANTIOQUIA</v>
      </c>
      <c r="H6" s="4" t="s">
        <v>924</v>
      </c>
      <c r="I6" s="4" t="s">
        <v>941</v>
      </c>
      <c r="J6" s="2" t="s">
        <v>71</v>
      </c>
      <c r="K6" s="2" t="s">
        <v>71</v>
      </c>
      <c r="L6" s="2" t="s">
        <v>71</v>
      </c>
      <c r="M6" s="2" t="s">
        <v>72</v>
      </c>
      <c r="N6" s="2" t="s">
        <v>71</v>
      </c>
      <c r="O6" s="2" t="s">
        <v>72</v>
      </c>
      <c r="P6" s="2" t="s">
        <v>72</v>
      </c>
      <c r="Q6" s="2" t="s">
        <v>72</v>
      </c>
      <c r="R6" s="2" t="s">
        <v>76</v>
      </c>
      <c r="S6" s="2" t="s">
        <v>72</v>
      </c>
      <c r="T6" s="2" t="s">
        <v>71</v>
      </c>
      <c r="U6" s="2" t="s">
        <v>72</v>
      </c>
      <c r="V6" s="2" t="s">
        <v>71</v>
      </c>
      <c r="W6" s="2" t="s">
        <v>71</v>
      </c>
      <c r="X6" s="2" t="s">
        <v>71</v>
      </c>
      <c r="Y6" s="2" t="s">
        <v>71</v>
      </c>
      <c r="Z6" s="2" t="s">
        <v>71</v>
      </c>
      <c r="AA6" s="2" t="s">
        <v>71</v>
      </c>
      <c r="AB6" s="2" t="s">
        <v>71</v>
      </c>
      <c r="AC6" s="2" t="s">
        <v>71</v>
      </c>
      <c r="AD6" s="2" t="s">
        <v>256</v>
      </c>
      <c r="AF6" s="4">
        <v>3</v>
      </c>
    </row>
    <row r="7" spans="1:32" ht="48" x14ac:dyDescent="0.2">
      <c r="A7" s="4">
        <v>1001359510</v>
      </c>
      <c r="B7" s="2">
        <f>VLOOKUP(A7,[1]TRATAMIENTI!$A:$B,2,FALSE)</f>
        <v>388</v>
      </c>
      <c r="C7" s="4" t="s">
        <v>942</v>
      </c>
      <c r="D7" s="4">
        <v>3246341931</v>
      </c>
      <c r="E7" s="4" t="s">
        <v>943</v>
      </c>
      <c r="F7" s="4" t="s">
        <v>928</v>
      </c>
      <c r="G7" s="2" t="str">
        <f t="shared" si="0"/>
        <v>ANTIOQUIA</v>
      </c>
      <c r="H7" s="4" t="s">
        <v>924</v>
      </c>
      <c r="I7" s="4" t="s">
        <v>944</v>
      </c>
      <c r="J7" s="2" t="s">
        <v>71</v>
      </c>
      <c r="K7" s="2" t="s">
        <v>71</v>
      </c>
      <c r="L7" s="2" t="s">
        <v>71</v>
      </c>
      <c r="M7" s="2" t="s">
        <v>76</v>
      </c>
      <c r="N7" s="2" t="s">
        <v>76</v>
      </c>
      <c r="O7" s="2" t="s">
        <v>72</v>
      </c>
      <c r="P7" s="2" t="s">
        <v>72</v>
      </c>
      <c r="Q7" s="2" t="s">
        <v>72</v>
      </c>
      <c r="R7" s="2" t="s">
        <v>76</v>
      </c>
      <c r="S7" s="2" t="s">
        <v>72</v>
      </c>
      <c r="T7" s="2" t="s">
        <v>71</v>
      </c>
      <c r="U7" s="2" t="s">
        <v>72</v>
      </c>
      <c r="V7" s="2" t="s">
        <v>76</v>
      </c>
      <c r="W7" s="2" t="s">
        <v>76</v>
      </c>
      <c r="X7" s="2" t="s">
        <v>76</v>
      </c>
      <c r="Y7" s="2" t="s">
        <v>72</v>
      </c>
      <c r="Z7" s="2" t="s">
        <v>72</v>
      </c>
      <c r="AA7" s="2" t="s">
        <v>72</v>
      </c>
      <c r="AB7" s="2" t="s">
        <v>72</v>
      </c>
      <c r="AC7" s="2" t="s">
        <v>71</v>
      </c>
      <c r="AD7" s="2" t="s">
        <v>80</v>
      </c>
      <c r="AF7" s="4">
        <v>2</v>
      </c>
    </row>
    <row r="8" spans="1:32" ht="64" x14ac:dyDescent="0.2">
      <c r="A8" s="4">
        <v>1010032037</v>
      </c>
      <c r="B8" s="2">
        <f>VLOOKUP(A8,[1]TRATAMIENTI!$A:$B,2,FALSE)</f>
        <v>389</v>
      </c>
      <c r="C8" s="4" t="s">
        <v>945</v>
      </c>
      <c r="D8" s="4" t="s">
        <v>946</v>
      </c>
      <c r="E8" s="4" t="s">
        <v>947</v>
      </c>
      <c r="F8" s="4" t="s">
        <v>928</v>
      </c>
      <c r="G8" s="2" t="str">
        <f t="shared" si="0"/>
        <v>ANTIOQUIA</v>
      </c>
      <c r="H8" s="4" t="s">
        <v>924</v>
      </c>
      <c r="I8" s="4" t="s">
        <v>948</v>
      </c>
      <c r="J8" s="2" t="s">
        <v>71</v>
      </c>
      <c r="K8" s="2" t="s">
        <v>71</v>
      </c>
      <c r="L8" s="2" t="s">
        <v>71</v>
      </c>
      <c r="M8" s="2" t="s">
        <v>71</v>
      </c>
      <c r="N8" s="2" t="s">
        <v>71</v>
      </c>
      <c r="O8" s="2" t="s">
        <v>72</v>
      </c>
      <c r="P8" s="2" t="s">
        <v>72</v>
      </c>
      <c r="Q8" s="2" t="s">
        <v>72</v>
      </c>
      <c r="R8" s="2" t="s">
        <v>76</v>
      </c>
      <c r="S8" s="2" t="s">
        <v>72</v>
      </c>
      <c r="T8" s="2" t="s">
        <v>72</v>
      </c>
      <c r="U8" s="2" t="s">
        <v>72</v>
      </c>
      <c r="V8" s="2" t="s">
        <v>76</v>
      </c>
      <c r="W8" s="2" t="s">
        <v>76</v>
      </c>
      <c r="X8" s="2" t="s">
        <v>76</v>
      </c>
      <c r="Y8" s="2" t="s">
        <v>72</v>
      </c>
      <c r="Z8" s="2" t="s">
        <v>72</v>
      </c>
      <c r="AA8" s="2" t="s">
        <v>72</v>
      </c>
      <c r="AB8" s="2" t="s">
        <v>72</v>
      </c>
      <c r="AC8" s="2" t="s">
        <v>71</v>
      </c>
      <c r="AD8" s="2" t="s">
        <v>80</v>
      </c>
      <c r="AF8" s="4">
        <v>2</v>
      </c>
    </row>
    <row r="9" spans="1:32" ht="48" x14ac:dyDescent="0.2">
      <c r="A9" s="4">
        <v>1015186975</v>
      </c>
      <c r="B9" s="2">
        <f>VLOOKUP(A9,[1]TRATAMIENTI!$A:$B,2,FALSE)</f>
        <v>390</v>
      </c>
      <c r="C9" s="4" t="s">
        <v>949</v>
      </c>
      <c r="D9" s="4">
        <v>3128382959</v>
      </c>
      <c r="E9" s="4" t="s">
        <v>950</v>
      </c>
      <c r="F9" s="4" t="s">
        <v>928</v>
      </c>
      <c r="G9" s="2" t="str">
        <f t="shared" si="0"/>
        <v>ANTIOQUIA</v>
      </c>
      <c r="H9" s="4" t="s">
        <v>924</v>
      </c>
      <c r="I9" s="4" t="s">
        <v>951</v>
      </c>
      <c r="J9" s="2" t="s">
        <v>76</v>
      </c>
      <c r="K9" s="2" t="s">
        <v>71</v>
      </c>
      <c r="L9" s="2" t="s">
        <v>71</v>
      </c>
      <c r="M9" s="2" t="s">
        <v>76</v>
      </c>
      <c r="N9" s="2" t="s">
        <v>71</v>
      </c>
      <c r="O9" s="2" t="s">
        <v>72</v>
      </c>
      <c r="P9" s="2" t="s">
        <v>72</v>
      </c>
      <c r="Q9" s="2" t="s">
        <v>76</v>
      </c>
      <c r="R9" s="2" t="s">
        <v>72</v>
      </c>
      <c r="S9" s="2" t="s">
        <v>72</v>
      </c>
      <c r="T9" s="2" t="s">
        <v>72</v>
      </c>
      <c r="U9" s="2" t="s">
        <v>72</v>
      </c>
      <c r="V9" s="2" t="s">
        <v>76</v>
      </c>
      <c r="W9" s="2" t="s">
        <v>76</v>
      </c>
      <c r="X9" s="2" t="s">
        <v>76</v>
      </c>
      <c r="Y9" s="2" t="s">
        <v>72</v>
      </c>
      <c r="Z9" s="2" t="s">
        <v>72</v>
      </c>
      <c r="AA9" s="2" t="s">
        <v>72</v>
      </c>
      <c r="AB9" s="2" t="s">
        <v>72</v>
      </c>
      <c r="AC9" s="2" t="s">
        <v>72</v>
      </c>
      <c r="AD9" s="2" t="s">
        <v>80</v>
      </c>
      <c r="AF9" s="4">
        <v>2</v>
      </c>
    </row>
    <row r="10" spans="1:32" ht="64" x14ac:dyDescent="0.2">
      <c r="A10" s="4">
        <v>1017135726</v>
      </c>
      <c r="B10" s="2">
        <f>VLOOKUP(A10,[1]TRATAMIENTI!$A:$B,2,FALSE)</f>
        <v>391</v>
      </c>
      <c r="C10" s="4" t="s">
        <v>952</v>
      </c>
      <c r="D10" s="4">
        <v>3147306019</v>
      </c>
      <c r="E10" s="4" t="s">
        <v>953</v>
      </c>
      <c r="F10" s="4" t="s">
        <v>928</v>
      </c>
      <c r="G10" s="2" t="str">
        <f t="shared" si="0"/>
        <v>ANTIOQUIA</v>
      </c>
      <c r="H10" s="4" t="s">
        <v>924</v>
      </c>
      <c r="I10" s="4" t="s">
        <v>944</v>
      </c>
      <c r="J10" s="2" t="s">
        <v>76</v>
      </c>
      <c r="K10" s="2" t="s">
        <v>71</v>
      </c>
      <c r="L10" s="2" t="s">
        <v>71</v>
      </c>
      <c r="M10" s="2" t="s">
        <v>76</v>
      </c>
      <c r="N10" s="2" t="s">
        <v>71</v>
      </c>
      <c r="O10" s="2" t="s">
        <v>71</v>
      </c>
      <c r="P10" s="2" t="s">
        <v>76</v>
      </c>
      <c r="Q10" s="2" t="s">
        <v>76</v>
      </c>
      <c r="R10" s="2" t="s">
        <v>76</v>
      </c>
      <c r="S10" s="2" t="s">
        <v>71</v>
      </c>
      <c r="T10" s="2" t="s">
        <v>71</v>
      </c>
      <c r="U10" s="2" t="s">
        <v>72</v>
      </c>
      <c r="V10" s="2" t="s">
        <v>76</v>
      </c>
      <c r="W10" s="2" t="s">
        <v>76</v>
      </c>
      <c r="X10" s="2" t="s">
        <v>76</v>
      </c>
      <c r="Y10" s="2" t="s">
        <v>72</v>
      </c>
      <c r="Z10" s="2" t="s">
        <v>72</v>
      </c>
      <c r="AA10" s="2" t="s">
        <v>72</v>
      </c>
      <c r="AB10" s="2" t="s">
        <v>71</v>
      </c>
      <c r="AC10" s="2" t="s">
        <v>71</v>
      </c>
      <c r="AD10" s="2" t="s">
        <v>80</v>
      </c>
      <c r="AF10" s="4">
        <v>2</v>
      </c>
    </row>
    <row r="11" spans="1:32" ht="48" x14ac:dyDescent="0.2">
      <c r="A11" s="4">
        <v>1017152403</v>
      </c>
      <c r="B11" s="2">
        <f>VLOOKUP(A11,[1]TRATAMIENTI!$A:$B,2,FALSE)</f>
        <v>392</v>
      </c>
      <c r="C11" s="4" t="s">
        <v>954</v>
      </c>
      <c r="D11" s="4">
        <v>3023727740</v>
      </c>
      <c r="E11" s="4" t="s">
        <v>955</v>
      </c>
      <c r="F11" s="4" t="s">
        <v>928</v>
      </c>
      <c r="G11" s="2" t="str">
        <f t="shared" si="0"/>
        <v>ANTIOQUIA</v>
      </c>
      <c r="H11" s="4" t="s">
        <v>924</v>
      </c>
      <c r="I11" s="4" t="s">
        <v>931</v>
      </c>
      <c r="J11" s="2" t="s">
        <v>71</v>
      </c>
      <c r="K11" s="2" t="s">
        <v>71</v>
      </c>
      <c r="L11" s="2" t="s">
        <v>71</v>
      </c>
      <c r="M11" s="2" t="s">
        <v>72</v>
      </c>
      <c r="N11" s="2" t="s">
        <v>71</v>
      </c>
      <c r="O11" s="2" t="s">
        <v>72</v>
      </c>
      <c r="P11" s="2" t="s">
        <v>72</v>
      </c>
      <c r="Q11" s="2" t="s">
        <v>72</v>
      </c>
      <c r="R11" s="2" t="s">
        <v>76</v>
      </c>
      <c r="S11" s="2" t="s">
        <v>72</v>
      </c>
      <c r="T11" s="2" t="s">
        <v>71</v>
      </c>
      <c r="U11" s="2" t="s">
        <v>72</v>
      </c>
      <c r="V11" s="2" t="s">
        <v>76</v>
      </c>
      <c r="W11" s="2" t="s">
        <v>76</v>
      </c>
      <c r="X11" s="2" t="s">
        <v>76</v>
      </c>
      <c r="Y11" s="2" t="s">
        <v>72</v>
      </c>
      <c r="Z11" s="2" t="s">
        <v>72</v>
      </c>
      <c r="AA11" s="2" t="s">
        <v>72</v>
      </c>
      <c r="AB11" s="2" t="s">
        <v>72</v>
      </c>
      <c r="AC11" s="2" t="s">
        <v>71</v>
      </c>
      <c r="AD11" s="2" t="s">
        <v>179</v>
      </c>
      <c r="AF11" s="4">
        <v>3</v>
      </c>
    </row>
    <row r="12" spans="1:32" ht="64" x14ac:dyDescent="0.2">
      <c r="A12" s="4">
        <v>1017179652</v>
      </c>
      <c r="B12" s="2">
        <f>VLOOKUP(A12,[1]TRATAMIENTI!$A:$B,2,FALSE)</f>
        <v>393</v>
      </c>
      <c r="C12" s="4" t="s">
        <v>956</v>
      </c>
      <c r="D12" s="4">
        <v>3013683299</v>
      </c>
      <c r="E12" s="4" t="s">
        <v>957</v>
      </c>
      <c r="F12" s="4" t="s">
        <v>928</v>
      </c>
      <c r="G12" s="2" t="str">
        <f t="shared" si="0"/>
        <v>ANTIOQUIA</v>
      </c>
      <c r="H12" s="4" t="s">
        <v>924</v>
      </c>
      <c r="I12" s="4" t="s">
        <v>936</v>
      </c>
      <c r="J12" s="2" t="s">
        <v>71</v>
      </c>
      <c r="K12" s="2" t="s">
        <v>71</v>
      </c>
      <c r="L12" s="2" t="s">
        <v>71</v>
      </c>
      <c r="M12" s="2" t="s">
        <v>72</v>
      </c>
      <c r="N12" s="2" t="s">
        <v>76</v>
      </c>
      <c r="O12" s="2" t="s">
        <v>72</v>
      </c>
      <c r="P12" s="2" t="s">
        <v>72</v>
      </c>
      <c r="Q12" s="2" t="s">
        <v>72</v>
      </c>
      <c r="R12" s="2" t="s">
        <v>76</v>
      </c>
      <c r="S12" s="2" t="s">
        <v>72</v>
      </c>
      <c r="T12" s="2" t="s">
        <v>76</v>
      </c>
      <c r="U12" s="2" t="s">
        <v>72</v>
      </c>
      <c r="V12" s="2" t="s">
        <v>71</v>
      </c>
      <c r="W12" s="2" t="s">
        <v>76</v>
      </c>
      <c r="X12" s="2" t="s">
        <v>76</v>
      </c>
      <c r="Y12" s="2" t="s">
        <v>71</v>
      </c>
      <c r="Z12" s="2" t="s">
        <v>71</v>
      </c>
      <c r="AA12" s="2" t="s">
        <v>71</v>
      </c>
      <c r="AB12" s="2" t="s">
        <v>71</v>
      </c>
      <c r="AC12" s="2" t="s">
        <v>71</v>
      </c>
      <c r="AD12" s="2" t="s">
        <v>80</v>
      </c>
      <c r="AF12" s="4">
        <v>2</v>
      </c>
    </row>
    <row r="13" spans="1:32" ht="48" x14ac:dyDescent="0.2">
      <c r="A13" s="4">
        <v>1017179966</v>
      </c>
      <c r="B13" s="2">
        <f>VLOOKUP(A13,[1]TRATAMIENTI!$A:$B,2,FALSE)</f>
        <v>394</v>
      </c>
      <c r="C13" s="4" t="s">
        <v>958</v>
      </c>
      <c r="D13" s="4">
        <v>3057122874</v>
      </c>
      <c r="E13" s="4" t="s">
        <v>959</v>
      </c>
      <c r="F13" s="4" t="s">
        <v>928</v>
      </c>
      <c r="G13" s="2" t="str">
        <f t="shared" si="0"/>
        <v>ANTIOQUIA</v>
      </c>
      <c r="H13" s="4" t="s">
        <v>924</v>
      </c>
      <c r="I13" s="4" t="s">
        <v>936</v>
      </c>
      <c r="J13" s="2" t="s">
        <v>71</v>
      </c>
      <c r="K13" s="2" t="s">
        <v>71</v>
      </c>
      <c r="L13" s="2" t="s">
        <v>71</v>
      </c>
      <c r="M13" s="2" t="s">
        <v>71</v>
      </c>
      <c r="N13" s="2" t="s">
        <v>71</v>
      </c>
      <c r="O13" s="2" t="s">
        <v>71</v>
      </c>
      <c r="P13" s="2" t="s">
        <v>72</v>
      </c>
      <c r="Q13" s="2" t="s">
        <v>72</v>
      </c>
      <c r="R13" s="2" t="s">
        <v>76</v>
      </c>
      <c r="S13" s="2" t="s">
        <v>71</v>
      </c>
      <c r="T13" s="2" t="s">
        <v>71</v>
      </c>
      <c r="U13" s="2" t="s">
        <v>71</v>
      </c>
      <c r="V13" s="2" t="s">
        <v>71</v>
      </c>
      <c r="W13" s="2" t="s">
        <v>71</v>
      </c>
      <c r="X13" s="2" t="s">
        <v>71</v>
      </c>
      <c r="Y13" s="2" t="s">
        <v>71</v>
      </c>
      <c r="Z13" s="2" t="s">
        <v>71</v>
      </c>
      <c r="AA13" s="2" t="s">
        <v>71</v>
      </c>
      <c r="AB13" s="2" t="s">
        <v>71</v>
      </c>
      <c r="AC13" s="2" t="s">
        <v>71</v>
      </c>
      <c r="AD13" s="2" t="s">
        <v>256</v>
      </c>
      <c r="AF13" s="4">
        <v>2</v>
      </c>
    </row>
    <row r="14" spans="1:32" ht="48" x14ac:dyDescent="0.2">
      <c r="A14" s="4">
        <v>1017190314</v>
      </c>
      <c r="B14" s="2">
        <f>VLOOKUP(A14,[1]TRATAMIENTI!$A:$B,2,FALSE)</f>
        <v>395</v>
      </c>
      <c r="C14" s="4" t="s">
        <v>960</v>
      </c>
      <c r="D14" s="4">
        <v>3013572714</v>
      </c>
      <c r="E14" s="4" t="s">
        <v>961</v>
      </c>
      <c r="F14" s="4" t="s">
        <v>928</v>
      </c>
      <c r="G14" s="2" t="str">
        <f t="shared" si="0"/>
        <v>ANTIOQUIA</v>
      </c>
      <c r="H14" s="4" t="s">
        <v>924</v>
      </c>
      <c r="I14" s="4" t="s">
        <v>948</v>
      </c>
      <c r="J14" s="2" t="s">
        <v>71</v>
      </c>
      <c r="K14" s="2" t="s">
        <v>71</v>
      </c>
      <c r="L14" s="2" t="s">
        <v>71</v>
      </c>
      <c r="M14" s="2" t="s">
        <v>71</v>
      </c>
      <c r="N14" s="2" t="s">
        <v>71</v>
      </c>
      <c r="O14" s="2" t="s">
        <v>72</v>
      </c>
      <c r="P14" s="2" t="s">
        <v>72</v>
      </c>
      <c r="Q14" s="2" t="s">
        <v>72</v>
      </c>
      <c r="R14" s="2" t="s">
        <v>76</v>
      </c>
      <c r="S14" s="2" t="s">
        <v>72</v>
      </c>
      <c r="T14" s="2" t="s">
        <v>72</v>
      </c>
      <c r="U14" s="2" t="s">
        <v>72</v>
      </c>
      <c r="V14" s="2" t="s">
        <v>76</v>
      </c>
      <c r="W14" s="2" t="s">
        <v>76</v>
      </c>
      <c r="X14" s="2" t="s">
        <v>76</v>
      </c>
      <c r="Y14" s="2" t="s">
        <v>72</v>
      </c>
      <c r="Z14" s="2" t="s">
        <v>72</v>
      </c>
      <c r="AA14" s="2" t="s">
        <v>72</v>
      </c>
      <c r="AB14" s="2" t="s">
        <v>72</v>
      </c>
      <c r="AC14" s="2" t="s">
        <v>71</v>
      </c>
      <c r="AD14" s="2" t="s">
        <v>80</v>
      </c>
      <c r="AF14" s="4">
        <v>2</v>
      </c>
    </row>
    <row r="15" spans="1:32" ht="48" x14ac:dyDescent="0.2">
      <c r="A15" s="4">
        <v>1017192472</v>
      </c>
      <c r="B15" s="2">
        <f>VLOOKUP(A15,[1]TRATAMIENTI!$A:$B,2,FALSE)</f>
        <v>396</v>
      </c>
      <c r="C15" s="4" t="s">
        <v>962</v>
      </c>
      <c r="D15" s="4">
        <v>3147620932</v>
      </c>
      <c r="E15" s="4" t="s">
        <v>963</v>
      </c>
      <c r="F15" s="4" t="s">
        <v>928</v>
      </c>
      <c r="G15" s="2" t="str">
        <f t="shared" si="0"/>
        <v>ANTIOQUIA</v>
      </c>
      <c r="H15" s="4" t="s">
        <v>924</v>
      </c>
      <c r="I15" s="4" t="s">
        <v>948</v>
      </c>
      <c r="J15" s="2" t="s">
        <v>76</v>
      </c>
      <c r="K15" s="2" t="s">
        <v>71</v>
      </c>
      <c r="L15" s="2" t="s">
        <v>71</v>
      </c>
      <c r="M15" s="2" t="s">
        <v>72</v>
      </c>
      <c r="N15" s="2" t="s">
        <v>76</v>
      </c>
      <c r="O15" s="2" t="s">
        <v>72</v>
      </c>
      <c r="P15" s="2" t="s">
        <v>72</v>
      </c>
      <c r="Q15" s="2" t="s">
        <v>72</v>
      </c>
      <c r="R15" s="2" t="s">
        <v>76</v>
      </c>
      <c r="S15" s="2" t="s">
        <v>72</v>
      </c>
      <c r="T15" s="2" t="s">
        <v>72</v>
      </c>
      <c r="U15" s="2" t="s">
        <v>72</v>
      </c>
      <c r="V15" s="2" t="s">
        <v>76</v>
      </c>
      <c r="W15" s="2" t="s">
        <v>76</v>
      </c>
      <c r="X15" s="2" t="s">
        <v>76</v>
      </c>
      <c r="Y15" s="2" t="s">
        <v>72</v>
      </c>
      <c r="Z15" s="2" t="s">
        <v>72</v>
      </c>
      <c r="AA15" s="2" t="s">
        <v>72</v>
      </c>
      <c r="AB15" s="2" t="s">
        <v>72</v>
      </c>
      <c r="AC15" s="2" t="s">
        <v>71</v>
      </c>
      <c r="AD15" s="2" t="s">
        <v>80</v>
      </c>
      <c r="AF15" s="4">
        <v>2</v>
      </c>
    </row>
    <row r="16" spans="1:32" ht="48" x14ac:dyDescent="0.2">
      <c r="A16" s="4">
        <v>1017206637</v>
      </c>
      <c r="B16" s="2">
        <f>VLOOKUP(A16,[1]TRATAMIENTI!$A:$B,2,FALSE)</f>
        <v>397</v>
      </c>
      <c r="C16" s="4" t="s">
        <v>964</v>
      </c>
      <c r="D16" s="4">
        <v>3146492065</v>
      </c>
      <c r="E16" s="4" t="s">
        <v>965</v>
      </c>
      <c r="F16" s="4" t="s">
        <v>928</v>
      </c>
      <c r="G16" s="2" t="str">
        <f t="shared" si="0"/>
        <v>ANTIOQUIA</v>
      </c>
      <c r="H16" s="4" t="s">
        <v>924</v>
      </c>
      <c r="I16" s="4" t="s">
        <v>936</v>
      </c>
      <c r="J16" s="2" t="s">
        <v>71</v>
      </c>
      <c r="K16" s="2" t="s">
        <v>71</v>
      </c>
      <c r="L16" s="2" t="s">
        <v>71</v>
      </c>
      <c r="M16" s="2" t="s">
        <v>72</v>
      </c>
      <c r="N16" s="2" t="s">
        <v>71</v>
      </c>
      <c r="O16" s="2" t="s">
        <v>72</v>
      </c>
      <c r="P16" s="2" t="s">
        <v>72</v>
      </c>
      <c r="Q16" s="2" t="s">
        <v>72</v>
      </c>
      <c r="R16" s="2" t="s">
        <v>76</v>
      </c>
      <c r="S16" s="2" t="s">
        <v>72</v>
      </c>
      <c r="T16" s="2" t="s">
        <v>72</v>
      </c>
      <c r="U16" s="2" t="s">
        <v>72</v>
      </c>
      <c r="V16" s="2" t="s">
        <v>76</v>
      </c>
      <c r="W16" s="2" t="s">
        <v>76</v>
      </c>
      <c r="X16" s="2" t="s">
        <v>76</v>
      </c>
      <c r="Y16" s="2" t="s">
        <v>72</v>
      </c>
      <c r="Z16" s="2" t="s">
        <v>72</v>
      </c>
      <c r="AA16" s="2" t="s">
        <v>72</v>
      </c>
      <c r="AB16" s="2" t="s">
        <v>72</v>
      </c>
      <c r="AC16" s="2" t="s">
        <v>71</v>
      </c>
      <c r="AD16" s="2" t="s">
        <v>80</v>
      </c>
      <c r="AF16" s="4">
        <v>2</v>
      </c>
    </row>
    <row r="17" spans="1:32" ht="64" x14ac:dyDescent="0.2">
      <c r="A17" s="4">
        <v>1017212544</v>
      </c>
      <c r="B17" s="2">
        <f>VLOOKUP(A17,[1]TRATAMIENTI!$A:$B,2,FALSE)</f>
        <v>398</v>
      </c>
      <c r="C17" s="4" t="s">
        <v>966</v>
      </c>
      <c r="D17" s="4">
        <v>3182749799</v>
      </c>
      <c r="E17" s="4" t="s">
        <v>967</v>
      </c>
      <c r="F17" s="4" t="s">
        <v>928</v>
      </c>
      <c r="G17" s="2" t="str">
        <f t="shared" si="0"/>
        <v>ANTIOQUIA</v>
      </c>
      <c r="H17" s="4" t="s">
        <v>924</v>
      </c>
      <c r="I17" s="4" t="s">
        <v>941</v>
      </c>
      <c r="J17" s="2" t="s">
        <v>76</v>
      </c>
      <c r="K17" s="2" t="s">
        <v>71</v>
      </c>
      <c r="L17" s="2" t="s">
        <v>71</v>
      </c>
      <c r="M17" s="2" t="s">
        <v>72</v>
      </c>
      <c r="N17" s="2" t="s">
        <v>76</v>
      </c>
      <c r="O17" s="2" t="s">
        <v>72</v>
      </c>
      <c r="P17" s="2" t="s">
        <v>72</v>
      </c>
      <c r="Q17" s="2" t="s">
        <v>72</v>
      </c>
      <c r="R17" s="2" t="s">
        <v>76</v>
      </c>
      <c r="S17" s="2" t="s">
        <v>72</v>
      </c>
      <c r="T17" s="2" t="s">
        <v>72</v>
      </c>
      <c r="U17" s="2" t="s">
        <v>72</v>
      </c>
      <c r="V17" s="2" t="s">
        <v>76</v>
      </c>
      <c r="W17" s="2" t="s">
        <v>76</v>
      </c>
      <c r="X17" s="2" t="s">
        <v>76</v>
      </c>
      <c r="Y17" s="2" t="s">
        <v>72</v>
      </c>
      <c r="Z17" s="2" t="s">
        <v>72</v>
      </c>
      <c r="AA17" s="2" t="s">
        <v>72</v>
      </c>
      <c r="AB17" s="2" t="s">
        <v>72</v>
      </c>
      <c r="AC17" s="2" t="s">
        <v>71</v>
      </c>
      <c r="AD17" s="2" t="s">
        <v>80</v>
      </c>
      <c r="AF17" s="4">
        <v>2</v>
      </c>
    </row>
    <row r="18" spans="1:32" ht="48" x14ac:dyDescent="0.2">
      <c r="A18" s="4">
        <v>1017216558</v>
      </c>
      <c r="B18" s="2">
        <f>VLOOKUP(A18,[1]TRATAMIENTI!$A:$B,2,FALSE)</f>
        <v>399</v>
      </c>
      <c r="C18" s="4" t="s">
        <v>968</v>
      </c>
      <c r="D18" s="4">
        <v>3246020021</v>
      </c>
      <c r="E18" s="4" t="s">
        <v>969</v>
      </c>
      <c r="F18" s="4" t="s">
        <v>928</v>
      </c>
      <c r="G18" s="2" t="str">
        <f t="shared" si="0"/>
        <v>ANTIOQUIA</v>
      </c>
      <c r="H18" s="4" t="s">
        <v>924</v>
      </c>
      <c r="I18" s="4" t="s">
        <v>951</v>
      </c>
      <c r="J18" s="2" t="s">
        <v>76</v>
      </c>
      <c r="K18" s="2" t="s">
        <v>71</v>
      </c>
      <c r="L18" s="2" t="s">
        <v>71</v>
      </c>
      <c r="M18" s="2" t="s">
        <v>72</v>
      </c>
      <c r="N18" s="2" t="s">
        <v>76</v>
      </c>
      <c r="O18" s="2" t="s">
        <v>72</v>
      </c>
      <c r="P18" s="2" t="s">
        <v>72</v>
      </c>
      <c r="Q18" s="2" t="s">
        <v>72</v>
      </c>
      <c r="R18" s="2" t="s">
        <v>76</v>
      </c>
      <c r="S18" s="2" t="s">
        <v>72</v>
      </c>
      <c r="T18" s="2" t="s">
        <v>76</v>
      </c>
      <c r="U18" s="2" t="s">
        <v>72</v>
      </c>
      <c r="V18" s="2" t="s">
        <v>76</v>
      </c>
      <c r="W18" s="2" t="s">
        <v>76</v>
      </c>
      <c r="X18" s="2"/>
      <c r="Y18" s="2" t="s">
        <v>71</v>
      </c>
      <c r="Z18" s="2" t="s">
        <v>76</v>
      </c>
      <c r="AA18" s="2" t="s">
        <v>71</v>
      </c>
      <c r="AB18" s="2" t="s">
        <v>71</v>
      </c>
      <c r="AC18" s="2" t="s">
        <v>71</v>
      </c>
      <c r="AD18" s="2" t="s">
        <v>80</v>
      </c>
      <c r="AF18" s="4">
        <v>2</v>
      </c>
    </row>
    <row r="19" spans="1:32" ht="48" x14ac:dyDescent="0.2">
      <c r="A19" s="4">
        <v>1017233148</v>
      </c>
      <c r="B19" s="2">
        <f>VLOOKUP(A19,[1]TRATAMIENTI!$A:$B,2,FALSE)</f>
        <v>400</v>
      </c>
      <c r="C19" s="4" t="s">
        <v>970</v>
      </c>
      <c r="D19" s="4">
        <v>3016867797</v>
      </c>
      <c r="E19" s="4" t="s">
        <v>971</v>
      </c>
      <c r="F19" s="4" t="s">
        <v>928</v>
      </c>
      <c r="G19" s="2" t="str">
        <f t="shared" si="0"/>
        <v>ANTIOQUIA</v>
      </c>
      <c r="H19" s="4" t="s">
        <v>924</v>
      </c>
      <c r="I19" s="4" t="s">
        <v>931</v>
      </c>
      <c r="J19" s="2" t="s">
        <v>71</v>
      </c>
      <c r="K19" s="2" t="s">
        <v>71</v>
      </c>
      <c r="L19" s="2" t="s">
        <v>76</v>
      </c>
      <c r="M19" s="2" t="s">
        <v>72</v>
      </c>
      <c r="N19" s="2" t="s">
        <v>71</v>
      </c>
      <c r="O19" s="2" t="s">
        <v>72</v>
      </c>
      <c r="P19" s="2" t="s">
        <v>72</v>
      </c>
      <c r="Q19" s="2" t="s">
        <v>72</v>
      </c>
      <c r="R19" s="2" t="s">
        <v>76</v>
      </c>
      <c r="S19" s="2" t="s">
        <v>72</v>
      </c>
      <c r="T19" s="2" t="s">
        <v>71</v>
      </c>
      <c r="U19" s="2" t="s">
        <v>72</v>
      </c>
      <c r="V19" s="2" t="s">
        <v>76</v>
      </c>
      <c r="W19" s="2" t="s">
        <v>76</v>
      </c>
      <c r="X19" s="2" t="s">
        <v>76</v>
      </c>
      <c r="Y19" s="2" t="s">
        <v>72</v>
      </c>
      <c r="Z19" s="2" t="s">
        <v>72</v>
      </c>
      <c r="AA19" s="2" t="s">
        <v>72</v>
      </c>
      <c r="AB19" s="2" t="s">
        <v>72</v>
      </c>
      <c r="AC19" s="2" t="s">
        <v>71</v>
      </c>
      <c r="AD19" s="2" t="s">
        <v>91</v>
      </c>
      <c r="AF19" s="4">
        <v>1</v>
      </c>
    </row>
    <row r="20" spans="1:32" ht="64" x14ac:dyDescent="0.2">
      <c r="A20" s="4">
        <v>1017239115</v>
      </c>
      <c r="B20" s="2">
        <f>VLOOKUP(A20,[1]TRATAMIENTI!$A:$B,2,FALSE)</f>
        <v>401</v>
      </c>
      <c r="C20" s="4" t="s">
        <v>972</v>
      </c>
      <c r="D20" s="4">
        <v>3004080675</v>
      </c>
      <c r="E20" s="4" t="s">
        <v>973</v>
      </c>
      <c r="F20" s="4" t="s">
        <v>928</v>
      </c>
      <c r="G20" s="2" t="str">
        <f t="shared" si="0"/>
        <v>ANTIOQUIA</v>
      </c>
      <c r="H20" s="4" t="s">
        <v>924</v>
      </c>
      <c r="I20" s="4" t="s">
        <v>936</v>
      </c>
      <c r="J20" s="2" t="s">
        <v>71</v>
      </c>
      <c r="K20" s="2" t="s">
        <v>71</v>
      </c>
      <c r="L20" s="2" t="s">
        <v>71</v>
      </c>
      <c r="M20" s="2" t="s">
        <v>71</v>
      </c>
      <c r="N20" s="2" t="s">
        <v>71</v>
      </c>
      <c r="O20" s="2" t="s">
        <v>72</v>
      </c>
      <c r="P20" s="2" t="s">
        <v>72</v>
      </c>
      <c r="Q20" s="2" t="s">
        <v>72</v>
      </c>
      <c r="R20" s="2" t="s">
        <v>76</v>
      </c>
      <c r="S20" s="2" t="s">
        <v>71</v>
      </c>
      <c r="T20" s="2" t="s">
        <v>71</v>
      </c>
      <c r="U20" s="2" t="s">
        <v>71</v>
      </c>
      <c r="V20" s="2" t="s">
        <v>71</v>
      </c>
      <c r="W20" s="2" t="s">
        <v>71</v>
      </c>
      <c r="X20" s="2" t="s">
        <v>71</v>
      </c>
      <c r="Y20" s="2" t="s">
        <v>71</v>
      </c>
      <c r="Z20" s="2" t="s">
        <v>71</v>
      </c>
      <c r="AA20" s="2" t="s">
        <v>71</v>
      </c>
      <c r="AB20" s="2" t="s">
        <v>71</v>
      </c>
      <c r="AC20" s="2" t="s">
        <v>71</v>
      </c>
      <c r="AD20" s="2" t="s">
        <v>256</v>
      </c>
      <c r="AF20" s="4">
        <v>2</v>
      </c>
    </row>
    <row r="21" spans="1:32" ht="48" x14ac:dyDescent="0.2">
      <c r="A21" s="4">
        <v>1017247299</v>
      </c>
      <c r="B21" s="2">
        <f>VLOOKUP(A21,[1]TRATAMIENTI!$A:$B,2,FALSE)</f>
        <v>402</v>
      </c>
      <c r="C21" s="4" t="s">
        <v>974</v>
      </c>
      <c r="D21" s="4" t="s">
        <v>975</v>
      </c>
      <c r="E21" s="4" t="s">
        <v>976</v>
      </c>
      <c r="F21" s="4" t="s">
        <v>928</v>
      </c>
      <c r="G21" s="2" t="str">
        <f t="shared" si="0"/>
        <v>ANTIOQUIA</v>
      </c>
      <c r="H21" s="4" t="s">
        <v>924</v>
      </c>
      <c r="I21" s="4" t="s">
        <v>931</v>
      </c>
      <c r="J21" s="2" t="s">
        <v>71</v>
      </c>
      <c r="K21" s="2" t="s">
        <v>71</v>
      </c>
      <c r="L21" s="2" t="s">
        <v>71</v>
      </c>
      <c r="M21" s="2" t="s">
        <v>72</v>
      </c>
      <c r="N21" s="2" t="s">
        <v>71</v>
      </c>
      <c r="O21" s="2" t="s">
        <v>72</v>
      </c>
      <c r="P21" s="2" t="s">
        <v>72</v>
      </c>
      <c r="Q21" s="2" t="s">
        <v>72</v>
      </c>
      <c r="R21" s="2" t="s">
        <v>76</v>
      </c>
      <c r="S21" s="2" t="s">
        <v>72</v>
      </c>
      <c r="T21" s="2" t="s">
        <v>71</v>
      </c>
      <c r="U21" s="2" t="s">
        <v>72</v>
      </c>
      <c r="V21" s="2" t="s">
        <v>76</v>
      </c>
      <c r="W21" s="2" t="s">
        <v>76</v>
      </c>
      <c r="X21" s="2" t="s">
        <v>76</v>
      </c>
      <c r="Y21" s="2" t="s">
        <v>72</v>
      </c>
      <c r="Z21" s="2" t="s">
        <v>72</v>
      </c>
      <c r="AA21" s="2" t="s">
        <v>72</v>
      </c>
      <c r="AB21" s="2" t="s">
        <v>72</v>
      </c>
      <c r="AC21" s="2" t="s">
        <v>71</v>
      </c>
      <c r="AD21" s="2" t="s">
        <v>80</v>
      </c>
      <c r="AF21" s="4">
        <v>3</v>
      </c>
    </row>
    <row r="22" spans="1:32" ht="48" x14ac:dyDescent="0.2">
      <c r="A22" s="4">
        <v>1017248051</v>
      </c>
      <c r="B22" s="2">
        <f>VLOOKUP(A22,[1]TRATAMIENTI!$A:$B,2,FALSE)</f>
        <v>403</v>
      </c>
      <c r="C22" s="4" t="s">
        <v>977</v>
      </c>
      <c r="D22" s="4">
        <v>3214015015</v>
      </c>
      <c r="E22" s="4" t="s">
        <v>978</v>
      </c>
      <c r="F22" s="4" t="s">
        <v>928</v>
      </c>
      <c r="G22" s="2" t="str">
        <f t="shared" si="0"/>
        <v>ANTIOQUIA</v>
      </c>
      <c r="H22" s="4" t="s">
        <v>924</v>
      </c>
      <c r="I22" s="4" t="s">
        <v>948</v>
      </c>
      <c r="J22" s="2" t="s">
        <v>76</v>
      </c>
      <c r="K22" s="2" t="s">
        <v>71</v>
      </c>
      <c r="L22" s="2" t="s">
        <v>71</v>
      </c>
      <c r="M22" s="2" t="s">
        <v>72</v>
      </c>
      <c r="N22" s="2" t="s">
        <v>71</v>
      </c>
      <c r="O22" s="2" t="s">
        <v>71</v>
      </c>
      <c r="P22" s="2" t="s">
        <v>76</v>
      </c>
      <c r="Q22" s="2" t="s">
        <v>76</v>
      </c>
      <c r="R22" s="2" t="s">
        <v>76</v>
      </c>
      <c r="S22" s="2" t="s">
        <v>72</v>
      </c>
      <c r="T22" s="2" t="s">
        <v>72</v>
      </c>
      <c r="U22" s="2" t="s">
        <v>72</v>
      </c>
      <c r="V22" s="2" t="s">
        <v>76</v>
      </c>
      <c r="W22" s="2" t="s">
        <v>76</v>
      </c>
      <c r="X22" s="2" t="s">
        <v>76</v>
      </c>
      <c r="Y22" s="2" t="s">
        <v>72</v>
      </c>
      <c r="Z22" s="2" t="s">
        <v>72</v>
      </c>
      <c r="AA22" s="2" t="s">
        <v>72</v>
      </c>
      <c r="AB22" s="2" t="s">
        <v>72</v>
      </c>
      <c r="AC22" s="2" t="s">
        <v>71</v>
      </c>
      <c r="AD22" s="2" t="s">
        <v>80</v>
      </c>
      <c r="AF22" s="4">
        <v>2</v>
      </c>
    </row>
    <row r="23" spans="1:32" ht="48" x14ac:dyDescent="0.2">
      <c r="A23" s="4">
        <v>1017266133</v>
      </c>
      <c r="B23" s="2">
        <f>VLOOKUP(A23,[1]TRATAMIENTI!$A:$B,2,FALSE)</f>
        <v>404</v>
      </c>
      <c r="C23" s="4" t="s">
        <v>979</v>
      </c>
      <c r="D23" s="4">
        <v>3218338735</v>
      </c>
      <c r="E23" s="4" t="s">
        <v>980</v>
      </c>
      <c r="F23" s="4" t="s">
        <v>928</v>
      </c>
      <c r="G23" s="2" t="str">
        <f t="shared" si="0"/>
        <v>ANTIOQUIA</v>
      </c>
      <c r="H23" s="4" t="s">
        <v>924</v>
      </c>
      <c r="I23" s="4" t="s">
        <v>931</v>
      </c>
      <c r="J23" s="2" t="s">
        <v>71</v>
      </c>
      <c r="K23" s="2" t="s">
        <v>71</v>
      </c>
      <c r="L23" s="2" t="s">
        <v>76</v>
      </c>
      <c r="M23" s="2" t="s">
        <v>72</v>
      </c>
      <c r="N23" s="2" t="s">
        <v>71</v>
      </c>
      <c r="O23" s="2" t="s">
        <v>72</v>
      </c>
      <c r="P23" s="2" t="s">
        <v>72</v>
      </c>
      <c r="Q23" s="2" t="s">
        <v>72</v>
      </c>
      <c r="R23" s="2" t="s">
        <v>76</v>
      </c>
      <c r="S23" s="2" t="s">
        <v>72</v>
      </c>
      <c r="T23" s="2" t="s">
        <v>72</v>
      </c>
      <c r="U23" s="2" t="s">
        <v>72</v>
      </c>
      <c r="V23" s="2" t="s">
        <v>76</v>
      </c>
      <c r="W23" s="2" t="s">
        <v>76</v>
      </c>
      <c r="X23" s="2" t="s">
        <v>76</v>
      </c>
      <c r="Y23" s="2" t="s">
        <v>72</v>
      </c>
      <c r="Z23" s="2" t="s">
        <v>72</v>
      </c>
      <c r="AA23" s="2" t="s">
        <v>72</v>
      </c>
      <c r="AB23" s="2" t="s">
        <v>72</v>
      </c>
      <c r="AC23" s="2" t="s">
        <v>71</v>
      </c>
      <c r="AD23" s="2" t="s">
        <v>91</v>
      </c>
      <c r="AF23" s="4">
        <v>1</v>
      </c>
    </row>
    <row r="24" spans="1:32" ht="48" x14ac:dyDescent="0.2">
      <c r="A24" s="4">
        <v>1017269447</v>
      </c>
      <c r="B24" s="2">
        <f>VLOOKUP(A24,[1]TRATAMIENTI!$A:$B,2,FALSE)</f>
        <v>405</v>
      </c>
      <c r="C24" s="4" t="s">
        <v>981</v>
      </c>
      <c r="D24" s="4">
        <v>3015521500</v>
      </c>
      <c r="E24" s="4" t="s">
        <v>982</v>
      </c>
      <c r="F24" s="4" t="s">
        <v>928</v>
      </c>
      <c r="G24" s="2" t="str">
        <f t="shared" si="0"/>
        <v>ANTIOQUIA</v>
      </c>
      <c r="H24" s="4" t="s">
        <v>924</v>
      </c>
      <c r="I24" s="4" t="s">
        <v>944</v>
      </c>
      <c r="J24" s="2" t="s">
        <v>76</v>
      </c>
      <c r="K24" s="2" t="s">
        <v>71</v>
      </c>
      <c r="L24" s="2" t="s">
        <v>71</v>
      </c>
      <c r="M24" s="2" t="s">
        <v>76</v>
      </c>
      <c r="N24" s="2" t="s">
        <v>71</v>
      </c>
      <c r="O24" s="2" t="s">
        <v>72</v>
      </c>
      <c r="P24" s="2" t="s">
        <v>72</v>
      </c>
      <c r="Q24" s="2" t="s">
        <v>72</v>
      </c>
      <c r="R24" s="2" t="s">
        <v>76</v>
      </c>
      <c r="S24" s="2" t="s">
        <v>72</v>
      </c>
      <c r="T24" s="2" t="s">
        <v>72</v>
      </c>
      <c r="U24" s="2" t="s">
        <v>72</v>
      </c>
      <c r="V24" s="2" t="s">
        <v>76</v>
      </c>
      <c r="W24" s="2" t="s">
        <v>76</v>
      </c>
      <c r="X24" s="2" t="s">
        <v>76</v>
      </c>
      <c r="Y24" s="2" t="s">
        <v>72</v>
      </c>
      <c r="Z24" s="2" t="s">
        <v>72</v>
      </c>
      <c r="AA24" s="2" t="s">
        <v>72</v>
      </c>
      <c r="AB24" s="2" t="s">
        <v>72</v>
      </c>
      <c r="AC24" s="2" t="s">
        <v>71</v>
      </c>
      <c r="AD24" s="2" t="s">
        <v>80</v>
      </c>
      <c r="AF24" s="4">
        <v>2</v>
      </c>
    </row>
    <row r="25" spans="1:32" ht="48" x14ac:dyDescent="0.2">
      <c r="A25" s="4">
        <v>1017269998</v>
      </c>
      <c r="B25" s="2">
        <f>VLOOKUP(A25,[1]TRATAMIENTI!$A:$B,2,FALSE)</f>
        <v>406</v>
      </c>
      <c r="C25" s="4" t="s">
        <v>983</v>
      </c>
      <c r="D25" s="4">
        <v>3012948731</v>
      </c>
      <c r="E25" s="4" t="s">
        <v>984</v>
      </c>
      <c r="F25" s="4" t="s">
        <v>928</v>
      </c>
      <c r="G25" s="2" t="str">
        <f t="shared" si="0"/>
        <v>ANTIOQUIA</v>
      </c>
      <c r="H25" s="4" t="s">
        <v>924</v>
      </c>
      <c r="I25" s="4" t="s">
        <v>948</v>
      </c>
      <c r="J25" s="2" t="s">
        <v>71</v>
      </c>
      <c r="K25" s="2" t="s">
        <v>71</v>
      </c>
      <c r="L25" s="2" t="s">
        <v>71</v>
      </c>
      <c r="M25" s="2" t="s">
        <v>72</v>
      </c>
      <c r="N25" s="2" t="s">
        <v>76</v>
      </c>
      <c r="O25" s="2" t="s">
        <v>72</v>
      </c>
      <c r="P25" s="2" t="s">
        <v>72</v>
      </c>
      <c r="Q25" s="2" t="s">
        <v>72</v>
      </c>
      <c r="R25" s="2" t="s">
        <v>76</v>
      </c>
      <c r="S25" s="2" t="s">
        <v>72</v>
      </c>
      <c r="T25" s="2" t="s">
        <v>76</v>
      </c>
      <c r="U25" s="2" t="s">
        <v>72</v>
      </c>
      <c r="V25" s="2" t="s">
        <v>76</v>
      </c>
      <c r="W25" s="2" t="s">
        <v>76</v>
      </c>
      <c r="X25" s="2" t="s">
        <v>76</v>
      </c>
      <c r="Y25" s="2" t="s">
        <v>71</v>
      </c>
      <c r="Z25" s="2" t="s">
        <v>72</v>
      </c>
      <c r="AA25" s="2" t="s">
        <v>72</v>
      </c>
      <c r="AB25" s="2" t="s">
        <v>71</v>
      </c>
      <c r="AC25" s="2" t="s">
        <v>71</v>
      </c>
      <c r="AD25" s="2" t="s">
        <v>80</v>
      </c>
      <c r="AF25" s="4">
        <v>2</v>
      </c>
    </row>
    <row r="26" spans="1:32" ht="80" x14ac:dyDescent="0.2">
      <c r="A26" s="4">
        <v>1020482801</v>
      </c>
      <c r="B26" s="2">
        <f>VLOOKUP(A26,[1]TRATAMIENTI!$A:$B,2,FALSE)</f>
        <v>407</v>
      </c>
      <c r="C26" s="4" t="s">
        <v>985</v>
      </c>
      <c r="D26" s="4">
        <v>3022129878</v>
      </c>
      <c r="E26" s="4" t="s">
        <v>986</v>
      </c>
      <c r="F26" s="4" t="s">
        <v>928</v>
      </c>
      <c r="G26" s="2" t="str">
        <f t="shared" si="0"/>
        <v>ANTIOQUIA</v>
      </c>
      <c r="H26" s="4" t="s">
        <v>924</v>
      </c>
      <c r="I26" s="4" t="s">
        <v>941</v>
      </c>
      <c r="J26" s="2" t="s">
        <v>76</v>
      </c>
      <c r="K26" s="2" t="s">
        <v>71</v>
      </c>
      <c r="L26" s="2" t="s">
        <v>71</v>
      </c>
      <c r="M26" s="2" t="s">
        <v>72</v>
      </c>
      <c r="N26" s="2" t="s">
        <v>71</v>
      </c>
      <c r="O26" s="2" t="s">
        <v>72</v>
      </c>
      <c r="P26" s="2" t="s">
        <v>72</v>
      </c>
      <c r="Q26" s="2" t="s">
        <v>72</v>
      </c>
      <c r="R26" s="2" t="s">
        <v>76</v>
      </c>
      <c r="S26" s="2" t="s">
        <v>72</v>
      </c>
      <c r="T26" s="2" t="s">
        <v>72</v>
      </c>
      <c r="U26" s="2" t="s">
        <v>72</v>
      </c>
      <c r="V26" s="2" t="s">
        <v>72</v>
      </c>
      <c r="W26" s="2" t="s">
        <v>72</v>
      </c>
      <c r="X26" s="2" t="s">
        <v>72</v>
      </c>
      <c r="Y26" s="2" t="s">
        <v>72</v>
      </c>
      <c r="Z26" s="2" t="s">
        <v>72</v>
      </c>
      <c r="AA26" s="2" t="s">
        <v>72</v>
      </c>
      <c r="AB26" s="2" t="s">
        <v>72</v>
      </c>
      <c r="AC26" s="2" t="s">
        <v>71</v>
      </c>
      <c r="AD26" s="2" t="s">
        <v>80</v>
      </c>
      <c r="AF26" s="4">
        <v>2</v>
      </c>
    </row>
    <row r="27" spans="1:32" ht="48" x14ac:dyDescent="0.2">
      <c r="A27" s="4">
        <v>1022124557</v>
      </c>
      <c r="B27" s="2">
        <f>VLOOKUP(A27,[1]TRATAMIENTI!$A:$B,2,FALSE)</f>
        <v>408</v>
      </c>
      <c r="C27" s="4" t="s">
        <v>987</v>
      </c>
      <c r="D27" s="4">
        <v>3145353027</v>
      </c>
      <c r="E27" s="4" t="s">
        <v>988</v>
      </c>
      <c r="F27" s="4" t="s">
        <v>928</v>
      </c>
      <c r="G27" s="2" t="str">
        <f t="shared" si="0"/>
        <v>ANTIOQUIA</v>
      </c>
      <c r="H27" s="4" t="s">
        <v>924</v>
      </c>
      <c r="I27" s="4" t="s">
        <v>936</v>
      </c>
      <c r="J27" s="2" t="s">
        <v>71</v>
      </c>
      <c r="K27" s="2" t="s">
        <v>71</v>
      </c>
      <c r="L27" s="2" t="s">
        <v>71</v>
      </c>
      <c r="M27" s="2" t="s">
        <v>72</v>
      </c>
      <c r="N27" s="2" t="s">
        <v>71</v>
      </c>
      <c r="O27" s="2" t="s">
        <v>72</v>
      </c>
      <c r="P27" s="2" t="s">
        <v>72</v>
      </c>
      <c r="Q27" s="2" t="s">
        <v>72</v>
      </c>
      <c r="R27" s="2" t="s">
        <v>76</v>
      </c>
      <c r="S27" s="2" t="s">
        <v>72</v>
      </c>
      <c r="T27" s="2" t="s">
        <v>76</v>
      </c>
      <c r="U27" s="2" t="s">
        <v>72</v>
      </c>
      <c r="V27" s="2" t="s">
        <v>71</v>
      </c>
      <c r="W27" s="2" t="s">
        <v>76</v>
      </c>
      <c r="X27" s="2" t="s">
        <v>76</v>
      </c>
      <c r="Y27" s="2" t="s">
        <v>71</v>
      </c>
      <c r="Z27" s="2" t="s">
        <v>72</v>
      </c>
      <c r="AA27" s="2" t="s">
        <v>71</v>
      </c>
      <c r="AB27" s="2" t="s">
        <v>71</v>
      </c>
      <c r="AC27" s="2" t="s">
        <v>71</v>
      </c>
      <c r="AD27" s="2" t="s">
        <v>80</v>
      </c>
      <c r="AF27" s="4">
        <v>2</v>
      </c>
    </row>
    <row r="28" spans="1:32" ht="48" x14ac:dyDescent="0.2">
      <c r="A28" s="4">
        <v>1022125326</v>
      </c>
      <c r="B28" s="2">
        <f>VLOOKUP(A28,[1]TRATAMIENTI!$A:$B,2,FALSE)</f>
        <v>409</v>
      </c>
      <c r="C28" s="4" t="s">
        <v>989</v>
      </c>
      <c r="D28" s="4">
        <v>3223989745</v>
      </c>
      <c r="E28" s="4" t="s">
        <v>988</v>
      </c>
      <c r="F28" s="4" t="s">
        <v>928</v>
      </c>
      <c r="G28" s="2" t="str">
        <f t="shared" si="0"/>
        <v>ANTIOQUIA</v>
      </c>
      <c r="H28" s="4" t="s">
        <v>924</v>
      </c>
      <c r="I28" s="4" t="s">
        <v>936</v>
      </c>
      <c r="J28" s="2" t="s">
        <v>71</v>
      </c>
      <c r="K28" s="2" t="s">
        <v>71</v>
      </c>
      <c r="L28" s="2" t="s">
        <v>71</v>
      </c>
      <c r="M28" s="2" t="s">
        <v>72</v>
      </c>
      <c r="N28" s="2" t="s">
        <v>71</v>
      </c>
      <c r="O28" s="2" t="s">
        <v>72</v>
      </c>
      <c r="P28" s="2" t="s">
        <v>72</v>
      </c>
      <c r="Q28" s="2" t="s">
        <v>72</v>
      </c>
      <c r="R28" s="2" t="s">
        <v>76</v>
      </c>
      <c r="S28" s="2" t="s">
        <v>71</v>
      </c>
      <c r="T28" s="2" t="s">
        <v>71</v>
      </c>
      <c r="U28" s="2" t="s">
        <v>71</v>
      </c>
      <c r="V28" s="2" t="s">
        <v>71</v>
      </c>
      <c r="W28" s="2" t="s">
        <v>76</v>
      </c>
      <c r="X28" s="2" t="s">
        <v>76</v>
      </c>
      <c r="Y28" s="2" t="s">
        <v>71</v>
      </c>
      <c r="Z28" s="2" t="s">
        <v>72</v>
      </c>
      <c r="AA28" s="2" t="s">
        <v>71</v>
      </c>
      <c r="AB28" s="2" t="s">
        <v>71</v>
      </c>
      <c r="AC28" s="2" t="s">
        <v>71</v>
      </c>
      <c r="AD28" s="2" t="s">
        <v>80</v>
      </c>
      <c r="AF28" s="4">
        <v>2</v>
      </c>
    </row>
    <row r="29" spans="1:32" ht="48" x14ac:dyDescent="0.2">
      <c r="A29" s="4">
        <v>1025640590</v>
      </c>
      <c r="B29" s="2">
        <f>VLOOKUP(A29,[1]TRATAMIENTI!$A:$B,2,FALSE)</f>
        <v>410</v>
      </c>
      <c r="C29" s="4" t="s">
        <v>990</v>
      </c>
      <c r="D29" s="4">
        <v>3054512557</v>
      </c>
      <c r="E29" s="4" t="s">
        <v>991</v>
      </c>
      <c r="F29" s="4" t="s">
        <v>928</v>
      </c>
      <c r="G29" s="2" t="str">
        <f t="shared" si="0"/>
        <v>ANTIOQUIA</v>
      </c>
      <c r="H29" s="4" t="s">
        <v>924</v>
      </c>
      <c r="I29" s="4" t="s">
        <v>951</v>
      </c>
      <c r="J29" s="2" t="s">
        <v>76</v>
      </c>
      <c r="K29" s="2" t="s">
        <v>71</v>
      </c>
      <c r="L29" s="2" t="s">
        <v>72</v>
      </c>
      <c r="M29" s="2" t="s">
        <v>72</v>
      </c>
      <c r="N29" s="2" t="s">
        <v>71</v>
      </c>
      <c r="O29" s="2" t="s">
        <v>72</v>
      </c>
      <c r="P29" s="2" t="s">
        <v>72</v>
      </c>
      <c r="Q29" s="2" t="s">
        <v>72</v>
      </c>
      <c r="R29" s="2" t="s">
        <v>76</v>
      </c>
      <c r="S29" s="2" t="s">
        <v>72</v>
      </c>
      <c r="T29" s="2" t="s">
        <v>71</v>
      </c>
      <c r="U29" s="2" t="s">
        <v>72</v>
      </c>
      <c r="V29" s="2" t="s">
        <v>76</v>
      </c>
      <c r="W29" s="2" t="s">
        <v>76</v>
      </c>
      <c r="X29" s="2" t="s">
        <v>76</v>
      </c>
      <c r="Y29" s="2" t="s">
        <v>76</v>
      </c>
      <c r="Z29" s="2" t="s">
        <v>72</v>
      </c>
      <c r="AA29" s="2" t="s">
        <v>72</v>
      </c>
      <c r="AB29" s="2" t="s">
        <v>72</v>
      </c>
      <c r="AC29" s="2" t="s">
        <v>71</v>
      </c>
      <c r="AD29" s="2" t="s">
        <v>80</v>
      </c>
      <c r="AF29" s="4">
        <v>2</v>
      </c>
    </row>
    <row r="30" spans="1:32" ht="48" x14ac:dyDescent="0.2">
      <c r="A30" s="4">
        <v>1025665487</v>
      </c>
      <c r="B30" s="2">
        <f>VLOOKUP(A30,[1]TRATAMIENTI!$A:$B,2,FALSE)</f>
        <v>411</v>
      </c>
      <c r="C30" s="4" t="s">
        <v>992</v>
      </c>
      <c r="D30" s="4">
        <v>3002321015</v>
      </c>
      <c r="E30" s="4" t="s">
        <v>993</v>
      </c>
      <c r="F30" s="4" t="s">
        <v>928</v>
      </c>
      <c r="G30" s="2" t="str">
        <f t="shared" si="0"/>
        <v>ANTIOQUIA</v>
      </c>
      <c r="H30" s="4" t="s">
        <v>924</v>
      </c>
      <c r="I30" s="4" t="s">
        <v>931</v>
      </c>
      <c r="J30" s="2" t="s">
        <v>71</v>
      </c>
      <c r="K30" s="2" t="s">
        <v>71</v>
      </c>
      <c r="L30" s="2" t="s">
        <v>76</v>
      </c>
      <c r="M30" s="2" t="s">
        <v>72</v>
      </c>
      <c r="N30" s="2" t="s">
        <v>71</v>
      </c>
      <c r="O30" s="2" t="s">
        <v>72</v>
      </c>
      <c r="P30" s="2" t="s">
        <v>72</v>
      </c>
      <c r="Q30" s="2" t="s">
        <v>72</v>
      </c>
      <c r="R30" s="2" t="s">
        <v>76</v>
      </c>
      <c r="S30" s="2" t="s">
        <v>72</v>
      </c>
      <c r="T30" s="2" t="s">
        <v>72</v>
      </c>
      <c r="U30" s="2" t="s">
        <v>72</v>
      </c>
      <c r="V30" s="2" t="s">
        <v>76</v>
      </c>
      <c r="W30" s="2" t="s">
        <v>76</v>
      </c>
      <c r="X30" s="2" t="s">
        <v>76</v>
      </c>
      <c r="Y30" s="2" t="s">
        <v>72</v>
      </c>
      <c r="Z30" s="2" t="s">
        <v>72</v>
      </c>
      <c r="AA30" s="2" t="s">
        <v>72</v>
      </c>
      <c r="AB30" s="2" t="s">
        <v>71</v>
      </c>
      <c r="AC30" s="2" t="s">
        <v>71</v>
      </c>
      <c r="AD30" s="2" t="s">
        <v>91</v>
      </c>
      <c r="AF30" s="4">
        <v>1</v>
      </c>
    </row>
    <row r="31" spans="1:32" ht="48" x14ac:dyDescent="0.2">
      <c r="A31" s="4">
        <v>1026145865</v>
      </c>
      <c r="B31" s="2">
        <f>VLOOKUP(A31,[1]TRATAMIENTI!$A:$B,2,FALSE)</f>
        <v>412</v>
      </c>
      <c r="C31" s="4" t="s">
        <v>994</v>
      </c>
      <c r="D31" s="4" t="s">
        <v>995</v>
      </c>
      <c r="E31" s="4" t="s">
        <v>996</v>
      </c>
      <c r="F31" s="4" t="s">
        <v>928</v>
      </c>
      <c r="G31" s="2" t="str">
        <f t="shared" si="0"/>
        <v>ANTIOQUIA</v>
      </c>
      <c r="H31" s="4" t="s">
        <v>924</v>
      </c>
      <c r="I31" s="4" t="s">
        <v>948</v>
      </c>
      <c r="J31" s="2" t="s">
        <v>76</v>
      </c>
      <c r="K31" s="2" t="s">
        <v>71</v>
      </c>
      <c r="L31" s="2" t="s">
        <v>71</v>
      </c>
      <c r="M31" s="2" t="s">
        <v>76</v>
      </c>
      <c r="N31" s="2" t="s">
        <v>71</v>
      </c>
      <c r="O31" s="2" t="s">
        <v>71</v>
      </c>
      <c r="P31" s="2" t="s">
        <v>72</v>
      </c>
      <c r="Q31" s="2" t="s">
        <v>72</v>
      </c>
      <c r="R31" s="2" t="s">
        <v>76</v>
      </c>
      <c r="S31" s="2" t="s">
        <v>72</v>
      </c>
      <c r="T31" s="2" t="s">
        <v>72</v>
      </c>
      <c r="U31" s="2" t="s">
        <v>72</v>
      </c>
      <c r="V31" s="2" t="s">
        <v>71</v>
      </c>
      <c r="W31" s="2" t="s">
        <v>71</v>
      </c>
      <c r="X31" s="2" t="s">
        <v>71</v>
      </c>
      <c r="Y31" s="2" t="s">
        <v>71</v>
      </c>
      <c r="Z31" s="2" t="s">
        <v>71</v>
      </c>
      <c r="AA31" s="2" t="s">
        <v>71</v>
      </c>
      <c r="AB31" s="2" t="s">
        <v>71</v>
      </c>
      <c r="AC31" s="2" t="s">
        <v>71</v>
      </c>
      <c r="AD31" s="2" t="s">
        <v>256</v>
      </c>
      <c r="AF31" s="4">
        <v>2</v>
      </c>
    </row>
    <row r="32" spans="1:32" ht="48" x14ac:dyDescent="0.2">
      <c r="A32" s="4">
        <v>1036601648</v>
      </c>
      <c r="B32" s="2">
        <f>VLOOKUP(A32,[1]TRATAMIENTI!$A:$B,2,FALSE)</f>
        <v>413</v>
      </c>
      <c r="C32" s="4" t="s">
        <v>997</v>
      </c>
      <c r="D32" s="4" t="s">
        <v>998</v>
      </c>
      <c r="E32" s="4" t="s">
        <v>999</v>
      </c>
      <c r="F32" s="4" t="s">
        <v>928</v>
      </c>
      <c r="G32" s="2" t="str">
        <f t="shared" si="0"/>
        <v>ANTIOQUIA</v>
      </c>
      <c r="H32" s="4" t="s">
        <v>924</v>
      </c>
      <c r="I32" s="4" t="s">
        <v>951</v>
      </c>
      <c r="J32" s="2" t="s">
        <v>71</v>
      </c>
      <c r="K32" s="2" t="s">
        <v>71</v>
      </c>
      <c r="L32" s="2" t="s">
        <v>71</v>
      </c>
      <c r="M32" s="2" t="s">
        <v>72</v>
      </c>
      <c r="N32" s="2" t="s">
        <v>71</v>
      </c>
      <c r="O32" s="2" t="s">
        <v>72</v>
      </c>
      <c r="P32" s="2" t="s">
        <v>72</v>
      </c>
      <c r="Q32" s="2" t="s">
        <v>72</v>
      </c>
      <c r="R32" s="2" t="s">
        <v>76</v>
      </c>
      <c r="S32" s="2" t="s">
        <v>72</v>
      </c>
      <c r="T32" s="2" t="s">
        <v>71</v>
      </c>
      <c r="U32" s="2" t="s">
        <v>72</v>
      </c>
      <c r="V32" s="2" t="s">
        <v>76</v>
      </c>
      <c r="W32" s="2" t="s">
        <v>76</v>
      </c>
      <c r="X32" s="2" t="s">
        <v>76</v>
      </c>
      <c r="Y32" s="2" t="s">
        <v>72</v>
      </c>
      <c r="Z32" s="2" t="s">
        <v>72</v>
      </c>
      <c r="AA32" s="2" t="s">
        <v>72</v>
      </c>
      <c r="AB32" s="2" t="s">
        <v>71</v>
      </c>
      <c r="AC32" s="2" t="s">
        <v>71</v>
      </c>
      <c r="AD32" s="2" t="s">
        <v>80</v>
      </c>
      <c r="AF32" s="4">
        <v>2</v>
      </c>
    </row>
    <row r="33" spans="1:32" ht="48" x14ac:dyDescent="0.2">
      <c r="A33" s="4">
        <v>1036934154</v>
      </c>
      <c r="B33" s="2">
        <f>VLOOKUP(A33,[1]TRATAMIENTI!$A:$B,2,FALSE)</f>
        <v>414</v>
      </c>
      <c r="C33" s="4" t="s">
        <v>1000</v>
      </c>
      <c r="D33" s="4">
        <v>3012621077</v>
      </c>
      <c r="E33" s="4" t="s">
        <v>1001</v>
      </c>
      <c r="F33" s="4" t="s">
        <v>928</v>
      </c>
      <c r="G33" s="2" t="str">
        <f t="shared" si="0"/>
        <v>ANTIOQUIA</v>
      </c>
      <c r="H33" s="4" t="s">
        <v>924</v>
      </c>
      <c r="I33" s="4" t="s">
        <v>931</v>
      </c>
      <c r="J33" s="2" t="s">
        <v>71</v>
      </c>
      <c r="K33" s="2" t="s">
        <v>76</v>
      </c>
      <c r="L33" s="2" t="s">
        <v>71</v>
      </c>
      <c r="M33" s="2" t="s">
        <v>72</v>
      </c>
      <c r="N33" s="2" t="s">
        <v>71</v>
      </c>
      <c r="O33" s="2" t="s">
        <v>72</v>
      </c>
      <c r="P33" s="2" t="s">
        <v>72</v>
      </c>
      <c r="Q33" s="2" t="s">
        <v>72</v>
      </c>
      <c r="R33" s="2" t="s">
        <v>76</v>
      </c>
      <c r="S33" s="2" t="s">
        <v>72</v>
      </c>
      <c r="T33" s="2" t="s">
        <v>71</v>
      </c>
      <c r="U33" s="2" t="s">
        <v>72</v>
      </c>
      <c r="V33" s="2" t="s">
        <v>76</v>
      </c>
      <c r="W33" s="2" t="s">
        <v>76</v>
      </c>
      <c r="X33" s="2" t="s">
        <v>76</v>
      </c>
      <c r="Y33" s="2" t="s">
        <v>72</v>
      </c>
      <c r="Z33" s="2" t="s">
        <v>72</v>
      </c>
      <c r="AA33" s="2" t="s">
        <v>72</v>
      </c>
      <c r="AB33" s="2" t="s">
        <v>71</v>
      </c>
      <c r="AC33" s="2" t="s">
        <v>71</v>
      </c>
      <c r="AD33" s="2" t="s">
        <v>91</v>
      </c>
      <c r="AF33" s="4">
        <v>1</v>
      </c>
    </row>
    <row r="34" spans="1:32" ht="48" x14ac:dyDescent="0.2">
      <c r="A34" s="4">
        <v>1037263422</v>
      </c>
      <c r="B34" s="2">
        <f>VLOOKUP(A34,[1]TRATAMIENTI!$A:$B,2,FALSE)</f>
        <v>415</v>
      </c>
      <c r="C34" s="4" t="s">
        <v>1002</v>
      </c>
      <c r="D34" s="4">
        <v>3116497357</v>
      </c>
      <c r="E34" s="4">
        <v>0</v>
      </c>
      <c r="F34" s="4" t="s">
        <v>928</v>
      </c>
      <c r="G34" s="2" t="str">
        <f t="shared" si="0"/>
        <v>ANTIOQUIA</v>
      </c>
      <c r="H34" s="4" t="s">
        <v>924</v>
      </c>
      <c r="I34" s="4" t="s">
        <v>948</v>
      </c>
      <c r="J34" s="2" t="s">
        <v>71</v>
      </c>
      <c r="K34" s="2" t="s">
        <v>71</v>
      </c>
      <c r="L34" s="2" t="s">
        <v>71</v>
      </c>
      <c r="M34" s="2" t="s">
        <v>72</v>
      </c>
      <c r="N34" s="2" t="s">
        <v>71</v>
      </c>
      <c r="O34" s="2" t="s">
        <v>72</v>
      </c>
      <c r="P34" s="2" t="s">
        <v>72</v>
      </c>
      <c r="Q34" s="2" t="s">
        <v>72</v>
      </c>
      <c r="R34" s="2" t="s">
        <v>76</v>
      </c>
      <c r="S34" s="2" t="s">
        <v>72</v>
      </c>
      <c r="T34" s="2" t="s">
        <v>76</v>
      </c>
      <c r="U34" s="2" t="s">
        <v>72</v>
      </c>
      <c r="V34" s="2" t="s">
        <v>76</v>
      </c>
      <c r="W34" s="2" t="s">
        <v>76</v>
      </c>
      <c r="X34" s="2" t="s">
        <v>76</v>
      </c>
      <c r="Y34" s="2" t="s">
        <v>71</v>
      </c>
      <c r="Z34" s="2" t="s">
        <v>72</v>
      </c>
      <c r="AA34" s="2" t="s">
        <v>71</v>
      </c>
      <c r="AB34" s="2" t="s">
        <v>71</v>
      </c>
      <c r="AC34" s="2" t="s">
        <v>71</v>
      </c>
      <c r="AD34" s="2" t="s">
        <v>80</v>
      </c>
      <c r="AF34" s="4">
        <v>2</v>
      </c>
    </row>
    <row r="35" spans="1:32" ht="48" x14ac:dyDescent="0.2">
      <c r="A35" s="4">
        <v>1037570230</v>
      </c>
      <c r="B35" s="2">
        <f>VLOOKUP(A35,[1]TRATAMIENTI!$A:$B,2,FALSE)</f>
        <v>416</v>
      </c>
      <c r="C35" s="4" t="s">
        <v>1003</v>
      </c>
      <c r="D35" s="4">
        <v>3006515938</v>
      </c>
      <c r="E35" s="4" t="s">
        <v>1004</v>
      </c>
      <c r="F35" s="4" t="s">
        <v>928</v>
      </c>
      <c r="G35" s="2" t="str">
        <f t="shared" si="0"/>
        <v>ANTIOQUIA</v>
      </c>
      <c r="H35" s="4" t="s">
        <v>924</v>
      </c>
      <c r="I35" s="4" t="s">
        <v>931</v>
      </c>
      <c r="J35" s="2" t="s">
        <v>71</v>
      </c>
      <c r="K35" s="2" t="s">
        <v>71</v>
      </c>
      <c r="L35" s="2" t="s">
        <v>71</v>
      </c>
      <c r="M35" s="2" t="s">
        <v>72</v>
      </c>
      <c r="N35" s="2" t="s">
        <v>71</v>
      </c>
      <c r="O35" s="2" t="s">
        <v>72</v>
      </c>
      <c r="P35" s="2" t="s">
        <v>72</v>
      </c>
      <c r="Q35" s="2" t="s">
        <v>72</v>
      </c>
      <c r="R35" s="2" t="s">
        <v>76</v>
      </c>
      <c r="S35" s="2" t="s">
        <v>71</v>
      </c>
      <c r="T35" s="2" t="s">
        <v>71</v>
      </c>
      <c r="U35" s="2" t="s">
        <v>71</v>
      </c>
      <c r="V35" s="2" t="s">
        <v>76</v>
      </c>
      <c r="W35" s="2" t="s">
        <v>76</v>
      </c>
      <c r="X35" s="2" t="s">
        <v>76</v>
      </c>
      <c r="Y35" s="2" t="s">
        <v>72</v>
      </c>
      <c r="Z35" s="2" t="s">
        <v>72</v>
      </c>
      <c r="AA35" s="2" t="s">
        <v>72</v>
      </c>
      <c r="AB35" s="2" t="s">
        <v>72</v>
      </c>
      <c r="AC35" s="2" t="s">
        <v>71</v>
      </c>
      <c r="AD35" s="2" t="s">
        <v>80</v>
      </c>
      <c r="AF35" s="4">
        <v>2</v>
      </c>
    </row>
    <row r="36" spans="1:32" ht="64" x14ac:dyDescent="0.2">
      <c r="A36" s="4">
        <v>1039285463</v>
      </c>
      <c r="B36" s="2">
        <f>VLOOKUP(A36,[1]TRATAMIENTI!$A:$B,2,FALSE)</f>
        <v>417</v>
      </c>
      <c r="C36" s="4" t="s">
        <v>1005</v>
      </c>
      <c r="D36" s="4">
        <v>3246482782</v>
      </c>
      <c r="E36" s="4" t="s">
        <v>1006</v>
      </c>
      <c r="F36" s="4" t="s">
        <v>928</v>
      </c>
      <c r="G36" s="2" t="str">
        <f t="shared" si="0"/>
        <v>ANTIOQUIA</v>
      </c>
      <c r="H36" s="4" t="s">
        <v>924</v>
      </c>
      <c r="I36" s="4" t="s">
        <v>941</v>
      </c>
      <c r="J36" s="2" t="s">
        <v>71</v>
      </c>
      <c r="K36" s="2" t="s">
        <v>76</v>
      </c>
      <c r="L36" s="2" t="s">
        <v>71</v>
      </c>
      <c r="M36" s="2" t="s">
        <v>72</v>
      </c>
      <c r="N36" s="2" t="s">
        <v>71</v>
      </c>
      <c r="O36" s="2" t="s">
        <v>72</v>
      </c>
      <c r="P36" s="2" t="s">
        <v>71</v>
      </c>
      <c r="Q36" s="2" t="s">
        <v>71</v>
      </c>
      <c r="R36" s="2" t="s">
        <v>72</v>
      </c>
      <c r="S36" s="2" t="s">
        <v>72</v>
      </c>
      <c r="T36" s="2" t="s">
        <v>76</v>
      </c>
      <c r="U36" s="2" t="s">
        <v>72</v>
      </c>
      <c r="V36" s="2" t="s">
        <v>76</v>
      </c>
      <c r="W36" s="2" t="s">
        <v>76</v>
      </c>
      <c r="X36" s="2" t="s">
        <v>76</v>
      </c>
      <c r="Y36" s="2" t="s">
        <v>72</v>
      </c>
      <c r="Z36" s="2" t="s">
        <v>72</v>
      </c>
      <c r="AA36" s="2" t="s">
        <v>72</v>
      </c>
      <c r="AB36" s="2" t="s">
        <v>71</v>
      </c>
      <c r="AC36" s="2" t="s">
        <v>71</v>
      </c>
      <c r="AD36" s="2" t="s">
        <v>91</v>
      </c>
      <c r="AF36" s="4">
        <v>1</v>
      </c>
    </row>
    <row r="37" spans="1:32" ht="48" x14ac:dyDescent="0.2">
      <c r="A37" s="4">
        <v>1040749440</v>
      </c>
      <c r="B37" s="2">
        <f>VLOOKUP(A37,[1]TRATAMIENTI!$A:$B,2,FALSE)</f>
        <v>418</v>
      </c>
      <c r="C37" s="4" t="s">
        <v>1007</v>
      </c>
      <c r="D37" s="4">
        <v>3127552474</v>
      </c>
      <c r="E37" s="4" t="s">
        <v>973</v>
      </c>
      <c r="F37" s="4" t="s">
        <v>928</v>
      </c>
      <c r="G37" s="2" t="str">
        <f t="shared" si="0"/>
        <v>ANTIOQUIA</v>
      </c>
      <c r="H37" s="4" t="s">
        <v>924</v>
      </c>
      <c r="I37" s="4" t="s">
        <v>936</v>
      </c>
      <c r="J37" s="2" t="s">
        <v>71</v>
      </c>
      <c r="K37" s="2" t="s">
        <v>76</v>
      </c>
      <c r="L37" s="2" t="s">
        <v>71</v>
      </c>
      <c r="M37" s="2" t="s">
        <v>71</v>
      </c>
      <c r="N37" s="2" t="s">
        <v>71</v>
      </c>
      <c r="O37" s="2" t="s">
        <v>76</v>
      </c>
      <c r="P37" s="2" t="s">
        <v>76</v>
      </c>
      <c r="Q37" s="2" t="s">
        <v>76</v>
      </c>
      <c r="R37" s="2" t="s">
        <v>76</v>
      </c>
      <c r="S37" s="2" t="s">
        <v>72</v>
      </c>
      <c r="T37" s="2" t="s">
        <v>71</v>
      </c>
      <c r="U37" s="2" t="s">
        <v>72</v>
      </c>
      <c r="V37" s="2" t="s">
        <v>76</v>
      </c>
      <c r="W37" s="2" t="s">
        <v>76</v>
      </c>
      <c r="X37" s="2" t="s">
        <v>76</v>
      </c>
      <c r="Y37" s="2" t="s">
        <v>71</v>
      </c>
      <c r="Z37" s="2" t="s">
        <v>72</v>
      </c>
      <c r="AA37" s="2" t="s">
        <v>72</v>
      </c>
      <c r="AB37" s="2" t="s">
        <v>71</v>
      </c>
      <c r="AC37" s="2" t="s">
        <v>71</v>
      </c>
      <c r="AD37" s="2" t="s">
        <v>91</v>
      </c>
      <c r="AF37" s="4">
        <v>1</v>
      </c>
    </row>
    <row r="38" spans="1:32" ht="64" x14ac:dyDescent="0.2">
      <c r="A38" s="4">
        <v>1042064849</v>
      </c>
      <c r="B38" s="2">
        <f>VLOOKUP(A38,[1]TRATAMIENTI!$A:$B,2,FALSE)</f>
        <v>419</v>
      </c>
      <c r="C38" s="4" t="s">
        <v>1008</v>
      </c>
      <c r="D38" s="4">
        <v>3023916893</v>
      </c>
      <c r="E38" s="4" t="s">
        <v>1009</v>
      </c>
      <c r="F38" s="4" t="s">
        <v>928</v>
      </c>
      <c r="G38" s="2" t="str">
        <f t="shared" si="0"/>
        <v>ANTIOQUIA</v>
      </c>
      <c r="H38" s="4" t="s">
        <v>924</v>
      </c>
      <c r="I38" s="4" t="s">
        <v>944</v>
      </c>
      <c r="J38" s="2" t="s">
        <v>71</v>
      </c>
      <c r="K38" s="2" t="s">
        <v>76</v>
      </c>
      <c r="L38" s="2" t="s">
        <v>71</v>
      </c>
      <c r="M38" s="2" t="s">
        <v>72</v>
      </c>
      <c r="N38" s="2" t="s">
        <v>76</v>
      </c>
      <c r="O38" s="2" t="s">
        <v>72</v>
      </c>
      <c r="P38" s="2" t="s">
        <v>72</v>
      </c>
      <c r="Q38" s="2" t="s">
        <v>72</v>
      </c>
      <c r="R38" s="2" t="s">
        <v>76</v>
      </c>
      <c r="S38" s="2" t="s">
        <v>72</v>
      </c>
      <c r="T38" s="2" t="s">
        <v>76</v>
      </c>
      <c r="U38" s="2" t="s">
        <v>72</v>
      </c>
      <c r="V38" s="2" t="s">
        <v>76</v>
      </c>
      <c r="W38" s="2" t="s">
        <v>76</v>
      </c>
      <c r="X38" s="2" t="s">
        <v>76</v>
      </c>
      <c r="Y38" s="2" t="s">
        <v>72</v>
      </c>
      <c r="Z38" s="2" t="s">
        <v>72</v>
      </c>
      <c r="AA38" s="2" t="s">
        <v>72</v>
      </c>
      <c r="AB38" s="2" t="s">
        <v>72</v>
      </c>
      <c r="AC38" s="2" t="s">
        <v>71</v>
      </c>
      <c r="AD38" s="2" t="s">
        <v>91</v>
      </c>
      <c r="AF38" s="4">
        <v>1</v>
      </c>
    </row>
    <row r="39" spans="1:32" ht="48" x14ac:dyDescent="0.2">
      <c r="A39" s="4">
        <v>1044150889</v>
      </c>
      <c r="B39" s="2">
        <f>VLOOKUP(A39,[1]TRATAMIENTI!$A:$B,2,FALSE)</f>
        <v>420</v>
      </c>
      <c r="C39" s="4" t="s">
        <v>1010</v>
      </c>
      <c r="D39" s="4">
        <v>3008621054</v>
      </c>
      <c r="E39" s="4" t="s">
        <v>1011</v>
      </c>
      <c r="F39" s="4" t="s">
        <v>928</v>
      </c>
      <c r="G39" s="2" t="str">
        <f t="shared" si="0"/>
        <v>ANTIOQUIA</v>
      </c>
      <c r="H39" s="4" t="s">
        <v>924</v>
      </c>
      <c r="I39" s="4" t="s">
        <v>936</v>
      </c>
      <c r="J39" s="2" t="s">
        <v>76</v>
      </c>
      <c r="K39" s="2" t="s">
        <v>76</v>
      </c>
      <c r="L39" s="2" t="s">
        <v>71</v>
      </c>
      <c r="M39" s="2" t="s">
        <v>72</v>
      </c>
      <c r="N39" s="2" t="s">
        <v>71</v>
      </c>
      <c r="O39" s="2" t="s">
        <v>72</v>
      </c>
      <c r="P39" s="2" t="s">
        <v>72</v>
      </c>
      <c r="Q39" s="2" t="s">
        <v>72</v>
      </c>
      <c r="R39" s="2" t="s">
        <v>76</v>
      </c>
      <c r="S39" s="2" t="s">
        <v>72</v>
      </c>
      <c r="T39" s="2" t="s">
        <v>76</v>
      </c>
      <c r="U39" s="2" t="s">
        <v>72</v>
      </c>
      <c r="V39" s="2" t="s">
        <v>76</v>
      </c>
      <c r="W39" s="2" t="s">
        <v>76</v>
      </c>
      <c r="X39" s="2" t="s">
        <v>76</v>
      </c>
      <c r="Y39" s="2" t="s">
        <v>72</v>
      </c>
      <c r="Z39" s="2" t="s">
        <v>72</v>
      </c>
      <c r="AA39" s="2" t="s">
        <v>72</v>
      </c>
      <c r="AB39" s="2" t="s">
        <v>72</v>
      </c>
      <c r="AC39" s="2" t="s">
        <v>76</v>
      </c>
      <c r="AD39" s="2" t="s">
        <v>91</v>
      </c>
      <c r="AF39" s="4">
        <v>1</v>
      </c>
    </row>
    <row r="40" spans="1:32" ht="48" x14ac:dyDescent="0.2">
      <c r="A40" s="4">
        <v>1067094968</v>
      </c>
      <c r="B40" s="2">
        <f>VLOOKUP(A40,[1]TRATAMIENTI!$A:$B,2,FALSE)</f>
        <v>421</v>
      </c>
      <c r="C40" s="4" t="s">
        <v>1012</v>
      </c>
      <c r="D40" s="4">
        <v>3002208116</v>
      </c>
      <c r="E40" s="4" t="s">
        <v>1013</v>
      </c>
      <c r="F40" s="4" t="s">
        <v>928</v>
      </c>
      <c r="G40" s="2" t="str">
        <f t="shared" si="0"/>
        <v>ANTIOQUIA</v>
      </c>
      <c r="H40" s="4" t="s">
        <v>924</v>
      </c>
      <c r="I40" s="4" t="s">
        <v>944</v>
      </c>
      <c r="J40" s="2" t="s">
        <v>71</v>
      </c>
      <c r="K40" s="2" t="s">
        <v>71</v>
      </c>
      <c r="L40" s="2" t="s">
        <v>71</v>
      </c>
      <c r="M40" s="2" t="s">
        <v>72</v>
      </c>
      <c r="N40" s="2" t="s">
        <v>71</v>
      </c>
      <c r="O40" s="2" t="s">
        <v>72</v>
      </c>
      <c r="P40" s="2" t="s">
        <v>72</v>
      </c>
      <c r="Q40" s="2" t="s">
        <v>72</v>
      </c>
      <c r="R40" s="2" t="s">
        <v>76</v>
      </c>
      <c r="S40" s="2" t="s">
        <v>72</v>
      </c>
      <c r="T40" s="2" t="s">
        <v>71</v>
      </c>
      <c r="U40" s="2" t="s">
        <v>72</v>
      </c>
      <c r="V40" s="2" t="s">
        <v>71</v>
      </c>
      <c r="W40" s="2" t="s">
        <v>71</v>
      </c>
      <c r="X40" s="2" t="s">
        <v>71</v>
      </c>
      <c r="Y40" s="2" t="s">
        <v>71</v>
      </c>
      <c r="Z40" s="2" t="s">
        <v>71</v>
      </c>
      <c r="AA40" s="2" t="s">
        <v>71</v>
      </c>
      <c r="AB40" s="2" t="s">
        <v>71</v>
      </c>
      <c r="AC40" s="2" t="s">
        <v>71</v>
      </c>
      <c r="AD40" s="2" t="s">
        <v>256</v>
      </c>
      <c r="AF40" s="4">
        <v>3</v>
      </c>
    </row>
    <row r="41" spans="1:32" ht="48" x14ac:dyDescent="0.2">
      <c r="A41" s="4">
        <v>1128271580</v>
      </c>
      <c r="B41" s="2">
        <f>VLOOKUP(A41,[1]TRATAMIENTI!$A:$B,2,FALSE)</f>
        <v>422</v>
      </c>
      <c r="C41" s="4" t="s">
        <v>1014</v>
      </c>
      <c r="D41" s="4">
        <v>3117261374</v>
      </c>
      <c r="E41" s="4" t="s">
        <v>1015</v>
      </c>
      <c r="F41" s="4" t="s">
        <v>928</v>
      </c>
      <c r="G41" s="2" t="str">
        <f t="shared" si="0"/>
        <v>ANTIOQUIA</v>
      </c>
      <c r="H41" s="4" t="s">
        <v>924</v>
      </c>
      <c r="I41" s="4" t="s">
        <v>941</v>
      </c>
      <c r="J41" s="2" t="s">
        <v>76</v>
      </c>
      <c r="K41" s="2" t="s">
        <v>71</v>
      </c>
      <c r="L41" s="2" t="s">
        <v>71</v>
      </c>
      <c r="M41" s="2" t="s">
        <v>76</v>
      </c>
      <c r="N41" s="2" t="s">
        <v>71</v>
      </c>
      <c r="O41" s="2" t="s">
        <v>71</v>
      </c>
      <c r="P41" s="2" t="s">
        <v>72</v>
      </c>
      <c r="Q41" s="2" t="s">
        <v>72</v>
      </c>
      <c r="R41" s="2" t="s">
        <v>76</v>
      </c>
      <c r="S41" s="2" t="s">
        <v>72</v>
      </c>
      <c r="T41" s="2" t="s">
        <v>71</v>
      </c>
      <c r="U41" s="2" t="s">
        <v>71</v>
      </c>
      <c r="V41" s="2" t="s">
        <v>76</v>
      </c>
      <c r="W41" s="2" t="s">
        <v>76</v>
      </c>
      <c r="X41" s="2" t="s">
        <v>76</v>
      </c>
      <c r="Y41" s="2" t="s">
        <v>72</v>
      </c>
      <c r="Z41" s="2" t="s">
        <v>72</v>
      </c>
      <c r="AA41" s="2" t="s">
        <v>72</v>
      </c>
      <c r="AB41" s="2" t="s">
        <v>72</v>
      </c>
      <c r="AC41" s="2" t="s">
        <v>71</v>
      </c>
      <c r="AD41" s="2" t="s">
        <v>80</v>
      </c>
      <c r="AF41" s="4">
        <v>2</v>
      </c>
    </row>
    <row r="42" spans="1:32" ht="48" x14ac:dyDescent="0.2">
      <c r="A42" s="4">
        <v>1144201470</v>
      </c>
      <c r="B42" s="2">
        <f>VLOOKUP(A42,[1]TRATAMIENTI!$A:$B,2,FALSE)</f>
        <v>423</v>
      </c>
      <c r="C42" s="4" t="s">
        <v>1016</v>
      </c>
      <c r="D42" s="4">
        <v>3015532555</v>
      </c>
      <c r="E42" s="4" t="s">
        <v>1017</v>
      </c>
      <c r="F42" s="4" t="s">
        <v>928</v>
      </c>
      <c r="G42" s="2" t="str">
        <f t="shared" si="0"/>
        <v>ANTIOQUIA</v>
      </c>
      <c r="H42" s="4" t="s">
        <v>924</v>
      </c>
      <c r="I42" s="4" t="s">
        <v>948</v>
      </c>
      <c r="J42" s="2" t="s">
        <v>71</v>
      </c>
      <c r="K42" s="2" t="s">
        <v>71</v>
      </c>
      <c r="L42" s="2" t="s">
        <v>71</v>
      </c>
      <c r="M42" s="2" t="s">
        <v>72</v>
      </c>
      <c r="N42" s="2" t="s">
        <v>76</v>
      </c>
      <c r="O42" s="2" t="s">
        <v>72</v>
      </c>
      <c r="P42" s="2" t="s">
        <v>72</v>
      </c>
      <c r="Q42" s="2" t="s">
        <v>72</v>
      </c>
      <c r="R42" s="2" t="s">
        <v>76</v>
      </c>
      <c r="S42" s="2" t="s">
        <v>72</v>
      </c>
      <c r="T42" s="2" t="s">
        <v>76</v>
      </c>
      <c r="U42" s="2" t="s">
        <v>72</v>
      </c>
      <c r="V42" s="2" t="s">
        <v>76</v>
      </c>
      <c r="W42" s="2" t="s">
        <v>76</v>
      </c>
      <c r="X42" s="2" t="s">
        <v>76</v>
      </c>
      <c r="Y42" s="2" t="s">
        <v>71</v>
      </c>
      <c r="Z42" s="2" t="s">
        <v>72</v>
      </c>
      <c r="AA42" s="2" t="s">
        <v>76</v>
      </c>
      <c r="AB42" s="2" t="s">
        <v>76</v>
      </c>
      <c r="AC42" s="2" t="s">
        <v>76</v>
      </c>
      <c r="AD42" s="2" t="s">
        <v>80</v>
      </c>
      <c r="AF42" s="4">
        <v>2</v>
      </c>
    </row>
    <row r="43" spans="1:32" ht="64" x14ac:dyDescent="0.2">
      <c r="A43" s="4">
        <v>1146434251</v>
      </c>
      <c r="B43" s="2">
        <f>VLOOKUP(A43,[1]TRATAMIENTI!$A:$B,2,FALSE)</f>
        <v>424</v>
      </c>
      <c r="C43" s="4" t="s">
        <v>1018</v>
      </c>
      <c r="D43" s="4">
        <v>3046187630</v>
      </c>
      <c r="E43" s="4" t="s">
        <v>1019</v>
      </c>
      <c r="F43" s="4" t="s">
        <v>928</v>
      </c>
      <c r="G43" s="2" t="str">
        <f t="shared" si="0"/>
        <v>ANTIOQUIA</v>
      </c>
      <c r="H43" s="4" t="s">
        <v>924</v>
      </c>
      <c r="I43" s="4" t="s">
        <v>941</v>
      </c>
      <c r="J43" s="2" t="s">
        <v>71</v>
      </c>
      <c r="K43" s="2" t="s">
        <v>71</v>
      </c>
      <c r="L43" s="2" t="s">
        <v>76</v>
      </c>
      <c r="M43" s="2" t="s">
        <v>72</v>
      </c>
      <c r="N43" s="2" t="s">
        <v>71</v>
      </c>
      <c r="O43" s="2" t="s">
        <v>72</v>
      </c>
      <c r="P43" s="2" t="s">
        <v>72</v>
      </c>
      <c r="Q43" s="2" t="s">
        <v>72</v>
      </c>
      <c r="R43" s="2" t="s">
        <v>76</v>
      </c>
      <c r="S43" s="2" t="s">
        <v>72</v>
      </c>
      <c r="T43" s="2" t="s">
        <v>71</v>
      </c>
      <c r="U43" s="2" t="s">
        <v>72</v>
      </c>
      <c r="V43" s="2" t="s">
        <v>76</v>
      </c>
      <c r="W43" s="2" t="s">
        <v>76</v>
      </c>
      <c r="X43" s="2" t="s">
        <v>76</v>
      </c>
      <c r="Y43" s="2" t="s">
        <v>72</v>
      </c>
      <c r="Z43" s="2" t="s">
        <v>72</v>
      </c>
      <c r="AA43" s="2" t="s">
        <v>72</v>
      </c>
      <c r="AB43" s="2" t="s">
        <v>71</v>
      </c>
      <c r="AC43" s="2" t="s">
        <v>71</v>
      </c>
      <c r="AD43" s="2" t="s">
        <v>91</v>
      </c>
      <c r="AF43" s="4">
        <v>1</v>
      </c>
    </row>
    <row r="44" spans="1:32" ht="48" x14ac:dyDescent="0.2">
      <c r="A44" s="4">
        <v>1147950412</v>
      </c>
      <c r="B44" s="2">
        <f>VLOOKUP(A44,[1]TRATAMIENTI!$A:$B,2,FALSE)</f>
        <v>425</v>
      </c>
      <c r="C44" s="4" t="s">
        <v>1020</v>
      </c>
      <c r="D44" s="4">
        <v>3005927108</v>
      </c>
      <c r="E44" s="4" t="s">
        <v>1021</v>
      </c>
      <c r="F44" s="4" t="s">
        <v>928</v>
      </c>
      <c r="G44" s="2" t="str">
        <f t="shared" si="0"/>
        <v>ANTIOQUIA</v>
      </c>
      <c r="H44" s="4" t="s">
        <v>924</v>
      </c>
      <c r="I44" s="4" t="s">
        <v>931</v>
      </c>
      <c r="J44" s="2" t="s">
        <v>71</v>
      </c>
      <c r="K44" s="2" t="s">
        <v>71</v>
      </c>
      <c r="L44" s="2" t="s">
        <v>76</v>
      </c>
      <c r="M44" s="2" t="s">
        <v>72</v>
      </c>
      <c r="N44" s="2" t="s">
        <v>71</v>
      </c>
      <c r="O44" s="2" t="s">
        <v>72</v>
      </c>
      <c r="P44" s="2" t="s">
        <v>72</v>
      </c>
      <c r="Q44" s="2" t="s">
        <v>72</v>
      </c>
      <c r="R44" s="2" t="s">
        <v>76</v>
      </c>
      <c r="S44" s="2" t="s">
        <v>72</v>
      </c>
      <c r="T44" s="2" t="s">
        <v>71</v>
      </c>
      <c r="U44" s="2" t="s">
        <v>72</v>
      </c>
      <c r="V44" s="2" t="s">
        <v>71</v>
      </c>
      <c r="W44" s="2" t="s">
        <v>71</v>
      </c>
      <c r="X44" s="2" t="s">
        <v>71</v>
      </c>
      <c r="Y44" s="2" t="s">
        <v>71</v>
      </c>
      <c r="Z44" s="2" t="s">
        <v>71</v>
      </c>
      <c r="AA44" s="2" t="s">
        <v>71</v>
      </c>
      <c r="AB44" s="2" t="s">
        <v>71</v>
      </c>
      <c r="AC44" s="2" t="s">
        <v>71</v>
      </c>
      <c r="AD44" s="2" t="s">
        <v>85</v>
      </c>
      <c r="AF44" s="4">
        <v>2</v>
      </c>
    </row>
    <row r="45" spans="1:32" ht="48" x14ac:dyDescent="0.2">
      <c r="A45" s="4">
        <v>1147957415</v>
      </c>
      <c r="B45" s="2">
        <f>VLOOKUP(A45,[1]TRATAMIENTI!$A:$B,2,FALSE)</f>
        <v>426</v>
      </c>
      <c r="C45" s="4" t="s">
        <v>1022</v>
      </c>
      <c r="D45" s="4">
        <v>3127686916</v>
      </c>
      <c r="E45" s="4" t="s">
        <v>1023</v>
      </c>
      <c r="F45" s="4" t="s">
        <v>928</v>
      </c>
      <c r="G45" s="2" t="str">
        <f t="shared" si="0"/>
        <v>ANTIOQUIA</v>
      </c>
      <c r="H45" s="4" t="s">
        <v>924</v>
      </c>
      <c r="I45" s="4" t="s">
        <v>936</v>
      </c>
      <c r="J45" s="2" t="s">
        <v>71</v>
      </c>
      <c r="K45" s="2" t="s">
        <v>76</v>
      </c>
      <c r="L45" s="2" t="s">
        <v>71</v>
      </c>
      <c r="M45" s="2" t="s">
        <v>71</v>
      </c>
      <c r="N45" s="2" t="s">
        <v>71</v>
      </c>
      <c r="O45" s="2" t="s">
        <v>71</v>
      </c>
      <c r="P45" s="2" t="s">
        <v>71</v>
      </c>
      <c r="Q45" s="2" t="s">
        <v>71</v>
      </c>
      <c r="R45" s="2" t="s">
        <v>71</v>
      </c>
      <c r="S45" s="2" t="s">
        <v>71</v>
      </c>
      <c r="T45" s="2" t="s">
        <v>71</v>
      </c>
      <c r="U45" s="2" t="s">
        <v>71</v>
      </c>
      <c r="V45" s="2" t="s">
        <v>76</v>
      </c>
      <c r="W45" s="2" t="s">
        <v>76</v>
      </c>
      <c r="X45" s="2" t="s">
        <v>76</v>
      </c>
      <c r="Y45" s="2" t="s">
        <v>72</v>
      </c>
      <c r="Z45" s="2" t="s">
        <v>72</v>
      </c>
      <c r="AA45" s="2" t="s">
        <v>72</v>
      </c>
      <c r="AB45" s="2" t="s">
        <v>72</v>
      </c>
      <c r="AC45" s="2" t="s">
        <v>71</v>
      </c>
      <c r="AD45" s="2" t="s">
        <v>77</v>
      </c>
      <c r="AF45" s="4">
        <v>2</v>
      </c>
    </row>
    <row r="46" spans="1:32" ht="48" x14ac:dyDescent="0.2">
      <c r="A46" s="4">
        <v>1152204057</v>
      </c>
      <c r="B46" s="2">
        <f>VLOOKUP(A46,[1]TRATAMIENTI!$A:$B,2,FALSE)</f>
        <v>427</v>
      </c>
      <c r="C46" s="4" t="s">
        <v>1024</v>
      </c>
      <c r="D46" s="4">
        <v>3137669335</v>
      </c>
      <c r="E46" s="4" t="s">
        <v>1025</v>
      </c>
      <c r="F46" s="4" t="s">
        <v>928</v>
      </c>
      <c r="G46" s="2" t="str">
        <f t="shared" si="0"/>
        <v>ANTIOQUIA</v>
      </c>
      <c r="H46" s="4" t="s">
        <v>924</v>
      </c>
      <c r="I46" s="4" t="s">
        <v>951</v>
      </c>
      <c r="J46" s="2" t="s">
        <v>76</v>
      </c>
      <c r="K46" s="2" t="s">
        <v>71</v>
      </c>
      <c r="L46" s="2" t="s">
        <v>71</v>
      </c>
      <c r="M46" s="2" t="s">
        <v>72</v>
      </c>
      <c r="N46" s="2" t="s">
        <v>71</v>
      </c>
      <c r="O46" s="2" t="s">
        <v>72</v>
      </c>
      <c r="P46" s="2" t="s">
        <v>72</v>
      </c>
      <c r="Q46" s="2" t="s">
        <v>72</v>
      </c>
      <c r="R46" s="2" t="s">
        <v>76</v>
      </c>
      <c r="S46" s="2" t="s">
        <v>72</v>
      </c>
      <c r="T46" s="2" t="s">
        <v>76</v>
      </c>
      <c r="U46" s="2" t="s">
        <v>72</v>
      </c>
      <c r="V46" s="2" t="s">
        <v>76</v>
      </c>
      <c r="W46" s="2" t="s">
        <v>76</v>
      </c>
      <c r="X46" s="2" t="s">
        <v>76</v>
      </c>
      <c r="Y46" s="2" t="s">
        <v>72</v>
      </c>
      <c r="Z46" s="2" t="s">
        <v>72</v>
      </c>
      <c r="AA46" s="2" t="s">
        <v>76</v>
      </c>
      <c r="AB46" s="2" t="s">
        <v>76</v>
      </c>
      <c r="AC46" s="2" t="s">
        <v>71</v>
      </c>
      <c r="AD46" s="2" t="s">
        <v>80</v>
      </c>
      <c r="AF46" s="4">
        <v>2</v>
      </c>
    </row>
    <row r="47" spans="1:32" ht="48" x14ac:dyDescent="0.2">
      <c r="A47" s="4">
        <v>1192898936</v>
      </c>
      <c r="B47" s="2">
        <f>VLOOKUP(A47,[1]TRATAMIENTI!$A:$B,2,FALSE)</f>
        <v>428</v>
      </c>
      <c r="C47" s="4" t="s">
        <v>1026</v>
      </c>
      <c r="D47" s="4">
        <v>3207400577</v>
      </c>
      <c r="E47" s="4" t="s">
        <v>1027</v>
      </c>
      <c r="F47" s="4" t="s">
        <v>928</v>
      </c>
      <c r="G47" s="2" t="str">
        <f t="shared" si="0"/>
        <v>ANTIOQUIA</v>
      </c>
      <c r="H47" s="4" t="s">
        <v>924</v>
      </c>
      <c r="I47" s="4" t="s">
        <v>951</v>
      </c>
      <c r="J47" s="2" t="s">
        <v>71</v>
      </c>
      <c r="K47" s="2" t="s">
        <v>72</v>
      </c>
      <c r="L47" s="2" t="s">
        <v>71</v>
      </c>
      <c r="M47" s="2" t="s">
        <v>71</v>
      </c>
      <c r="N47" s="2" t="s">
        <v>71</v>
      </c>
      <c r="O47" s="2" t="s">
        <v>71</v>
      </c>
      <c r="P47" s="2" t="s">
        <v>76</v>
      </c>
      <c r="Q47" s="2" t="s">
        <v>76</v>
      </c>
      <c r="R47" s="2" t="s">
        <v>76</v>
      </c>
      <c r="S47" s="2" t="s">
        <v>72</v>
      </c>
      <c r="T47" s="2" t="s">
        <v>72</v>
      </c>
      <c r="U47" s="2" t="s">
        <v>72</v>
      </c>
      <c r="V47" s="2" t="s">
        <v>76</v>
      </c>
      <c r="W47" s="2" t="s">
        <v>76</v>
      </c>
      <c r="X47" s="2" t="s">
        <v>76</v>
      </c>
      <c r="Y47" s="2" t="s">
        <v>72</v>
      </c>
      <c r="Z47" s="2" t="s">
        <v>72</v>
      </c>
      <c r="AA47" s="2" t="s">
        <v>72</v>
      </c>
      <c r="AB47" s="2" t="s">
        <v>72</v>
      </c>
      <c r="AC47" s="2" t="s">
        <v>72</v>
      </c>
      <c r="AD47" s="2" t="s">
        <v>91</v>
      </c>
      <c r="AF47" s="4">
        <v>1</v>
      </c>
    </row>
    <row r="48" spans="1:32" ht="48" x14ac:dyDescent="0.2">
      <c r="A48" s="4">
        <v>1214733443</v>
      </c>
      <c r="B48" s="2">
        <f>VLOOKUP(A48,[1]TRATAMIENTI!$A:$B,2,FALSE)</f>
        <v>429</v>
      </c>
      <c r="C48" s="4" t="s">
        <v>1028</v>
      </c>
      <c r="D48" s="4">
        <v>3166359401</v>
      </c>
      <c r="E48" s="4" t="s">
        <v>1029</v>
      </c>
      <c r="F48" s="4" t="s">
        <v>928</v>
      </c>
      <c r="G48" s="2" t="str">
        <f t="shared" si="0"/>
        <v>ANTIOQUIA</v>
      </c>
      <c r="H48" s="4" t="s">
        <v>924</v>
      </c>
      <c r="I48" s="4" t="s">
        <v>944</v>
      </c>
      <c r="J48" s="2" t="s">
        <v>71</v>
      </c>
      <c r="K48" s="2" t="s">
        <v>71</v>
      </c>
      <c r="L48" s="2" t="s">
        <v>71</v>
      </c>
      <c r="M48" s="2" t="s">
        <v>71</v>
      </c>
      <c r="N48" s="2" t="s">
        <v>76</v>
      </c>
      <c r="O48" s="2" t="s">
        <v>72</v>
      </c>
      <c r="P48" s="2" t="s">
        <v>72</v>
      </c>
      <c r="Q48" s="2" t="s">
        <v>72</v>
      </c>
      <c r="R48" s="2" t="s">
        <v>71</v>
      </c>
      <c r="S48" s="2" t="s">
        <v>72</v>
      </c>
      <c r="T48" s="2" t="s">
        <v>76</v>
      </c>
      <c r="U48" s="2" t="s">
        <v>72</v>
      </c>
      <c r="V48" s="2" t="s">
        <v>76</v>
      </c>
      <c r="W48" s="2" t="s">
        <v>76</v>
      </c>
      <c r="X48" s="2" t="s">
        <v>76</v>
      </c>
      <c r="Y48" s="2" t="s">
        <v>72</v>
      </c>
      <c r="Z48" s="2" t="s">
        <v>72</v>
      </c>
      <c r="AA48" s="2" t="s">
        <v>72</v>
      </c>
      <c r="AB48" s="2" t="s">
        <v>71</v>
      </c>
      <c r="AC48" s="2" t="s">
        <v>71</v>
      </c>
      <c r="AD48" s="2" t="s">
        <v>80</v>
      </c>
      <c r="AF48" s="4">
        <v>2</v>
      </c>
    </row>
    <row r="49" spans="1:32" ht="48" x14ac:dyDescent="0.2">
      <c r="A49" s="4">
        <v>21386259</v>
      </c>
      <c r="B49" s="2">
        <f>VLOOKUP(A49,[1]TRATAMIENTI!$A:$B,2,FALSE)</f>
        <v>430</v>
      </c>
      <c r="C49" s="4" t="s">
        <v>1030</v>
      </c>
      <c r="D49" s="4">
        <v>3023939707</v>
      </c>
      <c r="E49" s="4" t="s">
        <v>1031</v>
      </c>
      <c r="F49" s="4" t="s">
        <v>928</v>
      </c>
      <c r="G49" s="2" t="str">
        <f t="shared" si="0"/>
        <v>ANTIOQUIA</v>
      </c>
      <c r="H49" s="4" t="s">
        <v>924</v>
      </c>
      <c r="I49" s="4" t="s">
        <v>948</v>
      </c>
      <c r="J49" s="2" t="s">
        <v>71</v>
      </c>
      <c r="K49" s="2" t="s">
        <v>71</v>
      </c>
      <c r="L49" s="2" t="s">
        <v>71</v>
      </c>
      <c r="M49" s="2" t="s">
        <v>72</v>
      </c>
      <c r="N49" s="2" t="s">
        <v>71</v>
      </c>
      <c r="O49" s="2" t="s">
        <v>72</v>
      </c>
      <c r="P49" s="2" t="s">
        <v>72</v>
      </c>
      <c r="Q49" s="2" t="s">
        <v>72</v>
      </c>
      <c r="R49" s="2" t="s">
        <v>76</v>
      </c>
      <c r="S49" s="2" t="s">
        <v>72</v>
      </c>
      <c r="T49" s="2" t="s">
        <v>76</v>
      </c>
      <c r="U49" s="2" t="s">
        <v>72</v>
      </c>
      <c r="V49" s="2" t="s">
        <v>76</v>
      </c>
      <c r="W49" s="2" t="s">
        <v>76</v>
      </c>
      <c r="X49" s="2" t="s">
        <v>76</v>
      </c>
      <c r="Y49" s="2" t="s">
        <v>72</v>
      </c>
      <c r="Z49" s="2" t="s">
        <v>72</v>
      </c>
      <c r="AA49" s="2" t="s">
        <v>72</v>
      </c>
      <c r="AB49" s="2" t="s">
        <v>72</v>
      </c>
      <c r="AC49" s="2" t="s">
        <v>71</v>
      </c>
      <c r="AD49" s="2" t="s">
        <v>80</v>
      </c>
      <c r="AF49" s="4">
        <v>2</v>
      </c>
    </row>
    <row r="50" spans="1:32" ht="64" x14ac:dyDescent="0.2">
      <c r="A50" s="4">
        <v>21399690</v>
      </c>
      <c r="B50" s="2">
        <f>VLOOKUP(A50,[1]TRATAMIENTI!$A:$B,2,FALSE)</f>
        <v>431</v>
      </c>
      <c r="C50" s="4" t="s">
        <v>1032</v>
      </c>
      <c r="D50" s="4">
        <v>3108418480</v>
      </c>
      <c r="E50" s="4" t="s">
        <v>1033</v>
      </c>
      <c r="F50" s="4" t="s">
        <v>928</v>
      </c>
      <c r="G50" s="2" t="str">
        <f t="shared" si="0"/>
        <v>ANTIOQUIA</v>
      </c>
      <c r="H50" s="4" t="s">
        <v>924</v>
      </c>
      <c r="I50" s="4" t="s">
        <v>951</v>
      </c>
      <c r="J50" s="2" t="s">
        <v>76</v>
      </c>
      <c r="K50" s="2" t="s">
        <v>71</v>
      </c>
      <c r="L50" s="2" t="s">
        <v>76</v>
      </c>
      <c r="M50" s="2" t="s">
        <v>76</v>
      </c>
      <c r="N50" s="2" t="s">
        <v>71</v>
      </c>
      <c r="O50" s="2" t="s">
        <v>76</v>
      </c>
      <c r="P50" s="2" t="s">
        <v>76</v>
      </c>
      <c r="Q50" s="2" t="s">
        <v>76</v>
      </c>
      <c r="R50" s="2" t="s">
        <v>76</v>
      </c>
      <c r="S50" s="2" t="s">
        <v>72</v>
      </c>
      <c r="T50" s="2" t="s">
        <v>72</v>
      </c>
      <c r="U50" s="2" t="s">
        <v>72</v>
      </c>
      <c r="V50" s="2" t="s">
        <v>76</v>
      </c>
      <c r="W50" s="2" t="s">
        <v>76</v>
      </c>
      <c r="X50" s="2" t="s">
        <v>76</v>
      </c>
      <c r="Y50" s="2" t="s">
        <v>72</v>
      </c>
      <c r="Z50" s="2" t="s">
        <v>72</v>
      </c>
      <c r="AA50" s="2" t="s">
        <v>72</v>
      </c>
      <c r="AB50" s="2" t="s">
        <v>72</v>
      </c>
      <c r="AC50" s="2" t="s">
        <v>72</v>
      </c>
      <c r="AD50" s="2" t="s">
        <v>91</v>
      </c>
      <c r="AF50" s="4">
        <v>1</v>
      </c>
    </row>
    <row r="51" spans="1:32" ht="64" x14ac:dyDescent="0.2">
      <c r="A51" s="4">
        <v>21400273</v>
      </c>
      <c r="B51" s="2">
        <f>VLOOKUP(A51,[1]TRATAMIENTI!$A:$B,2,FALSE)</f>
        <v>432</v>
      </c>
      <c r="C51" s="4" t="s">
        <v>1034</v>
      </c>
      <c r="D51" s="4">
        <v>3127639500</v>
      </c>
      <c r="E51" s="4" t="s">
        <v>1035</v>
      </c>
      <c r="F51" s="4" t="s">
        <v>928</v>
      </c>
      <c r="G51" s="2" t="str">
        <f t="shared" si="0"/>
        <v>ANTIOQUIA</v>
      </c>
      <c r="H51" s="4" t="s">
        <v>924</v>
      </c>
      <c r="I51" s="4" t="s">
        <v>951</v>
      </c>
      <c r="J51" s="2" t="s">
        <v>76</v>
      </c>
      <c r="K51" s="2" t="s">
        <v>71</v>
      </c>
      <c r="L51" s="2" t="s">
        <v>71</v>
      </c>
      <c r="M51" s="2" t="s">
        <v>72</v>
      </c>
      <c r="N51" s="2" t="s">
        <v>71</v>
      </c>
      <c r="O51" s="2" t="s">
        <v>71</v>
      </c>
      <c r="P51" s="2" t="s">
        <v>72</v>
      </c>
      <c r="Q51" s="2" t="s">
        <v>72</v>
      </c>
      <c r="R51" s="2" t="s">
        <v>76</v>
      </c>
      <c r="S51" s="2" t="s">
        <v>72</v>
      </c>
      <c r="T51" s="2" t="s">
        <v>71</v>
      </c>
      <c r="U51" s="2" t="s">
        <v>72</v>
      </c>
      <c r="V51" s="2" t="s">
        <v>76</v>
      </c>
      <c r="W51" s="2" t="s">
        <v>76</v>
      </c>
      <c r="X51" s="2" t="s">
        <v>76</v>
      </c>
      <c r="Y51" s="2" t="s">
        <v>72</v>
      </c>
      <c r="Z51" s="2" t="s">
        <v>72</v>
      </c>
      <c r="AA51" s="2" t="s">
        <v>72</v>
      </c>
      <c r="AB51" s="2" t="s">
        <v>72</v>
      </c>
      <c r="AC51" s="2" t="s">
        <v>71</v>
      </c>
      <c r="AD51" s="2" t="s">
        <v>80</v>
      </c>
      <c r="AF51" s="4">
        <v>2</v>
      </c>
    </row>
    <row r="52" spans="1:32" ht="48" x14ac:dyDescent="0.2">
      <c r="A52" s="4">
        <v>21451506</v>
      </c>
      <c r="B52" s="2">
        <f>VLOOKUP(A52,[1]TRATAMIENTI!$A:$B,2,FALSE)</f>
        <v>433</v>
      </c>
      <c r="C52" s="4" t="s">
        <v>1036</v>
      </c>
      <c r="D52" s="4" t="s">
        <v>1037</v>
      </c>
      <c r="E52" s="4" t="s">
        <v>1038</v>
      </c>
      <c r="F52" s="4" t="s">
        <v>928</v>
      </c>
      <c r="G52" s="2" t="str">
        <f t="shared" si="0"/>
        <v>ANTIOQUIA</v>
      </c>
      <c r="H52" s="4" t="s">
        <v>924</v>
      </c>
      <c r="I52" s="4" t="s">
        <v>948</v>
      </c>
      <c r="J52" s="2" t="s">
        <v>76</v>
      </c>
      <c r="K52" s="2" t="s">
        <v>71</v>
      </c>
      <c r="L52" s="2" t="s">
        <v>71</v>
      </c>
      <c r="M52" s="2" t="s">
        <v>76</v>
      </c>
      <c r="N52" s="2" t="s">
        <v>71</v>
      </c>
      <c r="O52" s="2" t="s">
        <v>71</v>
      </c>
      <c r="P52" s="2" t="s">
        <v>76</v>
      </c>
      <c r="Q52" s="2" t="s">
        <v>76</v>
      </c>
      <c r="R52" s="2" t="s">
        <v>76</v>
      </c>
      <c r="S52" s="2" t="s">
        <v>72</v>
      </c>
      <c r="T52" s="2" t="s">
        <v>72</v>
      </c>
      <c r="U52" s="2" t="s">
        <v>72</v>
      </c>
      <c r="V52" s="2" t="s">
        <v>76</v>
      </c>
      <c r="W52" s="2" t="s">
        <v>76</v>
      </c>
      <c r="X52" s="2" t="s">
        <v>76</v>
      </c>
      <c r="Y52" s="2" t="s">
        <v>72</v>
      </c>
      <c r="Z52" s="2" t="s">
        <v>72</v>
      </c>
      <c r="AA52" s="2" t="s">
        <v>72</v>
      </c>
      <c r="AB52" s="2" t="s">
        <v>72</v>
      </c>
      <c r="AC52" s="2" t="s">
        <v>71</v>
      </c>
      <c r="AD52" s="2" t="s">
        <v>80</v>
      </c>
      <c r="AF52" s="4">
        <v>2</v>
      </c>
    </row>
    <row r="53" spans="1:32" ht="48" x14ac:dyDescent="0.2">
      <c r="A53" s="4">
        <v>21464825</v>
      </c>
      <c r="B53" s="2">
        <f>VLOOKUP(A53,[1]TRATAMIENTI!$A:$B,2,FALSE)</f>
        <v>434</v>
      </c>
      <c r="C53" s="4" t="s">
        <v>1039</v>
      </c>
      <c r="D53" s="4">
        <v>3108296825</v>
      </c>
      <c r="E53" s="4" t="s">
        <v>1040</v>
      </c>
      <c r="F53" s="4" t="s">
        <v>928</v>
      </c>
      <c r="G53" s="2" t="str">
        <f t="shared" si="0"/>
        <v>ANTIOQUIA</v>
      </c>
      <c r="H53" s="4" t="s">
        <v>924</v>
      </c>
      <c r="I53" s="4" t="s">
        <v>951</v>
      </c>
      <c r="J53" s="2" t="s">
        <v>76</v>
      </c>
      <c r="K53" s="2" t="s">
        <v>71</v>
      </c>
      <c r="L53" s="2" t="s">
        <v>71</v>
      </c>
      <c r="M53" s="2" t="s">
        <v>76</v>
      </c>
      <c r="N53" s="2" t="s">
        <v>71</v>
      </c>
      <c r="O53" s="2" t="s">
        <v>72</v>
      </c>
      <c r="P53" s="2" t="s">
        <v>72</v>
      </c>
      <c r="Q53" s="2" t="s">
        <v>72</v>
      </c>
      <c r="R53" s="2" t="s">
        <v>76</v>
      </c>
      <c r="S53" s="2" t="s">
        <v>72</v>
      </c>
      <c r="T53" s="2" t="s">
        <v>72</v>
      </c>
      <c r="U53" s="2" t="s">
        <v>72</v>
      </c>
      <c r="V53" s="2" t="s">
        <v>76</v>
      </c>
      <c r="W53" s="2" t="s">
        <v>76</v>
      </c>
      <c r="X53" s="2" t="s">
        <v>76</v>
      </c>
      <c r="Y53" s="2" t="s">
        <v>72</v>
      </c>
      <c r="Z53" s="2" t="s">
        <v>72</v>
      </c>
      <c r="AA53" s="2" t="s">
        <v>72</v>
      </c>
      <c r="AB53" s="2" t="s">
        <v>72</v>
      </c>
      <c r="AC53" s="2" t="s">
        <v>72</v>
      </c>
      <c r="AD53" s="2" t="s">
        <v>80</v>
      </c>
      <c r="AF53" s="4">
        <v>2</v>
      </c>
    </row>
    <row r="54" spans="1:32" ht="48" x14ac:dyDescent="0.2">
      <c r="A54" s="4">
        <v>21467983</v>
      </c>
      <c r="B54" s="2">
        <f>VLOOKUP(A54,[1]TRATAMIENTI!$A:$B,2,FALSE)</f>
        <v>435</v>
      </c>
      <c r="C54" s="4" t="s">
        <v>1041</v>
      </c>
      <c r="D54" s="4">
        <v>3003382218</v>
      </c>
      <c r="E54" s="4" t="s">
        <v>1042</v>
      </c>
      <c r="F54" s="4" t="s">
        <v>928</v>
      </c>
      <c r="G54" s="2" t="str">
        <f t="shared" si="0"/>
        <v>ANTIOQUIA</v>
      </c>
      <c r="H54" s="4" t="s">
        <v>924</v>
      </c>
      <c r="I54" s="4" t="s">
        <v>951</v>
      </c>
      <c r="J54" s="2" t="s">
        <v>76</v>
      </c>
      <c r="K54" s="2" t="s">
        <v>71</v>
      </c>
      <c r="L54" s="2" t="s">
        <v>76</v>
      </c>
      <c r="M54" s="2" t="s">
        <v>72</v>
      </c>
      <c r="N54" s="2" t="s">
        <v>71</v>
      </c>
      <c r="O54" s="2" t="s">
        <v>72</v>
      </c>
      <c r="P54" s="2" t="s">
        <v>72</v>
      </c>
      <c r="Q54" s="2" t="s">
        <v>72</v>
      </c>
      <c r="R54" s="2" t="s">
        <v>76</v>
      </c>
      <c r="S54" s="2" t="s">
        <v>71</v>
      </c>
      <c r="T54" s="2" t="s">
        <v>71</v>
      </c>
      <c r="U54" s="2" t="s">
        <v>71</v>
      </c>
      <c r="V54" s="2" t="s">
        <v>76</v>
      </c>
      <c r="W54" s="2" t="s">
        <v>76</v>
      </c>
      <c r="X54" s="2" t="s">
        <v>76</v>
      </c>
      <c r="Y54" s="2" t="s">
        <v>72</v>
      </c>
      <c r="Z54" s="2" t="s">
        <v>72</v>
      </c>
      <c r="AA54" s="2" t="s">
        <v>72</v>
      </c>
      <c r="AB54" s="2" t="s">
        <v>72</v>
      </c>
      <c r="AC54" s="2" t="s">
        <v>71</v>
      </c>
      <c r="AD54" s="2" t="s">
        <v>80</v>
      </c>
      <c r="AF54" s="4">
        <v>2</v>
      </c>
    </row>
    <row r="55" spans="1:32" ht="64" x14ac:dyDescent="0.2">
      <c r="A55" s="4">
        <v>21508452</v>
      </c>
      <c r="B55" s="2">
        <f>VLOOKUP(A55,[1]TRATAMIENTI!$A:$B,2,FALSE)</f>
        <v>436</v>
      </c>
      <c r="C55" s="4" t="s">
        <v>1043</v>
      </c>
      <c r="D55" s="4">
        <v>3002829154</v>
      </c>
      <c r="E55" s="4" t="s">
        <v>1044</v>
      </c>
      <c r="F55" s="4" t="s">
        <v>928</v>
      </c>
      <c r="G55" s="2" t="str">
        <f t="shared" si="0"/>
        <v>ANTIOQUIA</v>
      </c>
      <c r="H55" s="4" t="s">
        <v>924</v>
      </c>
      <c r="I55" s="4" t="s">
        <v>931</v>
      </c>
      <c r="J55" s="2" t="s">
        <v>71</v>
      </c>
      <c r="K55" s="2" t="s">
        <v>71</v>
      </c>
      <c r="L55" s="2" t="s">
        <v>71</v>
      </c>
      <c r="M55" s="2" t="s">
        <v>72</v>
      </c>
      <c r="N55" s="2" t="s">
        <v>71</v>
      </c>
      <c r="O55" s="2" t="s">
        <v>72</v>
      </c>
      <c r="P55" s="2" t="s">
        <v>72</v>
      </c>
      <c r="Q55" s="2" t="s">
        <v>72</v>
      </c>
      <c r="R55" s="2" t="s">
        <v>76</v>
      </c>
      <c r="S55" s="2" t="s">
        <v>72</v>
      </c>
      <c r="T55" s="2" t="s">
        <v>71</v>
      </c>
      <c r="U55" s="2" t="s">
        <v>72</v>
      </c>
      <c r="V55" s="2" t="s">
        <v>76</v>
      </c>
      <c r="W55" s="2" t="s">
        <v>76</v>
      </c>
      <c r="X55" s="2" t="s">
        <v>76</v>
      </c>
      <c r="Y55" s="2" t="s">
        <v>72</v>
      </c>
      <c r="Z55" s="2" t="s">
        <v>72</v>
      </c>
      <c r="AA55" s="2" t="s">
        <v>72</v>
      </c>
      <c r="AB55" s="2" t="s">
        <v>71</v>
      </c>
      <c r="AC55" s="2" t="s">
        <v>71</v>
      </c>
      <c r="AD55" s="2" t="s">
        <v>80</v>
      </c>
      <c r="AF55" s="4">
        <v>2</v>
      </c>
    </row>
    <row r="56" spans="1:32" ht="48" x14ac:dyDescent="0.2">
      <c r="A56" s="4">
        <v>21521912</v>
      </c>
      <c r="B56" s="2">
        <f>VLOOKUP(A56,[1]TRATAMIENTI!$A:$B,2,FALSE)</f>
        <v>437</v>
      </c>
      <c r="C56" s="4" t="s">
        <v>1045</v>
      </c>
      <c r="D56" s="4" t="s">
        <v>1046</v>
      </c>
      <c r="E56" s="4" t="s">
        <v>1047</v>
      </c>
      <c r="F56" s="4" t="s">
        <v>928</v>
      </c>
      <c r="G56" s="2" t="str">
        <f t="shared" si="0"/>
        <v>ANTIOQUIA</v>
      </c>
      <c r="H56" s="4" t="s">
        <v>924</v>
      </c>
      <c r="I56" s="4" t="s">
        <v>951</v>
      </c>
      <c r="J56" s="2" t="s">
        <v>76</v>
      </c>
      <c r="K56" s="2" t="s">
        <v>71</v>
      </c>
      <c r="L56" s="2" t="s">
        <v>71</v>
      </c>
      <c r="M56" s="2" t="s">
        <v>72</v>
      </c>
      <c r="N56" s="2" t="s">
        <v>71</v>
      </c>
      <c r="O56" s="2" t="s">
        <v>72</v>
      </c>
      <c r="P56" s="2" t="s">
        <v>72</v>
      </c>
      <c r="Q56" s="2" t="s">
        <v>72</v>
      </c>
      <c r="R56" s="2" t="s">
        <v>76</v>
      </c>
      <c r="S56" s="2" t="s">
        <v>72</v>
      </c>
      <c r="T56" s="2" t="s">
        <v>71</v>
      </c>
      <c r="U56" s="2" t="s">
        <v>72</v>
      </c>
      <c r="V56" s="2" t="s">
        <v>76</v>
      </c>
      <c r="W56" s="2" t="s">
        <v>76</v>
      </c>
      <c r="X56" s="2" t="s">
        <v>76</v>
      </c>
      <c r="Y56" s="2" t="s">
        <v>72</v>
      </c>
      <c r="Z56" s="2" t="s">
        <v>72</v>
      </c>
      <c r="AA56" s="2" t="s">
        <v>72</v>
      </c>
      <c r="AB56" s="2" t="s">
        <v>72</v>
      </c>
      <c r="AC56" s="2" t="s">
        <v>71</v>
      </c>
      <c r="AD56" s="2" t="s">
        <v>80</v>
      </c>
      <c r="AF56" s="4">
        <v>2</v>
      </c>
    </row>
    <row r="57" spans="1:32" ht="48" x14ac:dyDescent="0.2">
      <c r="A57" s="4">
        <v>21559816</v>
      </c>
      <c r="B57" s="2">
        <f>VLOOKUP(A57,[1]TRATAMIENTI!$A:$B,2,FALSE)</f>
        <v>438</v>
      </c>
      <c r="C57" s="4" t="s">
        <v>1048</v>
      </c>
      <c r="D57" s="4">
        <v>3242468290</v>
      </c>
      <c r="E57" s="4" t="s">
        <v>1049</v>
      </c>
      <c r="F57" s="4" t="s">
        <v>928</v>
      </c>
      <c r="G57" s="2" t="str">
        <f t="shared" si="0"/>
        <v>ANTIOQUIA</v>
      </c>
      <c r="H57" s="4" t="s">
        <v>924</v>
      </c>
      <c r="I57" s="4" t="s">
        <v>941</v>
      </c>
      <c r="J57" s="2" t="s">
        <v>76</v>
      </c>
      <c r="K57" s="2" t="s">
        <v>71</v>
      </c>
      <c r="L57" s="2" t="s">
        <v>71</v>
      </c>
      <c r="M57" s="2" t="s">
        <v>72</v>
      </c>
      <c r="N57" s="2" t="s">
        <v>71</v>
      </c>
      <c r="O57" s="2" t="s">
        <v>72</v>
      </c>
      <c r="P57" s="2" t="s">
        <v>72</v>
      </c>
      <c r="Q57" s="2" t="s">
        <v>72</v>
      </c>
      <c r="R57" s="2" t="s">
        <v>76</v>
      </c>
      <c r="S57" s="2" t="s">
        <v>72</v>
      </c>
      <c r="T57" s="2" t="s">
        <v>72</v>
      </c>
      <c r="U57" s="2" t="s">
        <v>72</v>
      </c>
      <c r="V57" s="2" t="s">
        <v>76</v>
      </c>
      <c r="W57" s="2" t="s">
        <v>76</v>
      </c>
      <c r="X57" s="2" t="s">
        <v>76</v>
      </c>
      <c r="Y57" s="2" t="s">
        <v>72</v>
      </c>
      <c r="Z57" s="2" t="s">
        <v>72</v>
      </c>
      <c r="AA57" s="2" t="s">
        <v>72</v>
      </c>
      <c r="AB57" s="2" t="s">
        <v>72</v>
      </c>
      <c r="AC57" s="2" t="s">
        <v>71</v>
      </c>
      <c r="AD57" s="2" t="s">
        <v>80</v>
      </c>
      <c r="AF57" s="4">
        <v>2</v>
      </c>
    </row>
    <row r="58" spans="1:32" ht="48" x14ac:dyDescent="0.2">
      <c r="A58" s="4">
        <v>21573512</v>
      </c>
      <c r="B58" s="2">
        <f>VLOOKUP(A58,[1]TRATAMIENTI!$A:$B,2,FALSE)</f>
        <v>439</v>
      </c>
      <c r="C58" s="4" t="s">
        <v>1050</v>
      </c>
      <c r="D58" s="4">
        <v>3002697858</v>
      </c>
      <c r="E58" s="4" t="s">
        <v>1051</v>
      </c>
      <c r="F58" s="4" t="s">
        <v>928</v>
      </c>
      <c r="G58" s="2" t="str">
        <f t="shared" si="0"/>
        <v>ANTIOQUIA</v>
      </c>
      <c r="H58" s="4" t="s">
        <v>924</v>
      </c>
      <c r="I58" s="4" t="s">
        <v>951</v>
      </c>
      <c r="J58" s="2" t="s">
        <v>71</v>
      </c>
      <c r="K58" s="2" t="s">
        <v>71</v>
      </c>
      <c r="L58" s="2" t="s">
        <v>71</v>
      </c>
      <c r="M58" s="2" t="s">
        <v>72</v>
      </c>
      <c r="N58" s="2" t="s">
        <v>72</v>
      </c>
      <c r="O58" s="2" t="s">
        <v>72</v>
      </c>
      <c r="P58" s="2" t="s">
        <v>72</v>
      </c>
      <c r="Q58" s="2" t="s">
        <v>72</v>
      </c>
      <c r="R58" s="2" t="s">
        <v>76</v>
      </c>
      <c r="S58" s="2" t="s">
        <v>72</v>
      </c>
      <c r="T58" s="2" t="s">
        <v>72</v>
      </c>
      <c r="U58" s="2" t="s">
        <v>72</v>
      </c>
      <c r="V58" s="2" t="s">
        <v>76</v>
      </c>
      <c r="W58" s="2" t="s">
        <v>76</v>
      </c>
      <c r="X58" s="2" t="s">
        <v>76</v>
      </c>
      <c r="Y58" s="2" t="s">
        <v>72</v>
      </c>
      <c r="Z58" s="2" t="s">
        <v>76</v>
      </c>
      <c r="AA58" s="2" t="s">
        <v>72</v>
      </c>
      <c r="AB58" s="2" t="s">
        <v>72</v>
      </c>
      <c r="AC58" s="2" t="s">
        <v>71</v>
      </c>
      <c r="AD58" s="2" t="s">
        <v>91</v>
      </c>
      <c r="AF58" s="4">
        <v>2</v>
      </c>
    </row>
    <row r="59" spans="1:32" ht="48" x14ac:dyDescent="0.2">
      <c r="A59" s="4">
        <v>21575791</v>
      </c>
      <c r="B59" s="2">
        <f>VLOOKUP(A59,[1]TRATAMIENTI!$A:$B,2,FALSE)</f>
        <v>440</v>
      </c>
      <c r="C59" s="4" t="s">
        <v>1052</v>
      </c>
      <c r="D59" s="4">
        <v>3245021070</v>
      </c>
      <c r="E59" s="4" t="s">
        <v>1053</v>
      </c>
      <c r="F59" s="4" t="s">
        <v>928</v>
      </c>
      <c r="G59" s="2" t="str">
        <f t="shared" si="0"/>
        <v>ANTIOQUIA</v>
      </c>
      <c r="H59" s="4" t="s">
        <v>924</v>
      </c>
      <c r="I59" s="4" t="s">
        <v>931</v>
      </c>
      <c r="J59" s="2" t="s">
        <v>71</v>
      </c>
      <c r="K59" s="2" t="s">
        <v>71</v>
      </c>
      <c r="L59" s="2" t="s">
        <v>71</v>
      </c>
      <c r="M59" s="2" t="s">
        <v>72</v>
      </c>
      <c r="N59" s="2" t="s">
        <v>76</v>
      </c>
      <c r="O59" s="2" t="s">
        <v>72</v>
      </c>
      <c r="P59" s="2" t="s">
        <v>72</v>
      </c>
      <c r="Q59" s="2" t="s">
        <v>72</v>
      </c>
      <c r="R59" s="2" t="s">
        <v>76</v>
      </c>
      <c r="S59" s="2" t="s">
        <v>72</v>
      </c>
      <c r="T59" s="2" t="s">
        <v>76</v>
      </c>
      <c r="U59" s="2" t="s">
        <v>72</v>
      </c>
      <c r="V59" s="2" t="s">
        <v>76</v>
      </c>
      <c r="W59" s="2" t="s">
        <v>76</v>
      </c>
      <c r="X59" s="2" t="s">
        <v>76</v>
      </c>
      <c r="Y59" s="2" t="s">
        <v>71</v>
      </c>
      <c r="Z59" s="2" t="s">
        <v>72</v>
      </c>
      <c r="AA59" s="2" t="s">
        <v>71</v>
      </c>
      <c r="AB59" s="2" t="s">
        <v>71</v>
      </c>
      <c r="AC59" s="2" t="s">
        <v>71</v>
      </c>
      <c r="AD59" s="2" t="s">
        <v>80</v>
      </c>
      <c r="AF59" s="4">
        <v>2</v>
      </c>
    </row>
    <row r="60" spans="1:32" ht="64" x14ac:dyDescent="0.2">
      <c r="A60" s="4">
        <v>21584884</v>
      </c>
      <c r="B60" s="2">
        <f>VLOOKUP(A60,[1]TRATAMIENTI!$A:$B,2,FALSE)</f>
        <v>441</v>
      </c>
      <c r="C60" s="4" t="s">
        <v>1054</v>
      </c>
      <c r="D60" s="4" t="s">
        <v>1055</v>
      </c>
      <c r="E60" s="4" t="s">
        <v>1056</v>
      </c>
      <c r="F60" s="4" t="s">
        <v>928</v>
      </c>
      <c r="G60" s="2" t="str">
        <f t="shared" si="0"/>
        <v>ANTIOQUIA</v>
      </c>
      <c r="H60" s="4" t="s">
        <v>924</v>
      </c>
      <c r="I60" s="4" t="s">
        <v>948</v>
      </c>
      <c r="J60" s="2" t="s">
        <v>76</v>
      </c>
      <c r="K60" s="2" t="s">
        <v>71</v>
      </c>
      <c r="L60" s="2" t="s">
        <v>71</v>
      </c>
      <c r="M60" s="2" t="s">
        <v>72</v>
      </c>
      <c r="N60" s="2" t="s">
        <v>71</v>
      </c>
      <c r="O60" s="2" t="s">
        <v>72</v>
      </c>
      <c r="P60" s="2" t="s">
        <v>72</v>
      </c>
      <c r="Q60" s="2" t="s">
        <v>72</v>
      </c>
      <c r="R60" s="2" t="s">
        <v>76</v>
      </c>
      <c r="S60" s="2" t="s">
        <v>72</v>
      </c>
      <c r="T60" s="2" t="s">
        <v>72</v>
      </c>
      <c r="U60" s="2" t="s">
        <v>72</v>
      </c>
      <c r="V60" s="2" t="s">
        <v>71</v>
      </c>
      <c r="W60" s="2" t="s">
        <v>71</v>
      </c>
      <c r="X60" s="2" t="s">
        <v>71</v>
      </c>
      <c r="Y60" s="2" t="s">
        <v>71</v>
      </c>
      <c r="Z60" s="2" t="s">
        <v>71</v>
      </c>
      <c r="AA60" s="2" t="s">
        <v>71</v>
      </c>
      <c r="AB60" s="2" t="s">
        <v>71</v>
      </c>
      <c r="AC60" s="2" t="s">
        <v>71</v>
      </c>
      <c r="AD60" s="2" t="s">
        <v>85</v>
      </c>
      <c r="AF60" s="4">
        <v>3</v>
      </c>
    </row>
    <row r="61" spans="1:32" ht="48" x14ac:dyDescent="0.2">
      <c r="A61" s="4">
        <v>21620314</v>
      </c>
      <c r="B61" s="2">
        <f>VLOOKUP(A61,[1]TRATAMIENTI!$A:$B,2,FALSE)</f>
        <v>442</v>
      </c>
      <c r="C61" s="4" t="s">
        <v>1057</v>
      </c>
      <c r="D61" s="4">
        <v>0</v>
      </c>
      <c r="E61" s="4" t="s">
        <v>1058</v>
      </c>
      <c r="F61" s="4" t="s">
        <v>928</v>
      </c>
      <c r="G61" s="2" t="str">
        <f t="shared" si="0"/>
        <v>ANTIOQUIA</v>
      </c>
      <c r="H61" s="4" t="s">
        <v>924</v>
      </c>
      <c r="I61" s="4" t="s">
        <v>951</v>
      </c>
      <c r="J61" s="2" t="s">
        <v>71</v>
      </c>
      <c r="K61" s="2" t="s">
        <v>71</v>
      </c>
      <c r="L61" s="2" t="s">
        <v>72</v>
      </c>
      <c r="M61" s="2" t="s">
        <v>72</v>
      </c>
      <c r="N61" s="2" t="s">
        <v>76</v>
      </c>
      <c r="O61" s="2" t="s">
        <v>72</v>
      </c>
      <c r="P61" s="2" t="s">
        <v>72</v>
      </c>
      <c r="Q61" s="2" t="s">
        <v>72</v>
      </c>
      <c r="R61" s="2" t="s">
        <v>76</v>
      </c>
      <c r="S61" s="2" t="s">
        <v>72</v>
      </c>
      <c r="T61" s="2" t="s">
        <v>72</v>
      </c>
      <c r="U61" s="2" t="s">
        <v>72</v>
      </c>
      <c r="V61" s="2" t="s">
        <v>76</v>
      </c>
      <c r="W61" s="2" t="s">
        <v>76</v>
      </c>
      <c r="X61" s="2" t="s">
        <v>76</v>
      </c>
      <c r="Y61" s="2" t="s">
        <v>72</v>
      </c>
      <c r="Z61" s="2" t="s">
        <v>72</v>
      </c>
      <c r="AA61" s="2" t="s">
        <v>72</v>
      </c>
      <c r="AB61" s="2" t="s">
        <v>72</v>
      </c>
      <c r="AC61" s="2" t="s">
        <v>71</v>
      </c>
      <c r="AD61" s="2" t="s">
        <v>91</v>
      </c>
      <c r="AF61" s="4">
        <v>1</v>
      </c>
    </row>
    <row r="62" spans="1:32" ht="48" x14ac:dyDescent="0.2">
      <c r="A62" s="4">
        <v>21691463</v>
      </c>
      <c r="B62" s="2">
        <f>VLOOKUP(A62,[1]TRATAMIENTI!$A:$B,2,FALSE)</f>
        <v>443</v>
      </c>
      <c r="C62" s="4" t="s">
        <v>1059</v>
      </c>
      <c r="D62" s="4">
        <v>3147664054</v>
      </c>
      <c r="E62" s="4" t="s">
        <v>1060</v>
      </c>
      <c r="F62" s="4" t="s">
        <v>928</v>
      </c>
      <c r="G62" s="2" t="str">
        <f t="shared" si="0"/>
        <v>ANTIOQUIA</v>
      </c>
      <c r="H62" s="4" t="s">
        <v>924</v>
      </c>
      <c r="I62" s="4" t="s">
        <v>951</v>
      </c>
      <c r="J62" s="2" t="s">
        <v>71</v>
      </c>
      <c r="K62" s="2" t="s">
        <v>71</v>
      </c>
      <c r="L62" s="2" t="s">
        <v>71</v>
      </c>
      <c r="M62" s="2" t="s">
        <v>72</v>
      </c>
      <c r="N62" s="2" t="s">
        <v>76</v>
      </c>
      <c r="O62" s="2" t="s">
        <v>76</v>
      </c>
      <c r="P62" s="2" t="s">
        <v>72</v>
      </c>
      <c r="Q62" s="2" t="s">
        <v>72</v>
      </c>
      <c r="R62" s="2" t="s">
        <v>76</v>
      </c>
      <c r="S62" s="2" t="s">
        <v>72</v>
      </c>
      <c r="T62" s="2" t="s">
        <v>72</v>
      </c>
      <c r="U62" s="2" t="s">
        <v>72</v>
      </c>
      <c r="V62" s="2" t="s">
        <v>76</v>
      </c>
      <c r="W62" s="2" t="s">
        <v>76</v>
      </c>
      <c r="X62" s="2" t="s">
        <v>76</v>
      </c>
      <c r="Y62" s="2" t="s">
        <v>72</v>
      </c>
      <c r="Z62" s="2" t="s">
        <v>72</v>
      </c>
      <c r="AA62" s="2" t="s">
        <v>72</v>
      </c>
      <c r="AB62" s="2" t="s">
        <v>71</v>
      </c>
      <c r="AC62" s="2" t="s">
        <v>71</v>
      </c>
      <c r="AD62" s="2" t="s">
        <v>80</v>
      </c>
      <c r="AF62" s="4">
        <v>2</v>
      </c>
    </row>
    <row r="63" spans="1:32" ht="48" x14ac:dyDescent="0.2">
      <c r="A63" s="4">
        <v>21693354</v>
      </c>
      <c r="B63" s="2">
        <f>VLOOKUP(A63,[1]TRATAMIENTI!$A:$B,2,FALSE)</f>
        <v>444</v>
      </c>
      <c r="C63" s="4" t="s">
        <v>1061</v>
      </c>
      <c r="D63" s="4">
        <v>3053550544</v>
      </c>
      <c r="E63" s="4" t="s">
        <v>1062</v>
      </c>
      <c r="F63" s="4" t="s">
        <v>928</v>
      </c>
      <c r="G63" s="2" t="str">
        <f t="shared" si="0"/>
        <v>ANTIOQUIA</v>
      </c>
      <c r="H63" s="4" t="s">
        <v>924</v>
      </c>
      <c r="I63" s="4" t="s">
        <v>931</v>
      </c>
      <c r="J63" s="2" t="s">
        <v>71</v>
      </c>
      <c r="K63" s="2" t="s">
        <v>71</v>
      </c>
      <c r="L63" s="2" t="s">
        <v>71</v>
      </c>
      <c r="M63" s="2" t="s">
        <v>72</v>
      </c>
      <c r="N63" s="2" t="s">
        <v>71</v>
      </c>
      <c r="O63" s="2" t="s">
        <v>72</v>
      </c>
      <c r="P63" s="2" t="s">
        <v>72</v>
      </c>
      <c r="Q63" s="2" t="s">
        <v>72</v>
      </c>
      <c r="R63" s="2" t="s">
        <v>76</v>
      </c>
      <c r="S63" s="2" t="s">
        <v>72</v>
      </c>
      <c r="T63" s="2" t="s">
        <v>72</v>
      </c>
      <c r="U63" s="2" t="s">
        <v>72</v>
      </c>
      <c r="V63" s="2" t="s">
        <v>76</v>
      </c>
      <c r="W63" s="2" t="s">
        <v>76</v>
      </c>
      <c r="X63" s="2" t="s">
        <v>76</v>
      </c>
      <c r="Y63" s="2" t="s">
        <v>72</v>
      </c>
      <c r="Z63" s="2" t="s">
        <v>72</v>
      </c>
      <c r="AA63" s="2" t="s">
        <v>72</v>
      </c>
      <c r="AB63" s="2" t="s">
        <v>72</v>
      </c>
      <c r="AC63" s="2" t="s">
        <v>71</v>
      </c>
      <c r="AD63" s="2" t="s">
        <v>80</v>
      </c>
      <c r="AF63" s="4">
        <v>2</v>
      </c>
    </row>
    <row r="64" spans="1:32" ht="48" x14ac:dyDescent="0.2">
      <c r="A64" s="4">
        <v>21697016</v>
      </c>
      <c r="B64" s="2">
        <f>VLOOKUP(A64,[1]TRATAMIENTI!$A:$B,2,FALSE)</f>
        <v>445</v>
      </c>
      <c r="C64" s="4" t="s">
        <v>1063</v>
      </c>
      <c r="D64" s="4">
        <v>3057074867</v>
      </c>
      <c r="E64" s="4" t="s">
        <v>1064</v>
      </c>
      <c r="F64" s="4" t="s">
        <v>928</v>
      </c>
      <c r="G64" s="2" t="str">
        <f t="shared" si="0"/>
        <v>ANTIOQUIA</v>
      </c>
      <c r="H64" s="4" t="s">
        <v>924</v>
      </c>
      <c r="I64" s="4" t="s">
        <v>941</v>
      </c>
      <c r="J64" s="2" t="s">
        <v>76</v>
      </c>
      <c r="K64" s="2" t="s">
        <v>71</v>
      </c>
      <c r="L64" s="2" t="s">
        <v>71</v>
      </c>
      <c r="M64" s="2" t="s">
        <v>72</v>
      </c>
      <c r="N64" s="2" t="s">
        <v>71</v>
      </c>
      <c r="O64" s="2" t="s">
        <v>72</v>
      </c>
      <c r="P64" s="2" t="s">
        <v>72</v>
      </c>
      <c r="Q64" s="2" t="s">
        <v>72</v>
      </c>
      <c r="R64" s="2" t="s">
        <v>72</v>
      </c>
      <c r="S64" s="2" t="s">
        <v>72</v>
      </c>
      <c r="T64" s="2" t="s">
        <v>72</v>
      </c>
      <c r="U64" s="2" t="s">
        <v>72</v>
      </c>
      <c r="V64" s="2" t="s">
        <v>76</v>
      </c>
      <c r="W64" s="2" t="s">
        <v>76</v>
      </c>
      <c r="X64" s="2" t="s">
        <v>76</v>
      </c>
      <c r="Y64" s="2" t="s">
        <v>72</v>
      </c>
      <c r="Z64" s="2" t="s">
        <v>72</v>
      </c>
      <c r="AA64" s="2" t="s">
        <v>72</v>
      </c>
      <c r="AB64" s="2" t="s">
        <v>72</v>
      </c>
      <c r="AC64" s="2" t="s">
        <v>71</v>
      </c>
      <c r="AD64" s="2" t="s">
        <v>80</v>
      </c>
      <c r="AF64" s="4">
        <v>2</v>
      </c>
    </row>
    <row r="65" spans="1:32" ht="48" x14ac:dyDescent="0.2">
      <c r="A65" s="4">
        <v>21697063</v>
      </c>
      <c r="B65" s="2">
        <f>VLOOKUP(A65,[1]TRATAMIENTI!$A:$B,2,FALSE)</f>
        <v>446</v>
      </c>
      <c r="C65" s="4" t="s">
        <v>1065</v>
      </c>
      <c r="D65" s="4">
        <v>3045812327</v>
      </c>
      <c r="E65" s="4" t="s">
        <v>1066</v>
      </c>
      <c r="F65" s="4" t="s">
        <v>928</v>
      </c>
      <c r="G65" s="2" t="str">
        <f t="shared" si="0"/>
        <v>ANTIOQUIA</v>
      </c>
      <c r="H65" s="4" t="s">
        <v>924</v>
      </c>
      <c r="I65" s="4" t="s">
        <v>941</v>
      </c>
      <c r="J65" s="2" t="s">
        <v>76</v>
      </c>
      <c r="K65" s="2" t="s">
        <v>71</v>
      </c>
      <c r="L65" s="2" t="s">
        <v>71</v>
      </c>
      <c r="M65" s="2" t="s">
        <v>72</v>
      </c>
      <c r="N65" s="2" t="s">
        <v>76</v>
      </c>
      <c r="O65" s="2" t="s">
        <v>72</v>
      </c>
      <c r="P65" s="2" t="s">
        <v>72</v>
      </c>
      <c r="Q65" s="2" t="s">
        <v>72</v>
      </c>
      <c r="R65" s="2" t="s">
        <v>76</v>
      </c>
      <c r="S65" s="2" t="s">
        <v>72</v>
      </c>
      <c r="T65" s="2" t="s">
        <v>72</v>
      </c>
      <c r="U65" s="2" t="s">
        <v>72</v>
      </c>
      <c r="V65" s="2" t="s">
        <v>76</v>
      </c>
      <c r="W65" s="2" t="s">
        <v>76</v>
      </c>
      <c r="X65" s="2" t="s">
        <v>76</v>
      </c>
      <c r="Y65" s="2" t="s">
        <v>72</v>
      </c>
      <c r="Z65" s="2" t="s">
        <v>72</v>
      </c>
      <c r="AA65" s="2" t="s">
        <v>72</v>
      </c>
      <c r="AB65" s="2" t="s">
        <v>72</v>
      </c>
      <c r="AC65" s="2" t="s">
        <v>71</v>
      </c>
      <c r="AD65" s="2" t="s">
        <v>80</v>
      </c>
      <c r="AF65" s="4">
        <v>2</v>
      </c>
    </row>
    <row r="66" spans="1:32" ht="48" x14ac:dyDescent="0.2">
      <c r="A66" s="4">
        <v>21697589</v>
      </c>
      <c r="B66" s="2">
        <f>VLOOKUP(A66,[1]TRATAMIENTI!$A:$B,2,FALSE)</f>
        <v>447</v>
      </c>
      <c r="C66" s="4" t="s">
        <v>1067</v>
      </c>
      <c r="D66" s="4">
        <v>3143884631</v>
      </c>
      <c r="E66" s="4" t="s">
        <v>1068</v>
      </c>
      <c r="F66" s="4" t="s">
        <v>928</v>
      </c>
      <c r="G66" s="2" t="str">
        <f t="shared" ref="G66:G129" si="1">IF(H66="CALI","VALLE DEL CAUCA",IF(H66="MEDELLIN","ANTIOQUIA",IF(H66="BARRANQUILLA","ATLANTICO","NO")))</f>
        <v>ANTIOQUIA</v>
      </c>
      <c r="H66" s="4" t="s">
        <v>924</v>
      </c>
      <c r="I66" s="4" t="s">
        <v>941</v>
      </c>
      <c r="J66" s="2" t="s">
        <v>71</v>
      </c>
      <c r="K66" s="2" t="s">
        <v>76</v>
      </c>
      <c r="L66" s="2" t="s">
        <v>71</v>
      </c>
      <c r="M66" s="2" t="s">
        <v>71</v>
      </c>
      <c r="N66" s="2" t="s">
        <v>71</v>
      </c>
      <c r="O66" s="2" t="s">
        <v>71</v>
      </c>
      <c r="P66" s="2" t="s">
        <v>72</v>
      </c>
      <c r="Q66" s="2" t="s">
        <v>72</v>
      </c>
      <c r="R66" s="2" t="s">
        <v>76</v>
      </c>
      <c r="S66" s="2" t="s">
        <v>71</v>
      </c>
      <c r="T66" s="2" t="s">
        <v>71</v>
      </c>
      <c r="U66" s="2" t="s">
        <v>72</v>
      </c>
      <c r="V66" s="2" t="s">
        <v>76</v>
      </c>
      <c r="W66" s="2" t="s">
        <v>76</v>
      </c>
      <c r="X66" s="2" t="s">
        <v>76</v>
      </c>
      <c r="Y66" s="2" t="s">
        <v>72</v>
      </c>
      <c r="Z66" s="2" t="s">
        <v>72</v>
      </c>
      <c r="AA66" s="2" t="s">
        <v>72</v>
      </c>
      <c r="AB66" s="2" t="s">
        <v>72</v>
      </c>
      <c r="AC66" s="2" t="s">
        <v>71</v>
      </c>
      <c r="AD66" s="2" t="s">
        <v>91</v>
      </c>
      <c r="AF66" s="4">
        <v>1</v>
      </c>
    </row>
    <row r="67" spans="1:32" ht="48" x14ac:dyDescent="0.2">
      <c r="A67" s="4">
        <v>21709045</v>
      </c>
      <c r="B67" s="2">
        <f>VLOOKUP(A67,[1]TRATAMIENTI!$A:$B,2,FALSE)</f>
        <v>448</v>
      </c>
      <c r="C67" s="4" t="s">
        <v>1069</v>
      </c>
      <c r="D67" s="4">
        <v>3014362311</v>
      </c>
      <c r="E67" s="4" t="s">
        <v>1070</v>
      </c>
      <c r="F67" s="4" t="s">
        <v>928</v>
      </c>
      <c r="G67" s="2" t="str">
        <f t="shared" si="1"/>
        <v>ANTIOQUIA</v>
      </c>
      <c r="H67" s="4" t="s">
        <v>924</v>
      </c>
      <c r="I67" s="4" t="s">
        <v>931</v>
      </c>
      <c r="J67" s="2" t="s">
        <v>71</v>
      </c>
      <c r="K67" s="2" t="s">
        <v>71</v>
      </c>
      <c r="L67" s="2" t="s">
        <v>71</v>
      </c>
      <c r="M67" s="2" t="s">
        <v>72</v>
      </c>
      <c r="N67" s="2" t="s">
        <v>71</v>
      </c>
      <c r="O67" s="2" t="s">
        <v>72</v>
      </c>
      <c r="P67" s="2" t="s">
        <v>72</v>
      </c>
      <c r="Q67" s="2" t="s">
        <v>72</v>
      </c>
      <c r="R67" s="2" t="s">
        <v>76</v>
      </c>
      <c r="S67" s="2" t="s">
        <v>72</v>
      </c>
      <c r="T67" s="2" t="s">
        <v>71</v>
      </c>
      <c r="U67" s="2" t="s">
        <v>72</v>
      </c>
      <c r="V67" s="2" t="s">
        <v>76</v>
      </c>
      <c r="W67" s="2" t="s">
        <v>76</v>
      </c>
      <c r="X67" s="2" t="s">
        <v>76</v>
      </c>
      <c r="Y67" s="2" t="s">
        <v>72</v>
      </c>
      <c r="Z67" s="2" t="s">
        <v>72</v>
      </c>
      <c r="AA67" s="2" t="s">
        <v>72</v>
      </c>
      <c r="AB67" s="2" t="s">
        <v>72</v>
      </c>
      <c r="AC67" s="2" t="s">
        <v>71</v>
      </c>
      <c r="AD67" s="2" t="s">
        <v>80</v>
      </c>
      <c r="AF67" s="4">
        <v>2</v>
      </c>
    </row>
    <row r="68" spans="1:32" ht="48" x14ac:dyDescent="0.2">
      <c r="A68" s="4">
        <v>21744070</v>
      </c>
      <c r="B68" s="2">
        <f>VLOOKUP(A68,[1]TRATAMIENTI!$A:$B,2,FALSE)</f>
        <v>449</v>
      </c>
      <c r="C68" s="4" t="s">
        <v>1071</v>
      </c>
      <c r="D68" s="4" t="s">
        <v>1072</v>
      </c>
      <c r="E68" s="4" t="s">
        <v>1073</v>
      </c>
      <c r="F68" s="4" t="s">
        <v>928</v>
      </c>
      <c r="G68" s="2" t="str">
        <f t="shared" si="1"/>
        <v>ANTIOQUIA</v>
      </c>
      <c r="H68" s="4" t="s">
        <v>924</v>
      </c>
      <c r="I68" s="4" t="s">
        <v>951</v>
      </c>
      <c r="J68" s="2" t="s">
        <v>76</v>
      </c>
      <c r="K68" s="2" t="s">
        <v>71</v>
      </c>
      <c r="L68" s="2" t="s">
        <v>71</v>
      </c>
      <c r="M68" s="2" t="s">
        <v>72</v>
      </c>
      <c r="N68" s="2" t="s">
        <v>71</v>
      </c>
      <c r="O68" s="2" t="s">
        <v>72</v>
      </c>
      <c r="P68" s="2" t="s">
        <v>72</v>
      </c>
      <c r="Q68" s="2" t="s">
        <v>72</v>
      </c>
      <c r="R68" s="2" t="s">
        <v>76</v>
      </c>
      <c r="S68" s="2" t="s">
        <v>72</v>
      </c>
      <c r="T68" s="2" t="s">
        <v>72</v>
      </c>
      <c r="U68" s="2" t="s">
        <v>72</v>
      </c>
      <c r="V68" s="2" t="s">
        <v>76</v>
      </c>
      <c r="W68" s="2" t="s">
        <v>76</v>
      </c>
      <c r="X68" s="2" t="s">
        <v>76</v>
      </c>
      <c r="Y68" s="2" t="s">
        <v>72</v>
      </c>
      <c r="Z68" s="2" t="s">
        <v>72</v>
      </c>
      <c r="AA68" s="2" t="s">
        <v>72</v>
      </c>
      <c r="AB68" s="2" t="s">
        <v>72</v>
      </c>
      <c r="AC68" s="2"/>
      <c r="AD68" s="2" t="s">
        <v>80</v>
      </c>
      <c r="AF68" s="4">
        <v>2</v>
      </c>
    </row>
    <row r="69" spans="1:32" ht="48" x14ac:dyDescent="0.2">
      <c r="A69" s="4">
        <v>21785236</v>
      </c>
      <c r="B69" s="2">
        <f>VLOOKUP(A69,[1]TRATAMIENTI!$A:$B,2,FALSE)</f>
        <v>450</v>
      </c>
      <c r="C69" s="4" t="s">
        <v>1074</v>
      </c>
      <c r="D69" s="4">
        <v>3245251503</v>
      </c>
      <c r="E69" s="4" t="s">
        <v>1075</v>
      </c>
      <c r="F69" s="4" t="s">
        <v>928</v>
      </c>
      <c r="G69" s="2" t="str">
        <f t="shared" si="1"/>
        <v>ANTIOQUIA</v>
      </c>
      <c r="H69" s="4" t="s">
        <v>924</v>
      </c>
      <c r="I69" s="4" t="s">
        <v>951</v>
      </c>
      <c r="J69" s="2" t="s">
        <v>76</v>
      </c>
      <c r="K69" s="2"/>
      <c r="L69" s="2" t="s">
        <v>72</v>
      </c>
      <c r="M69" s="2" t="s">
        <v>76</v>
      </c>
      <c r="N69" s="2" t="s">
        <v>71</v>
      </c>
      <c r="O69" s="2" t="s">
        <v>72</v>
      </c>
      <c r="P69" s="2" t="s">
        <v>72</v>
      </c>
      <c r="Q69" s="2" t="s">
        <v>72</v>
      </c>
      <c r="R69" s="2" t="s">
        <v>76</v>
      </c>
      <c r="S69" s="2" t="s">
        <v>72</v>
      </c>
      <c r="T69" s="2" t="s">
        <v>71</v>
      </c>
      <c r="U69" s="2" t="s">
        <v>72</v>
      </c>
      <c r="V69" s="2" t="s">
        <v>71</v>
      </c>
      <c r="W69" s="2" t="s">
        <v>71</v>
      </c>
      <c r="X69" s="2" t="s">
        <v>71</v>
      </c>
      <c r="Y69" s="2" t="s">
        <v>71</v>
      </c>
      <c r="Z69" s="2" t="s">
        <v>71</v>
      </c>
      <c r="AA69" s="2" t="s">
        <v>71</v>
      </c>
      <c r="AB69" s="2" t="s">
        <v>71</v>
      </c>
      <c r="AC69" s="2" t="s">
        <v>71</v>
      </c>
      <c r="AD69" s="2" t="s">
        <v>85</v>
      </c>
      <c r="AF69" s="4">
        <v>2</v>
      </c>
    </row>
    <row r="70" spans="1:32" ht="48" x14ac:dyDescent="0.2">
      <c r="A70" s="4">
        <v>21808751</v>
      </c>
      <c r="B70" s="2">
        <f>VLOOKUP(A70,[1]TRATAMIENTI!$A:$B,2,FALSE)</f>
        <v>451</v>
      </c>
      <c r="C70" s="4" t="s">
        <v>1076</v>
      </c>
      <c r="D70" s="4">
        <v>3126187691</v>
      </c>
      <c r="E70" s="4" t="s">
        <v>1077</v>
      </c>
      <c r="F70" s="4" t="s">
        <v>928</v>
      </c>
      <c r="G70" s="2" t="str">
        <f t="shared" si="1"/>
        <v>ANTIOQUIA</v>
      </c>
      <c r="H70" s="4" t="s">
        <v>924</v>
      </c>
      <c r="I70" s="4" t="s">
        <v>951</v>
      </c>
      <c r="J70" s="2" t="s">
        <v>71</v>
      </c>
      <c r="K70" s="2" t="s">
        <v>72</v>
      </c>
      <c r="L70" s="2" t="s">
        <v>72</v>
      </c>
      <c r="M70" s="2" t="s">
        <v>72</v>
      </c>
      <c r="N70" s="2" t="s">
        <v>71</v>
      </c>
      <c r="O70" s="2" t="s">
        <v>71</v>
      </c>
      <c r="P70" s="2" t="s">
        <v>72</v>
      </c>
      <c r="Q70" s="2" t="s">
        <v>72</v>
      </c>
      <c r="R70" s="2" t="s">
        <v>72</v>
      </c>
      <c r="S70" s="2" t="s">
        <v>72</v>
      </c>
      <c r="T70" s="2" t="s">
        <v>71</v>
      </c>
      <c r="U70" s="2" t="s">
        <v>72</v>
      </c>
      <c r="V70" s="2" t="s">
        <v>71</v>
      </c>
      <c r="W70" s="2" t="s">
        <v>71</v>
      </c>
      <c r="X70" s="2" t="s">
        <v>71</v>
      </c>
      <c r="Y70" s="2" t="s">
        <v>71</v>
      </c>
      <c r="Z70" s="2" t="s">
        <v>71</v>
      </c>
      <c r="AA70" s="2" t="s">
        <v>71</v>
      </c>
      <c r="AB70" s="2" t="s">
        <v>71</v>
      </c>
      <c r="AC70" s="2" t="s">
        <v>71</v>
      </c>
      <c r="AD70" s="2" t="s">
        <v>85</v>
      </c>
      <c r="AF70" s="4">
        <v>2</v>
      </c>
    </row>
    <row r="71" spans="1:32" ht="80" x14ac:dyDescent="0.2">
      <c r="A71" s="4">
        <v>21808821</v>
      </c>
      <c r="B71" s="2">
        <f>VLOOKUP(A71,[1]TRATAMIENTI!$A:$B,2,FALSE)</f>
        <v>452</v>
      </c>
      <c r="C71" s="4" t="s">
        <v>1078</v>
      </c>
      <c r="D71" s="4">
        <v>3226794610</v>
      </c>
      <c r="E71" s="4" t="s">
        <v>1079</v>
      </c>
      <c r="F71" s="4" t="s">
        <v>928</v>
      </c>
      <c r="G71" s="2" t="str">
        <f t="shared" si="1"/>
        <v>ANTIOQUIA</v>
      </c>
      <c r="H71" s="4" t="s">
        <v>924</v>
      </c>
      <c r="I71" s="4" t="s">
        <v>951</v>
      </c>
      <c r="J71" s="2" t="s">
        <v>71</v>
      </c>
      <c r="K71" s="2" t="s">
        <v>71</v>
      </c>
      <c r="L71" s="2" t="s">
        <v>71</v>
      </c>
      <c r="M71" s="2" t="s">
        <v>72</v>
      </c>
      <c r="N71" s="2" t="s">
        <v>71</v>
      </c>
      <c r="O71" s="2" t="s">
        <v>72</v>
      </c>
      <c r="P71" s="2" t="s">
        <v>72</v>
      </c>
      <c r="Q71" s="2" t="s">
        <v>72</v>
      </c>
      <c r="R71" s="2" t="s">
        <v>76</v>
      </c>
      <c r="S71" s="2" t="s">
        <v>72</v>
      </c>
      <c r="T71" s="2" t="s">
        <v>71</v>
      </c>
      <c r="U71" s="2" t="s">
        <v>72</v>
      </c>
      <c r="V71" s="2" t="s">
        <v>72</v>
      </c>
      <c r="W71" s="2" t="s">
        <v>72</v>
      </c>
      <c r="X71" s="2" t="s">
        <v>72</v>
      </c>
      <c r="Y71" s="2" t="s">
        <v>71</v>
      </c>
      <c r="Z71" s="2" t="s">
        <v>72</v>
      </c>
      <c r="AA71" s="2" t="s">
        <v>72</v>
      </c>
      <c r="AB71" s="2" t="s">
        <v>71</v>
      </c>
      <c r="AC71" s="2" t="s">
        <v>71</v>
      </c>
      <c r="AD71" s="2" t="s">
        <v>80</v>
      </c>
      <c r="AF71" s="4">
        <v>2</v>
      </c>
    </row>
    <row r="72" spans="1:32" ht="48" x14ac:dyDescent="0.2">
      <c r="A72" s="4">
        <v>21809439</v>
      </c>
      <c r="B72" s="2">
        <f>VLOOKUP(A72,[1]TRATAMIENTI!$A:$B,2,FALSE)</f>
        <v>453</v>
      </c>
      <c r="C72" s="4" t="s">
        <v>1080</v>
      </c>
      <c r="D72" s="4">
        <v>3015193264</v>
      </c>
      <c r="E72" s="4" t="s">
        <v>1081</v>
      </c>
      <c r="F72" s="4" t="s">
        <v>928</v>
      </c>
      <c r="G72" s="2" t="str">
        <f t="shared" si="1"/>
        <v>ANTIOQUIA</v>
      </c>
      <c r="H72" s="4" t="s">
        <v>924</v>
      </c>
      <c r="I72" s="4" t="s">
        <v>931</v>
      </c>
      <c r="J72" s="2" t="s">
        <v>71</v>
      </c>
      <c r="K72" s="2" t="s">
        <v>71</v>
      </c>
      <c r="L72" s="2" t="s">
        <v>71</v>
      </c>
      <c r="M72" s="2" t="s">
        <v>72</v>
      </c>
      <c r="N72" s="2" t="s">
        <v>71</v>
      </c>
      <c r="O72" s="2" t="s">
        <v>72</v>
      </c>
      <c r="P72" s="2" t="s">
        <v>72</v>
      </c>
      <c r="Q72" s="2" t="s">
        <v>72</v>
      </c>
      <c r="R72" s="2" t="s">
        <v>76</v>
      </c>
      <c r="S72" s="2" t="s">
        <v>72</v>
      </c>
      <c r="T72" s="2" t="s">
        <v>71</v>
      </c>
      <c r="U72" s="2" t="s">
        <v>72</v>
      </c>
      <c r="V72" s="2" t="s">
        <v>76</v>
      </c>
      <c r="W72" s="2" t="s">
        <v>76</v>
      </c>
      <c r="X72" s="2" t="s">
        <v>76</v>
      </c>
      <c r="Y72" s="2" t="s">
        <v>72</v>
      </c>
      <c r="Z72" s="2" t="s">
        <v>72</v>
      </c>
      <c r="AA72" s="2" t="s">
        <v>72</v>
      </c>
      <c r="AB72" s="2" t="s">
        <v>72</v>
      </c>
      <c r="AC72" s="2" t="s">
        <v>71</v>
      </c>
      <c r="AD72" s="2" t="s">
        <v>80</v>
      </c>
      <c r="AF72" s="4">
        <v>2</v>
      </c>
    </row>
    <row r="73" spans="1:32" ht="48" x14ac:dyDescent="0.2">
      <c r="A73" s="4">
        <v>21812687</v>
      </c>
      <c r="B73" s="2">
        <f>VLOOKUP(A73,[1]TRATAMIENTI!$A:$B,2,FALSE)</f>
        <v>454</v>
      </c>
      <c r="C73" s="4" t="s">
        <v>1082</v>
      </c>
      <c r="D73" s="4">
        <v>3205929308</v>
      </c>
      <c r="E73" s="4" t="s">
        <v>1083</v>
      </c>
      <c r="F73" s="4" t="s">
        <v>928</v>
      </c>
      <c r="G73" s="2" t="str">
        <f t="shared" si="1"/>
        <v>ANTIOQUIA</v>
      </c>
      <c r="H73" s="4" t="s">
        <v>924</v>
      </c>
      <c r="I73" s="4" t="s">
        <v>941</v>
      </c>
      <c r="J73" s="2" t="s">
        <v>76</v>
      </c>
      <c r="K73" s="2" t="s">
        <v>71</v>
      </c>
      <c r="L73" s="2" t="s">
        <v>71</v>
      </c>
      <c r="M73" s="2" t="s">
        <v>71</v>
      </c>
      <c r="N73" s="2" t="s">
        <v>76</v>
      </c>
      <c r="O73" s="2" t="s">
        <v>72</v>
      </c>
      <c r="P73" s="2" t="s">
        <v>72</v>
      </c>
      <c r="Q73" s="2" t="s">
        <v>72</v>
      </c>
      <c r="R73" s="2" t="s">
        <v>76</v>
      </c>
      <c r="S73" s="2" t="s">
        <v>76</v>
      </c>
      <c r="T73" s="2" t="s">
        <v>72</v>
      </c>
      <c r="U73" s="2" t="s">
        <v>72</v>
      </c>
      <c r="V73" s="2" t="s">
        <v>76</v>
      </c>
      <c r="W73" s="2" t="s">
        <v>76</v>
      </c>
      <c r="X73" s="2" t="s">
        <v>76</v>
      </c>
      <c r="Y73" s="2" t="s">
        <v>72</v>
      </c>
      <c r="Z73" s="2" t="s">
        <v>72</v>
      </c>
      <c r="AA73" s="2" t="s">
        <v>72</v>
      </c>
      <c r="AB73" s="2" t="s">
        <v>72</v>
      </c>
      <c r="AC73" s="2" t="s">
        <v>71</v>
      </c>
      <c r="AD73" s="2" t="s">
        <v>80</v>
      </c>
      <c r="AF73" s="4">
        <v>2</v>
      </c>
    </row>
    <row r="74" spans="1:32" ht="48" x14ac:dyDescent="0.2">
      <c r="A74" s="4">
        <v>21816448</v>
      </c>
      <c r="B74" s="2">
        <f>VLOOKUP(A74,[1]TRATAMIENTI!$A:$B,2,FALSE)</f>
        <v>455</v>
      </c>
      <c r="C74" s="4" t="s">
        <v>1084</v>
      </c>
      <c r="D74" s="4">
        <v>3127605708</v>
      </c>
      <c r="E74" s="4" t="s">
        <v>1085</v>
      </c>
      <c r="F74" s="4" t="s">
        <v>928</v>
      </c>
      <c r="G74" s="2" t="str">
        <f t="shared" si="1"/>
        <v>ANTIOQUIA</v>
      </c>
      <c r="H74" s="4" t="s">
        <v>924</v>
      </c>
      <c r="I74" s="4" t="s">
        <v>931</v>
      </c>
      <c r="J74" s="2" t="s">
        <v>71</v>
      </c>
      <c r="K74" s="2" t="s">
        <v>71</v>
      </c>
      <c r="L74" s="2" t="s">
        <v>71</v>
      </c>
      <c r="M74" s="2" t="s">
        <v>72</v>
      </c>
      <c r="N74" s="2" t="s">
        <v>71</v>
      </c>
      <c r="O74" s="2" t="s">
        <v>72</v>
      </c>
      <c r="P74" s="2" t="s">
        <v>72</v>
      </c>
      <c r="Q74" s="2" t="s">
        <v>72</v>
      </c>
      <c r="R74" s="2" t="s">
        <v>76</v>
      </c>
      <c r="S74" s="2" t="s">
        <v>72</v>
      </c>
      <c r="T74" s="2" t="s">
        <v>71</v>
      </c>
      <c r="U74" s="2" t="s">
        <v>72</v>
      </c>
      <c r="V74" s="2" t="s">
        <v>76</v>
      </c>
      <c r="W74" s="2" t="s">
        <v>76</v>
      </c>
      <c r="X74" s="2" t="s">
        <v>76</v>
      </c>
      <c r="Y74" s="2" t="s">
        <v>72</v>
      </c>
      <c r="Z74" s="2" t="s">
        <v>72</v>
      </c>
      <c r="AA74" s="2" t="s">
        <v>72</v>
      </c>
      <c r="AB74" s="2" t="s">
        <v>72</v>
      </c>
      <c r="AC74" s="2" t="s">
        <v>71</v>
      </c>
      <c r="AD74" s="2" t="s">
        <v>80</v>
      </c>
      <c r="AF74" s="4">
        <v>2</v>
      </c>
    </row>
    <row r="75" spans="1:32" ht="48" x14ac:dyDescent="0.2">
      <c r="A75" s="4">
        <v>21893072</v>
      </c>
      <c r="B75" s="2">
        <f>VLOOKUP(A75,[1]TRATAMIENTI!$A:$B,2,FALSE)</f>
        <v>456</v>
      </c>
      <c r="C75" s="4" t="s">
        <v>1086</v>
      </c>
      <c r="D75" s="4">
        <v>3235134807</v>
      </c>
      <c r="E75" s="4" t="s">
        <v>1087</v>
      </c>
      <c r="F75" s="4" t="s">
        <v>928</v>
      </c>
      <c r="G75" s="2" t="str">
        <f t="shared" si="1"/>
        <v>ANTIOQUIA</v>
      </c>
      <c r="H75" s="4" t="s">
        <v>924</v>
      </c>
      <c r="I75" s="4" t="s">
        <v>948</v>
      </c>
      <c r="J75" s="2" t="s">
        <v>71</v>
      </c>
      <c r="K75" s="2" t="s">
        <v>71</v>
      </c>
      <c r="L75" s="2" t="s">
        <v>71</v>
      </c>
      <c r="M75" s="2" t="s">
        <v>72</v>
      </c>
      <c r="N75" s="2" t="s">
        <v>71</v>
      </c>
      <c r="O75" s="2" t="s">
        <v>72</v>
      </c>
      <c r="P75" s="2" t="s">
        <v>72</v>
      </c>
      <c r="Q75" s="2" t="s">
        <v>72</v>
      </c>
      <c r="R75" s="2" t="s">
        <v>76</v>
      </c>
      <c r="S75" s="2" t="s">
        <v>72</v>
      </c>
      <c r="T75" s="2" t="s">
        <v>76</v>
      </c>
      <c r="U75" s="2" t="s">
        <v>72</v>
      </c>
      <c r="V75" s="2" t="s">
        <v>76</v>
      </c>
      <c r="W75" s="2" t="s">
        <v>76</v>
      </c>
      <c r="X75" s="2" t="s">
        <v>76</v>
      </c>
      <c r="Y75" s="2" t="s">
        <v>72</v>
      </c>
      <c r="Z75" s="2" t="s">
        <v>72</v>
      </c>
      <c r="AA75" s="2" t="s">
        <v>72</v>
      </c>
      <c r="AB75" s="2" t="s">
        <v>72</v>
      </c>
      <c r="AC75" s="2" t="s">
        <v>71</v>
      </c>
      <c r="AD75" s="2" t="s">
        <v>80</v>
      </c>
      <c r="AF75" s="4">
        <v>2</v>
      </c>
    </row>
    <row r="76" spans="1:32" ht="48" x14ac:dyDescent="0.2">
      <c r="A76" s="4">
        <v>21910729</v>
      </c>
      <c r="B76" s="2">
        <f>VLOOKUP(A76,[1]TRATAMIENTI!$A:$B,2,FALSE)</f>
        <v>457</v>
      </c>
      <c r="C76" s="4" t="s">
        <v>1088</v>
      </c>
      <c r="D76" s="4">
        <v>3043460528</v>
      </c>
      <c r="E76" s="4" t="s">
        <v>1089</v>
      </c>
      <c r="F76" s="4" t="s">
        <v>928</v>
      </c>
      <c r="G76" s="2" t="str">
        <f t="shared" si="1"/>
        <v>ANTIOQUIA</v>
      </c>
      <c r="H76" s="4" t="s">
        <v>924</v>
      </c>
      <c r="I76" s="4" t="s">
        <v>948</v>
      </c>
      <c r="J76" s="2" t="s">
        <v>71</v>
      </c>
      <c r="K76" s="2" t="s">
        <v>76</v>
      </c>
      <c r="L76" s="2" t="s">
        <v>71</v>
      </c>
      <c r="M76" s="2" t="s">
        <v>72</v>
      </c>
      <c r="N76" s="2" t="s">
        <v>71</v>
      </c>
      <c r="O76" s="2" t="s">
        <v>72</v>
      </c>
      <c r="P76" s="2" t="s">
        <v>72</v>
      </c>
      <c r="Q76" s="2" t="s">
        <v>72</v>
      </c>
      <c r="R76" s="2" t="s">
        <v>76</v>
      </c>
      <c r="S76" s="2" t="s">
        <v>72</v>
      </c>
      <c r="T76" s="2" t="s">
        <v>76</v>
      </c>
      <c r="U76" s="2" t="s">
        <v>72</v>
      </c>
      <c r="V76" s="2" t="s">
        <v>76</v>
      </c>
      <c r="W76" s="2" t="s">
        <v>76</v>
      </c>
      <c r="X76" s="2" t="s">
        <v>76</v>
      </c>
      <c r="Y76" s="2" t="s">
        <v>72</v>
      </c>
      <c r="Z76" s="2" t="s">
        <v>72</v>
      </c>
      <c r="AA76" s="2" t="s">
        <v>72</v>
      </c>
      <c r="AB76" s="2" t="s">
        <v>72</v>
      </c>
      <c r="AC76" s="2" t="s">
        <v>71</v>
      </c>
      <c r="AD76" s="2" t="s">
        <v>91</v>
      </c>
      <c r="AF76" s="4">
        <v>1</v>
      </c>
    </row>
    <row r="77" spans="1:32" ht="48" x14ac:dyDescent="0.2">
      <c r="A77" s="4">
        <v>21910873</v>
      </c>
      <c r="B77" s="2">
        <f>VLOOKUP(A77,[1]TRATAMIENTI!$A:$B,2,FALSE)</f>
        <v>458</v>
      </c>
      <c r="C77" s="4" t="s">
        <v>1090</v>
      </c>
      <c r="D77" s="4">
        <v>3046830633</v>
      </c>
      <c r="E77" s="4" t="s">
        <v>1091</v>
      </c>
      <c r="F77" s="4" t="s">
        <v>928</v>
      </c>
      <c r="G77" s="2" t="str">
        <f t="shared" si="1"/>
        <v>ANTIOQUIA</v>
      </c>
      <c r="H77" s="4" t="s">
        <v>924</v>
      </c>
      <c r="I77" s="4" t="s">
        <v>931</v>
      </c>
      <c r="J77" s="2" t="s">
        <v>71</v>
      </c>
      <c r="K77" s="2" t="s">
        <v>71</v>
      </c>
      <c r="L77" s="2" t="s">
        <v>71</v>
      </c>
      <c r="M77" s="2" t="s">
        <v>72</v>
      </c>
      <c r="N77" s="2" t="s">
        <v>76</v>
      </c>
      <c r="O77" s="2" t="s">
        <v>72</v>
      </c>
      <c r="P77" s="2" t="s">
        <v>72</v>
      </c>
      <c r="Q77" s="2" t="s">
        <v>72</v>
      </c>
      <c r="R77" s="2" t="s">
        <v>76</v>
      </c>
      <c r="S77" s="2" t="s">
        <v>72</v>
      </c>
      <c r="T77" s="2" t="s">
        <v>76</v>
      </c>
      <c r="U77" s="2" t="s">
        <v>72</v>
      </c>
      <c r="V77" s="2" t="s">
        <v>76</v>
      </c>
      <c r="W77" s="2" t="s">
        <v>76</v>
      </c>
      <c r="X77" s="2" t="s">
        <v>76</v>
      </c>
      <c r="Y77" s="2" t="s">
        <v>71</v>
      </c>
      <c r="Z77" s="2" t="s">
        <v>72</v>
      </c>
      <c r="AA77" s="2" t="s">
        <v>71</v>
      </c>
      <c r="AB77" s="2" t="s">
        <v>71</v>
      </c>
      <c r="AC77" s="2" t="s">
        <v>71</v>
      </c>
      <c r="AD77" s="2" t="s">
        <v>80</v>
      </c>
      <c r="AF77" s="4">
        <v>2</v>
      </c>
    </row>
    <row r="78" spans="1:32" ht="48" x14ac:dyDescent="0.2">
      <c r="A78" s="4">
        <v>21910907</v>
      </c>
      <c r="B78" s="2">
        <f>VLOOKUP(A78,[1]TRATAMIENTI!$A:$B,2,FALSE)</f>
        <v>459</v>
      </c>
      <c r="C78" s="4" t="s">
        <v>1092</v>
      </c>
      <c r="D78" s="4">
        <v>3004573891</v>
      </c>
      <c r="E78" s="4" t="s">
        <v>1093</v>
      </c>
      <c r="F78" s="4" t="s">
        <v>928</v>
      </c>
      <c r="G78" s="2" t="str">
        <f t="shared" si="1"/>
        <v>ANTIOQUIA</v>
      </c>
      <c r="H78" s="4" t="s">
        <v>924</v>
      </c>
      <c r="I78" s="4" t="s">
        <v>931</v>
      </c>
      <c r="J78" s="2" t="s">
        <v>71</v>
      </c>
      <c r="K78" s="2" t="s">
        <v>71</v>
      </c>
      <c r="L78" s="2" t="s">
        <v>71</v>
      </c>
      <c r="M78" s="2" t="s">
        <v>72</v>
      </c>
      <c r="N78" s="2" t="s">
        <v>71</v>
      </c>
      <c r="O78" s="2" t="s">
        <v>72</v>
      </c>
      <c r="P78" s="2" t="s">
        <v>72</v>
      </c>
      <c r="Q78" s="2" t="s">
        <v>72</v>
      </c>
      <c r="R78" s="2" t="s">
        <v>76</v>
      </c>
      <c r="S78" s="2" t="s">
        <v>72</v>
      </c>
      <c r="T78" s="2" t="s">
        <v>71</v>
      </c>
      <c r="U78" s="2" t="s">
        <v>72</v>
      </c>
      <c r="V78" s="2" t="s">
        <v>76</v>
      </c>
      <c r="W78" s="2" t="s">
        <v>76</v>
      </c>
      <c r="X78" s="2" t="s">
        <v>76</v>
      </c>
      <c r="Y78" s="2" t="s">
        <v>72</v>
      </c>
      <c r="Z78" s="2" t="s">
        <v>72</v>
      </c>
      <c r="AA78" s="2" t="s">
        <v>72</v>
      </c>
      <c r="AB78" s="2" t="s">
        <v>71</v>
      </c>
      <c r="AC78" s="2" t="s">
        <v>71</v>
      </c>
      <c r="AD78" s="2" t="s">
        <v>80</v>
      </c>
      <c r="AF78" s="4">
        <v>2</v>
      </c>
    </row>
    <row r="79" spans="1:32" ht="48" x14ac:dyDescent="0.2">
      <c r="A79" s="4">
        <v>21912116</v>
      </c>
      <c r="B79" s="2">
        <f>VLOOKUP(A79,[1]TRATAMIENTI!$A:$B,2,FALSE)</f>
        <v>460</v>
      </c>
      <c r="C79" s="4" t="s">
        <v>1094</v>
      </c>
      <c r="D79" s="4" t="s">
        <v>1095</v>
      </c>
      <c r="E79" s="4" t="s">
        <v>1096</v>
      </c>
      <c r="F79" s="4" t="s">
        <v>928</v>
      </c>
      <c r="G79" s="2" t="str">
        <f t="shared" si="1"/>
        <v>ANTIOQUIA</v>
      </c>
      <c r="H79" s="4" t="s">
        <v>924</v>
      </c>
      <c r="I79" s="4" t="s">
        <v>948</v>
      </c>
      <c r="J79" s="2" t="s">
        <v>76</v>
      </c>
      <c r="K79" s="2" t="s">
        <v>71</v>
      </c>
      <c r="L79" s="2" t="s">
        <v>71</v>
      </c>
      <c r="M79" s="2" t="s">
        <v>72</v>
      </c>
      <c r="N79" s="2" t="s">
        <v>76</v>
      </c>
      <c r="O79" s="2" t="s">
        <v>72</v>
      </c>
      <c r="P79" s="2" t="s">
        <v>72</v>
      </c>
      <c r="Q79" s="2" t="s">
        <v>72</v>
      </c>
      <c r="R79" s="2" t="s">
        <v>76</v>
      </c>
      <c r="S79" s="2" t="s">
        <v>72</v>
      </c>
      <c r="T79" s="2" t="s">
        <v>72</v>
      </c>
      <c r="U79" s="2" t="s">
        <v>72</v>
      </c>
      <c r="V79" s="2" t="s">
        <v>71</v>
      </c>
      <c r="W79" s="2" t="s">
        <v>71</v>
      </c>
      <c r="X79" s="2" t="s">
        <v>71</v>
      </c>
      <c r="Y79" s="2" t="s">
        <v>71</v>
      </c>
      <c r="Z79" s="2" t="s">
        <v>71</v>
      </c>
      <c r="AA79" s="2" t="s">
        <v>71</v>
      </c>
      <c r="AB79" s="2" t="s">
        <v>71</v>
      </c>
      <c r="AC79" s="2" t="s">
        <v>71</v>
      </c>
      <c r="AD79" s="2" t="s">
        <v>256</v>
      </c>
      <c r="AF79" s="4">
        <v>3</v>
      </c>
    </row>
    <row r="80" spans="1:32" ht="48" x14ac:dyDescent="0.2">
      <c r="A80" s="4">
        <v>21954148</v>
      </c>
      <c r="B80" s="2">
        <f>VLOOKUP(A80,[1]TRATAMIENTI!$A:$B,2,FALSE)</f>
        <v>461</v>
      </c>
      <c r="C80" s="4" t="s">
        <v>1097</v>
      </c>
      <c r="D80" s="4">
        <v>3015193264</v>
      </c>
      <c r="E80" s="4" t="s">
        <v>1098</v>
      </c>
      <c r="F80" s="4" t="s">
        <v>928</v>
      </c>
      <c r="G80" s="2" t="str">
        <f t="shared" si="1"/>
        <v>ANTIOQUIA</v>
      </c>
      <c r="H80" s="4" t="s">
        <v>924</v>
      </c>
      <c r="I80" s="4" t="s">
        <v>931</v>
      </c>
      <c r="J80" s="2" t="s">
        <v>71</v>
      </c>
      <c r="K80" s="2" t="s">
        <v>71</v>
      </c>
      <c r="L80" s="2" t="s">
        <v>71</v>
      </c>
      <c r="M80" s="2" t="s">
        <v>72</v>
      </c>
      <c r="N80" s="2" t="s">
        <v>71</v>
      </c>
      <c r="O80" s="2" t="s">
        <v>72</v>
      </c>
      <c r="P80" s="2" t="s">
        <v>72</v>
      </c>
      <c r="Q80" s="2" t="s">
        <v>72</v>
      </c>
      <c r="R80" s="2" t="s">
        <v>76</v>
      </c>
      <c r="S80" s="2" t="s">
        <v>72</v>
      </c>
      <c r="T80" s="2" t="s">
        <v>71</v>
      </c>
      <c r="U80" s="2" t="s">
        <v>72</v>
      </c>
      <c r="V80" s="2" t="s">
        <v>76</v>
      </c>
      <c r="W80" s="2" t="s">
        <v>76</v>
      </c>
      <c r="X80" s="2" t="s">
        <v>76</v>
      </c>
      <c r="Y80" s="2" t="s">
        <v>72</v>
      </c>
      <c r="Z80" s="2" t="s">
        <v>72</v>
      </c>
      <c r="AA80" s="2" t="s">
        <v>72</v>
      </c>
      <c r="AB80" s="2" t="s">
        <v>72</v>
      </c>
      <c r="AC80" s="2" t="s">
        <v>71</v>
      </c>
      <c r="AD80" s="2" t="s">
        <v>80</v>
      </c>
      <c r="AF80" s="4">
        <v>1</v>
      </c>
    </row>
    <row r="81" spans="1:32" ht="48" x14ac:dyDescent="0.2">
      <c r="A81" s="4">
        <v>21977327</v>
      </c>
      <c r="B81" s="2">
        <f>VLOOKUP(A81,[1]TRATAMIENTI!$A:$B,2,FALSE)</f>
        <v>462</v>
      </c>
      <c r="C81" s="4" t="s">
        <v>1099</v>
      </c>
      <c r="D81" s="4">
        <v>3013354580</v>
      </c>
      <c r="E81" s="4" t="s">
        <v>1100</v>
      </c>
      <c r="F81" s="4" t="s">
        <v>928</v>
      </c>
      <c r="G81" s="2" t="str">
        <f t="shared" si="1"/>
        <v>ANTIOQUIA</v>
      </c>
      <c r="H81" s="4" t="s">
        <v>924</v>
      </c>
      <c r="I81" s="4" t="s">
        <v>951</v>
      </c>
      <c r="J81" s="2" t="s">
        <v>76</v>
      </c>
      <c r="K81" s="2" t="s">
        <v>71</v>
      </c>
      <c r="L81" s="2" t="s">
        <v>71</v>
      </c>
      <c r="M81" s="2" t="s">
        <v>72</v>
      </c>
      <c r="N81" s="2" t="s">
        <v>71</v>
      </c>
      <c r="O81" s="2" t="s">
        <v>76</v>
      </c>
      <c r="P81" s="2" t="s">
        <v>72</v>
      </c>
      <c r="Q81" s="2" t="s">
        <v>72</v>
      </c>
      <c r="R81" s="2" t="s">
        <v>76</v>
      </c>
      <c r="S81" s="2" t="s">
        <v>72</v>
      </c>
      <c r="T81" s="2" t="s">
        <v>71</v>
      </c>
      <c r="U81" s="2" t="s">
        <v>72</v>
      </c>
      <c r="V81" s="2" t="s">
        <v>71</v>
      </c>
      <c r="W81" s="2" t="s">
        <v>71</v>
      </c>
      <c r="X81" s="2" t="s">
        <v>71</v>
      </c>
      <c r="Y81" s="2" t="s">
        <v>71</v>
      </c>
      <c r="Z81" s="2" t="s">
        <v>71</v>
      </c>
      <c r="AA81" s="2" t="s">
        <v>71</v>
      </c>
      <c r="AB81" s="2" t="s">
        <v>71</v>
      </c>
      <c r="AC81" s="2" t="s">
        <v>71</v>
      </c>
      <c r="AD81" s="2" t="s">
        <v>256</v>
      </c>
      <c r="AF81" s="4">
        <v>3</v>
      </c>
    </row>
    <row r="82" spans="1:32" ht="48" x14ac:dyDescent="0.2">
      <c r="A82" s="4">
        <v>22032152</v>
      </c>
      <c r="B82" s="2">
        <f>VLOOKUP(A82,[1]TRATAMIENTI!$A:$B,2,FALSE)</f>
        <v>463</v>
      </c>
      <c r="C82" s="4" t="s">
        <v>1101</v>
      </c>
      <c r="D82" s="4">
        <v>3044776972</v>
      </c>
      <c r="E82" s="4" t="s">
        <v>1102</v>
      </c>
      <c r="F82" s="4" t="s">
        <v>928</v>
      </c>
      <c r="G82" s="2" t="str">
        <f t="shared" si="1"/>
        <v>ANTIOQUIA</v>
      </c>
      <c r="H82" s="4" t="s">
        <v>924</v>
      </c>
      <c r="I82" s="4" t="s">
        <v>951</v>
      </c>
      <c r="J82" s="2" t="s">
        <v>71</v>
      </c>
      <c r="K82" s="2" t="s">
        <v>71</v>
      </c>
      <c r="L82" s="2" t="s">
        <v>71</v>
      </c>
      <c r="M82" s="2" t="s">
        <v>76</v>
      </c>
      <c r="N82" s="2" t="s">
        <v>71</v>
      </c>
      <c r="O82" s="2" t="s">
        <v>72</v>
      </c>
      <c r="P82" s="2" t="s">
        <v>72</v>
      </c>
      <c r="Q82" s="2" t="s">
        <v>72</v>
      </c>
      <c r="R82" s="2" t="s">
        <v>76</v>
      </c>
      <c r="S82" s="2" t="s">
        <v>72</v>
      </c>
      <c r="T82" s="2" t="s">
        <v>71</v>
      </c>
      <c r="U82" s="2" t="s">
        <v>72</v>
      </c>
      <c r="V82" s="2" t="s">
        <v>76</v>
      </c>
      <c r="W82" s="2" t="s">
        <v>76</v>
      </c>
      <c r="X82" s="2" t="s">
        <v>76</v>
      </c>
      <c r="Y82" s="2" t="s">
        <v>71</v>
      </c>
      <c r="Z82" s="2" t="s">
        <v>72</v>
      </c>
      <c r="AA82" s="2" t="s">
        <v>72</v>
      </c>
      <c r="AB82" s="2" t="s">
        <v>71</v>
      </c>
      <c r="AC82" s="2" t="s">
        <v>71</v>
      </c>
      <c r="AD82" s="2" t="s">
        <v>80</v>
      </c>
      <c r="AF82" s="4">
        <v>2</v>
      </c>
    </row>
    <row r="83" spans="1:32" ht="48" x14ac:dyDescent="0.2">
      <c r="A83" s="4">
        <v>22103917</v>
      </c>
      <c r="B83" s="2">
        <f>VLOOKUP(A83,[1]TRATAMIENTI!$A:$B,2,FALSE)</f>
        <v>464</v>
      </c>
      <c r="C83" s="4" t="s">
        <v>1103</v>
      </c>
      <c r="D83" s="4" t="s">
        <v>1104</v>
      </c>
      <c r="E83" s="4" t="s">
        <v>1105</v>
      </c>
      <c r="F83" s="4" t="s">
        <v>928</v>
      </c>
      <c r="G83" s="2" t="str">
        <f t="shared" si="1"/>
        <v>ANTIOQUIA</v>
      </c>
      <c r="H83" s="4" t="s">
        <v>924</v>
      </c>
      <c r="I83" s="4" t="s">
        <v>936</v>
      </c>
      <c r="J83" s="2" t="s">
        <v>71</v>
      </c>
      <c r="K83" s="2" t="s">
        <v>71</v>
      </c>
      <c r="L83" s="2" t="s">
        <v>71</v>
      </c>
      <c r="M83" s="2" t="s">
        <v>72</v>
      </c>
      <c r="N83" s="2" t="s">
        <v>71</v>
      </c>
      <c r="O83" s="2" t="s">
        <v>72</v>
      </c>
      <c r="P83" s="2" t="s">
        <v>72</v>
      </c>
      <c r="Q83" s="2" t="s">
        <v>72</v>
      </c>
      <c r="R83" s="2" t="s">
        <v>76</v>
      </c>
      <c r="S83" s="2" t="s">
        <v>72</v>
      </c>
      <c r="T83" s="2" t="s">
        <v>71</v>
      </c>
      <c r="U83" s="2" t="s">
        <v>72</v>
      </c>
      <c r="V83" s="2" t="s">
        <v>76</v>
      </c>
      <c r="W83" s="2" t="s">
        <v>76</v>
      </c>
      <c r="X83" s="2" t="s">
        <v>76</v>
      </c>
      <c r="Y83" s="2" t="s">
        <v>71</v>
      </c>
      <c r="Z83" s="2" t="s">
        <v>72</v>
      </c>
      <c r="AA83" s="2" t="s">
        <v>71</v>
      </c>
      <c r="AB83" s="2" t="s">
        <v>71</v>
      </c>
      <c r="AC83" s="2" t="s">
        <v>71</v>
      </c>
      <c r="AD83" s="2" t="s">
        <v>80</v>
      </c>
      <c r="AF83" s="4">
        <v>2</v>
      </c>
    </row>
    <row r="84" spans="1:32" ht="48" x14ac:dyDescent="0.2">
      <c r="A84" s="4">
        <v>22108850</v>
      </c>
      <c r="B84" s="2">
        <f>VLOOKUP(A84,[1]TRATAMIENTI!$A:$B,2,FALSE)</f>
        <v>465</v>
      </c>
      <c r="C84" s="4" t="s">
        <v>1106</v>
      </c>
      <c r="D84" s="4" t="s">
        <v>1107</v>
      </c>
      <c r="E84" s="4" t="s">
        <v>1108</v>
      </c>
      <c r="F84" s="4" t="s">
        <v>928</v>
      </c>
      <c r="G84" s="2" t="str">
        <f t="shared" si="1"/>
        <v>ANTIOQUIA</v>
      </c>
      <c r="H84" s="4" t="s">
        <v>924</v>
      </c>
      <c r="I84" s="4" t="s">
        <v>948</v>
      </c>
      <c r="J84" s="2" t="s">
        <v>76</v>
      </c>
      <c r="K84" s="2" t="s">
        <v>71</v>
      </c>
      <c r="L84" s="2" t="s">
        <v>71</v>
      </c>
      <c r="M84" s="2" t="s">
        <v>72</v>
      </c>
      <c r="N84" s="2" t="s">
        <v>76</v>
      </c>
      <c r="O84" s="2" t="s">
        <v>72</v>
      </c>
      <c r="P84" s="2" t="s">
        <v>72</v>
      </c>
      <c r="Q84" s="2" t="s">
        <v>72</v>
      </c>
      <c r="R84" s="2" t="s">
        <v>76</v>
      </c>
      <c r="S84" s="2" t="s">
        <v>72</v>
      </c>
      <c r="T84" s="2" t="s">
        <v>72</v>
      </c>
      <c r="U84" s="2" t="s">
        <v>72</v>
      </c>
      <c r="V84" s="2" t="s">
        <v>76</v>
      </c>
      <c r="W84" s="2" t="s">
        <v>76</v>
      </c>
      <c r="X84" s="2" t="s">
        <v>76</v>
      </c>
      <c r="Y84" s="2" t="s">
        <v>72</v>
      </c>
      <c r="Z84" s="2" t="s">
        <v>72</v>
      </c>
      <c r="AA84" s="2" t="s">
        <v>72</v>
      </c>
      <c r="AB84" s="2" t="s">
        <v>72</v>
      </c>
      <c r="AC84" s="2" t="s">
        <v>71</v>
      </c>
      <c r="AD84" s="2" t="s">
        <v>80</v>
      </c>
      <c r="AF84" s="4">
        <v>2</v>
      </c>
    </row>
    <row r="85" spans="1:32" ht="48" x14ac:dyDescent="0.2">
      <c r="A85" s="4">
        <v>22139441</v>
      </c>
      <c r="B85" s="2">
        <f>VLOOKUP(A85,[1]TRATAMIENTI!$A:$B,2,FALSE)</f>
        <v>466</v>
      </c>
      <c r="C85" s="4" t="s">
        <v>1109</v>
      </c>
      <c r="D85" s="4">
        <v>3147307825</v>
      </c>
      <c r="E85" s="4" t="s">
        <v>1110</v>
      </c>
      <c r="F85" s="4" t="s">
        <v>928</v>
      </c>
      <c r="G85" s="2" t="str">
        <f t="shared" si="1"/>
        <v>ANTIOQUIA</v>
      </c>
      <c r="H85" s="4" t="s">
        <v>924</v>
      </c>
      <c r="I85" s="4" t="s">
        <v>951</v>
      </c>
      <c r="J85" s="2" t="s">
        <v>76</v>
      </c>
      <c r="K85" s="2" t="s">
        <v>71</v>
      </c>
      <c r="L85" s="2" t="s">
        <v>71</v>
      </c>
      <c r="M85" s="2" t="s">
        <v>72</v>
      </c>
      <c r="N85" s="2" t="s">
        <v>76</v>
      </c>
      <c r="O85" s="2" t="s">
        <v>72</v>
      </c>
      <c r="P85" s="2" t="s">
        <v>72</v>
      </c>
      <c r="Q85" s="2" t="s">
        <v>72</v>
      </c>
      <c r="R85" s="2" t="s">
        <v>76</v>
      </c>
      <c r="S85" s="2" t="s">
        <v>72</v>
      </c>
      <c r="T85" s="2" t="s">
        <v>76</v>
      </c>
      <c r="U85" s="2" t="s">
        <v>72</v>
      </c>
      <c r="V85" s="2" t="s">
        <v>76</v>
      </c>
      <c r="W85" s="2" t="s">
        <v>76</v>
      </c>
      <c r="X85" s="2" t="s">
        <v>76</v>
      </c>
      <c r="Y85" s="2" t="s">
        <v>72</v>
      </c>
      <c r="Z85" s="2" t="s">
        <v>72</v>
      </c>
      <c r="AA85" s="2" t="s">
        <v>72</v>
      </c>
      <c r="AB85" s="2" t="s">
        <v>76</v>
      </c>
      <c r="AC85" s="2" t="s">
        <v>71</v>
      </c>
      <c r="AD85" s="2" t="s">
        <v>80</v>
      </c>
      <c r="AF85" s="4">
        <v>2</v>
      </c>
    </row>
    <row r="86" spans="1:32" ht="48" x14ac:dyDescent="0.2">
      <c r="A86" s="4">
        <v>22210262</v>
      </c>
      <c r="B86" s="2">
        <f>VLOOKUP(A86,[1]TRATAMIENTI!$A:$B,2,FALSE)</f>
        <v>467</v>
      </c>
      <c r="C86" s="4" t="s">
        <v>1111</v>
      </c>
      <c r="D86" s="4" t="s">
        <v>1112</v>
      </c>
      <c r="E86" s="4" t="s">
        <v>1113</v>
      </c>
      <c r="F86" s="4" t="s">
        <v>928</v>
      </c>
      <c r="G86" s="2" t="str">
        <f t="shared" si="1"/>
        <v>ANTIOQUIA</v>
      </c>
      <c r="H86" s="4" t="s">
        <v>924</v>
      </c>
      <c r="I86" s="4" t="s">
        <v>948</v>
      </c>
      <c r="J86" s="2" t="s">
        <v>76</v>
      </c>
      <c r="K86" s="2" t="s">
        <v>71</v>
      </c>
      <c r="L86" s="2" t="s">
        <v>71</v>
      </c>
      <c r="M86" s="2" t="s">
        <v>72</v>
      </c>
      <c r="N86" s="2" t="s">
        <v>71</v>
      </c>
      <c r="O86" s="2" t="s">
        <v>71</v>
      </c>
      <c r="P86" s="2" t="s">
        <v>72</v>
      </c>
      <c r="Q86" s="2" t="s">
        <v>72</v>
      </c>
      <c r="R86" s="2" t="s">
        <v>76</v>
      </c>
      <c r="S86" s="2" t="s">
        <v>72</v>
      </c>
      <c r="T86" s="2" t="s">
        <v>72</v>
      </c>
      <c r="U86" s="2" t="s">
        <v>72</v>
      </c>
      <c r="V86" s="2" t="s">
        <v>76</v>
      </c>
      <c r="W86" s="2" t="s">
        <v>76</v>
      </c>
      <c r="X86" s="2" t="s">
        <v>76</v>
      </c>
      <c r="Y86" s="2" t="s">
        <v>71</v>
      </c>
      <c r="Z86" s="2" t="s">
        <v>76</v>
      </c>
      <c r="AA86" s="2" t="s">
        <v>71</v>
      </c>
      <c r="AB86" s="2" t="s">
        <v>71</v>
      </c>
      <c r="AC86" s="2" t="s">
        <v>71</v>
      </c>
      <c r="AD86" s="2" t="s">
        <v>80</v>
      </c>
      <c r="AF86" s="4">
        <v>2</v>
      </c>
    </row>
    <row r="87" spans="1:32" ht="48" x14ac:dyDescent="0.2">
      <c r="A87" s="4">
        <v>22222115</v>
      </c>
      <c r="B87" s="2">
        <f>VLOOKUP(A87,[1]TRATAMIENTI!$A:$B,2,FALSE)</f>
        <v>468</v>
      </c>
      <c r="C87" s="4" t="s">
        <v>1114</v>
      </c>
      <c r="D87" s="4">
        <v>3104274660</v>
      </c>
      <c r="E87" s="4" t="s">
        <v>1115</v>
      </c>
      <c r="F87" s="4" t="s">
        <v>928</v>
      </c>
      <c r="G87" s="2" t="str">
        <f t="shared" si="1"/>
        <v>ANTIOQUIA</v>
      </c>
      <c r="H87" s="4" t="s">
        <v>924</v>
      </c>
      <c r="I87" s="4" t="s">
        <v>948</v>
      </c>
      <c r="J87" s="2" t="s">
        <v>71</v>
      </c>
      <c r="K87" s="2" t="s">
        <v>71</v>
      </c>
      <c r="L87" s="2" t="s">
        <v>71</v>
      </c>
      <c r="M87" s="2" t="s">
        <v>72</v>
      </c>
      <c r="N87" s="2" t="s">
        <v>71</v>
      </c>
      <c r="O87" s="2" t="s">
        <v>72</v>
      </c>
      <c r="P87" s="2" t="s">
        <v>72</v>
      </c>
      <c r="Q87" s="2" t="s">
        <v>72</v>
      </c>
      <c r="R87" s="2" t="s">
        <v>76</v>
      </c>
      <c r="S87" s="2" t="s">
        <v>72</v>
      </c>
      <c r="T87" s="2" t="s">
        <v>71</v>
      </c>
      <c r="U87" s="2" t="s">
        <v>72</v>
      </c>
      <c r="V87" s="2" t="s">
        <v>71</v>
      </c>
      <c r="W87" s="2" t="s">
        <v>71</v>
      </c>
      <c r="X87" s="2" t="s">
        <v>71</v>
      </c>
      <c r="Y87" s="2" t="s">
        <v>71</v>
      </c>
      <c r="Z87" s="2" t="s">
        <v>71</v>
      </c>
      <c r="AA87" s="2" t="s">
        <v>71</v>
      </c>
      <c r="AB87" s="2" t="s">
        <v>71</v>
      </c>
      <c r="AC87" s="2" t="s">
        <v>71</v>
      </c>
      <c r="AD87" s="2" t="s">
        <v>256</v>
      </c>
      <c r="AF87" s="4">
        <v>3</v>
      </c>
    </row>
    <row r="88" spans="1:32" ht="48" x14ac:dyDescent="0.2">
      <c r="A88" s="4">
        <v>22230457</v>
      </c>
      <c r="B88" s="2">
        <f>VLOOKUP(A88,[1]TRATAMIENTI!$A:$B,2,FALSE)</f>
        <v>469</v>
      </c>
      <c r="C88" s="4" t="s">
        <v>1116</v>
      </c>
      <c r="D88" s="4" t="s">
        <v>1117</v>
      </c>
      <c r="E88" s="4" t="s">
        <v>1118</v>
      </c>
      <c r="F88" s="4" t="s">
        <v>928</v>
      </c>
      <c r="G88" s="2" t="str">
        <f t="shared" si="1"/>
        <v>ANTIOQUIA</v>
      </c>
      <c r="H88" s="4" t="s">
        <v>924</v>
      </c>
      <c r="I88" s="4" t="s">
        <v>951</v>
      </c>
      <c r="J88" s="2" t="s">
        <v>71</v>
      </c>
      <c r="K88" s="2" t="s">
        <v>71</v>
      </c>
      <c r="L88" s="2" t="s">
        <v>71</v>
      </c>
      <c r="M88" s="2" t="s">
        <v>72</v>
      </c>
      <c r="N88" s="2" t="s">
        <v>71</v>
      </c>
      <c r="O88" s="2" t="s">
        <v>71</v>
      </c>
      <c r="P88" s="2" t="s">
        <v>72</v>
      </c>
      <c r="Q88" s="2" t="s">
        <v>72</v>
      </c>
      <c r="R88" s="2" t="s">
        <v>76</v>
      </c>
      <c r="S88" s="2" t="s">
        <v>72</v>
      </c>
      <c r="T88" s="2" t="s">
        <v>76</v>
      </c>
      <c r="U88" s="2" t="s">
        <v>71</v>
      </c>
      <c r="V88" s="2" t="s">
        <v>76</v>
      </c>
      <c r="W88" s="2" t="s">
        <v>76</v>
      </c>
      <c r="X88" s="2" t="s">
        <v>76</v>
      </c>
      <c r="Y88" s="2" t="s">
        <v>72</v>
      </c>
      <c r="Z88" s="2" t="s">
        <v>72</v>
      </c>
      <c r="AA88" s="2" t="s">
        <v>72</v>
      </c>
      <c r="AB88" s="2" t="s">
        <v>71</v>
      </c>
      <c r="AC88" s="2" t="s">
        <v>71</v>
      </c>
      <c r="AD88" s="2" t="s">
        <v>80</v>
      </c>
      <c r="AF88" s="4">
        <v>2</v>
      </c>
    </row>
    <row r="89" spans="1:32" ht="48" x14ac:dyDescent="0.2">
      <c r="A89" s="4">
        <v>24552101</v>
      </c>
      <c r="B89" s="2">
        <f>VLOOKUP(A89,[1]TRATAMIENTI!$A:$B,2,FALSE)</f>
        <v>470</v>
      </c>
      <c r="C89" s="4" t="s">
        <v>1119</v>
      </c>
      <c r="D89" s="4">
        <v>3105456023</v>
      </c>
      <c r="E89" s="4" t="s">
        <v>1120</v>
      </c>
      <c r="F89" s="4" t="s">
        <v>928</v>
      </c>
      <c r="G89" s="2" t="str">
        <f t="shared" si="1"/>
        <v>ANTIOQUIA</v>
      </c>
      <c r="H89" s="4" t="s">
        <v>924</v>
      </c>
      <c r="I89" s="4" t="s">
        <v>936</v>
      </c>
      <c r="J89" s="2" t="s">
        <v>71</v>
      </c>
      <c r="K89" s="2" t="s">
        <v>71</v>
      </c>
      <c r="L89" s="2" t="s">
        <v>71</v>
      </c>
      <c r="M89" s="2" t="s">
        <v>72</v>
      </c>
      <c r="N89" s="2" t="s">
        <v>71</v>
      </c>
      <c r="O89" s="2" t="s">
        <v>71</v>
      </c>
      <c r="P89" s="2" t="s">
        <v>72</v>
      </c>
      <c r="Q89" s="2" t="s">
        <v>72</v>
      </c>
      <c r="R89" s="2" t="s">
        <v>76</v>
      </c>
      <c r="S89" s="2" t="s">
        <v>72</v>
      </c>
      <c r="T89" s="2" t="s">
        <v>76</v>
      </c>
      <c r="U89" s="2" t="s">
        <v>72</v>
      </c>
      <c r="V89" s="2" t="s">
        <v>71</v>
      </c>
      <c r="W89" s="2" t="s">
        <v>71</v>
      </c>
      <c r="X89" s="2" t="s">
        <v>71</v>
      </c>
      <c r="Y89" s="2" t="s">
        <v>71</v>
      </c>
      <c r="Z89" s="2" t="s">
        <v>71</v>
      </c>
      <c r="AA89" s="2" t="s">
        <v>71</v>
      </c>
      <c r="AB89" s="2" t="s">
        <v>71</v>
      </c>
      <c r="AC89" s="2" t="s">
        <v>71</v>
      </c>
      <c r="AD89" s="2" t="s">
        <v>256</v>
      </c>
      <c r="AF89" s="4">
        <v>3</v>
      </c>
    </row>
    <row r="90" spans="1:32" ht="48" x14ac:dyDescent="0.2">
      <c r="A90" s="4">
        <v>24999258</v>
      </c>
      <c r="B90" s="2">
        <f>VLOOKUP(A90,[1]TRATAMIENTI!$A:$B,2,FALSE)</f>
        <v>471</v>
      </c>
      <c r="C90" s="4" t="s">
        <v>1121</v>
      </c>
      <c r="D90" s="4">
        <v>3178125194</v>
      </c>
      <c r="E90" s="4" t="s">
        <v>1122</v>
      </c>
      <c r="F90" s="4" t="s">
        <v>928</v>
      </c>
      <c r="G90" s="2" t="str">
        <f t="shared" si="1"/>
        <v>ANTIOQUIA</v>
      </c>
      <c r="H90" s="4" t="s">
        <v>924</v>
      </c>
      <c r="I90" s="4" t="s">
        <v>948</v>
      </c>
      <c r="J90" s="2" t="s">
        <v>71</v>
      </c>
      <c r="K90" s="2" t="s">
        <v>71</v>
      </c>
      <c r="L90" s="2" t="s">
        <v>71</v>
      </c>
      <c r="M90" s="2" t="s">
        <v>71</v>
      </c>
      <c r="N90" s="2" t="s">
        <v>71</v>
      </c>
      <c r="O90" s="2" t="s">
        <v>71</v>
      </c>
      <c r="P90" s="2" t="s">
        <v>71</v>
      </c>
      <c r="Q90" s="2" t="s">
        <v>71</v>
      </c>
      <c r="R90" s="2" t="s">
        <v>71</v>
      </c>
      <c r="S90" s="2" t="s">
        <v>71</v>
      </c>
      <c r="T90" s="2" t="s">
        <v>71</v>
      </c>
      <c r="U90" s="2" t="s">
        <v>71</v>
      </c>
      <c r="V90" s="2" t="s">
        <v>76</v>
      </c>
      <c r="W90" s="2" t="s">
        <v>76</v>
      </c>
      <c r="X90" s="2" t="s">
        <v>76</v>
      </c>
      <c r="Y90" s="2" t="s">
        <v>72</v>
      </c>
      <c r="Z90" s="2" t="s">
        <v>72</v>
      </c>
      <c r="AA90" s="2" t="s">
        <v>72</v>
      </c>
      <c r="AB90" s="2" t="s">
        <v>72</v>
      </c>
      <c r="AC90" s="2" t="s">
        <v>71</v>
      </c>
      <c r="AD90" s="2" t="s">
        <v>179</v>
      </c>
      <c r="AF90" s="4">
        <v>3</v>
      </c>
    </row>
    <row r="91" spans="1:32" ht="48" x14ac:dyDescent="0.2">
      <c r="A91" s="4">
        <v>26393898</v>
      </c>
      <c r="B91" s="2">
        <f>VLOOKUP(A91,[1]TRATAMIENTI!$A:$B,2,FALSE)</f>
        <v>472</v>
      </c>
      <c r="C91" s="4" t="s">
        <v>1123</v>
      </c>
      <c r="D91" s="4">
        <v>3014074689</v>
      </c>
      <c r="E91" s="4" t="s">
        <v>1124</v>
      </c>
      <c r="F91" s="4" t="s">
        <v>928</v>
      </c>
      <c r="G91" s="2" t="str">
        <f t="shared" si="1"/>
        <v>ANTIOQUIA</v>
      </c>
      <c r="H91" s="4" t="s">
        <v>924</v>
      </c>
      <c r="I91" s="4" t="s">
        <v>951</v>
      </c>
      <c r="J91" s="2" t="s">
        <v>76</v>
      </c>
      <c r="K91" s="2" t="s">
        <v>71</v>
      </c>
      <c r="L91" s="2" t="s">
        <v>71</v>
      </c>
      <c r="M91" s="2" t="s">
        <v>76</v>
      </c>
      <c r="N91" s="2" t="s">
        <v>71</v>
      </c>
      <c r="O91" s="2" t="s">
        <v>76</v>
      </c>
      <c r="P91" s="2" t="s">
        <v>76</v>
      </c>
      <c r="Q91" s="2" t="s">
        <v>76</v>
      </c>
      <c r="R91" s="2" t="s">
        <v>76</v>
      </c>
      <c r="S91" s="2" t="s">
        <v>72</v>
      </c>
      <c r="T91" s="2" t="s">
        <v>72</v>
      </c>
      <c r="U91" s="2" t="s">
        <v>72</v>
      </c>
      <c r="V91" s="2" t="s">
        <v>71</v>
      </c>
      <c r="W91" s="2" t="s">
        <v>71</v>
      </c>
      <c r="X91" s="2" t="s">
        <v>71</v>
      </c>
      <c r="Y91" s="2" t="s">
        <v>71</v>
      </c>
      <c r="Z91" s="2" t="s">
        <v>71</v>
      </c>
      <c r="AA91" s="2" t="s">
        <v>71</v>
      </c>
      <c r="AB91" s="2" t="s">
        <v>71</v>
      </c>
      <c r="AC91" s="2"/>
      <c r="AD91" s="2" t="s">
        <v>256</v>
      </c>
      <c r="AF91" s="4">
        <v>3</v>
      </c>
    </row>
    <row r="92" spans="1:32" ht="48" x14ac:dyDescent="0.2">
      <c r="A92" s="4">
        <v>30402150</v>
      </c>
      <c r="B92" s="2">
        <f>VLOOKUP(A92,[1]TRATAMIENTI!$A:$B,2,FALSE)</f>
        <v>473</v>
      </c>
      <c r="C92" s="4" t="s">
        <v>1125</v>
      </c>
      <c r="D92" s="4">
        <v>3006724600</v>
      </c>
      <c r="E92" s="4" t="s">
        <v>1126</v>
      </c>
      <c r="F92" s="4" t="s">
        <v>928</v>
      </c>
      <c r="G92" s="2" t="str">
        <f t="shared" si="1"/>
        <v>ANTIOQUIA</v>
      </c>
      <c r="H92" s="4" t="s">
        <v>924</v>
      </c>
      <c r="I92" s="4" t="s">
        <v>951</v>
      </c>
      <c r="J92" s="2" t="s">
        <v>76</v>
      </c>
      <c r="K92" s="2" t="s">
        <v>72</v>
      </c>
      <c r="L92" s="2" t="s">
        <v>71</v>
      </c>
      <c r="M92" s="2" t="s">
        <v>71</v>
      </c>
      <c r="N92" s="2" t="s">
        <v>71</v>
      </c>
      <c r="O92" s="2" t="s">
        <v>71</v>
      </c>
      <c r="P92" s="2" t="s">
        <v>71</v>
      </c>
      <c r="Q92" s="2" t="s">
        <v>71</v>
      </c>
      <c r="R92" s="2" t="s">
        <v>71</v>
      </c>
      <c r="S92" s="2" t="s">
        <v>72</v>
      </c>
      <c r="T92" s="2" t="s">
        <v>71</v>
      </c>
      <c r="U92" s="2" t="s">
        <v>71</v>
      </c>
      <c r="V92" s="2" t="s">
        <v>76</v>
      </c>
      <c r="W92" s="2" t="s">
        <v>76</v>
      </c>
      <c r="X92" s="2" t="s">
        <v>76</v>
      </c>
      <c r="Y92" s="2" t="s">
        <v>72</v>
      </c>
      <c r="Z92" s="2" t="s">
        <v>72</v>
      </c>
      <c r="AA92" s="2" t="s">
        <v>72</v>
      </c>
      <c r="AB92" s="2" t="s">
        <v>72</v>
      </c>
      <c r="AC92" s="2" t="s">
        <v>71</v>
      </c>
      <c r="AD92" s="2" t="s">
        <v>91</v>
      </c>
      <c r="AF92" s="4">
        <v>2</v>
      </c>
    </row>
    <row r="93" spans="1:32" ht="48" x14ac:dyDescent="0.2">
      <c r="A93" s="4">
        <v>32102790</v>
      </c>
      <c r="B93" s="2">
        <f>VLOOKUP(A93,[1]TRATAMIENTI!$A:$B,2,FALSE)</f>
        <v>474</v>
      </c>
      <c r="C93" s="4" t="s">
        <v>1127</v>
      </c>
      <c r="D93" s="4">
        <v>3016317688</v>
      </c>
      <c r="E93" s="4" t="s">
        <v>1128</v>
      </c>
      <c r="F93" s="4" t="s">
        <v>928</v>
      </c>
      <c r="G93" s="2" t="str">
        <f t="shared" si="1"/>
        <v>ANTIOQUIA</v>
      </c>
      <c r="H93" s="4" t="s">
        <v>924</v>
      </c>
      <c r="I93" s="4" t="s">
        <v>948</v>
      </c>
      <c r="J93" s="2" t="s">
        <v>71</v>
      </c>
      <c r="K93" s="2" t="s">
        <v>71</v>
      </c>
      <c r="L93" s="2" t="s">
        <v>71</v>
      </c>
      <c r="M93" s="2" t="s">
        <v>76</v>
      </c>
      <c r="N93" s="2" t="s">
        <v>71</v>
      </c>
      <c r="O93" s="2" t="s">
        <v>72</v>
      </c>
      <c r="P93" s="2" t="s">
        <v>72</v>
      </c>
      <c r="Q93" s="2" t="s">
        <v>72</v>
      </c>
      <c r="R93" s="2" t="s">
        <v>72</v>
      </c>
      <c r="S93" s="2" t="s">
        <v>72</v>
      </c>
      <c r="T93" s="2" t="s">
        <v>72</v>
      </c>
      <c r="U93" s="2" t="s">
        <v>72</v>
      </c>
      <c r="V93" s="2" t="s">
        <v>76</v>
      </c>
      <c r="W93" s="2" t="s">
        <v>76</v>
      </c>
      <c r="X93" s="2" t="s">
        <v>76</v>
      </c>
      <c r="Y93" s="2" t="s">
        <v>72</v>
      </c>
      <c r="Z93" s="2" t="s">
        <v>72</v>
      </c>
      <c r="AA93" s="2" t="s">
        <v>72</v>
      </c>
      <c r="AB93" s="2" t="s">
        <v>72</v>
      </c>
      <c r="AC93" s="2" t="s">
        <v>71</v>
      </c>
      <c r="AD93" s="2" t="s">
        <v>80</v>
      </c>
      <c r="AF93" s="4">
        <v>2</v>
      </c>
    </row>
    <row r="94" spans="1:32" ht="64" x14ac:dyDescent="0.2">
      <c r="A94" s="4">
        <v>32118138</v>
      </c>
      <c r="B94" s="2">
        <f>VLOOKUP(A94,[1]TRATAMIENTI!$A:$B,2,FALSE)</f>
        <v>475</v>
      </c>
      <c r="C94" s="4" t="s">
        <v>1129</v>
      </c>
      <c r="D94" s="4">
        <v>3217714598</v>
      </c>
      <c r="E94" s="4" t="s">
        <v>1130</v>
      </c>
      <c r="F94" s="4" t="s">
        <v>928</v>
      </c>
      <c r="G94" s="2" t="str">
        <f t="shared" si="1"/>
        <v>ANTIOQUIA</v>
      </c>
      <c r="H94" s="4" t="s">
        <v>924</v>
      </c>
      <c r="I94" s="4" t="s">
        <v>941</v>
      </c>
      <c r="J94" s="2" t="s">
        <v>71</v>
      </c>
      <c r="K94" s="2" t="s">
        <v>76</v>
      </c>
      <c r="L94" s="2" t="s">
        <v>71</v>
      </c>
      <c r="M94" s="2" t="s">
        <v>71</v>
      </c>
      <c r="N94" s="2" t="s">
        <v>71</v>
      </c>
      <c r="O94" s="2" t="s">
        <v>71</v>
      </c>
      <c r="P94" s="2" t="s">
        <v>71</v>
      </c>
      <c r="Q94" s="2" t="s">
        <v>71</v>
      </c>
      <c r="R94" s="2" t="s">
        <v>71</v>
      </c>
      <c r="S94" s="2" t="s">
        <v>71</v>
      </c>
      <c r="T94" s="2" t="s">
        <v>71</v>
      </c>
      <c r="U94" s="2" t="s">
        <v>71</v>
      </c>
      <c r="V94" s="2" t="s">
        <v>71</v>
      </c>
      <c r="W94" s="2" t="s">
        <v>71</v>
      </c>
      <c r="X94" s="2" t="s">
        <v>71</v>
      </c>
      <c r="Y94" s="2" t="s">
        <v>71</v>
      </c>
      <c r="Z94" s="2" t="s">
        <v>71</v>
      </c>
      <c r="AA94" s="2" t="s">
        <v>71</v>
      </c>
      <c r="AB94" s="2" t="s">
        <v>71</v>
      </c>
      <c r="AC94" s="2" t="s">
        <v>71</v>
      </c>
      <c r="AD94" s="2" t="s">
        <v>73</v>
      </c>
      <c r="AF94" s="4">
        <v>3</v>
      </c>
    </row>
    <row r="95" spans="1:32" ht="48" x14ac:dyDescent="0.2">
      <c r="A95" s="4">
        <v>32144313</v>
      </c>
      <c r="B95" s="2">
        <f>VLOOKUP(A95,[1]TRATAMIENTI!$A:$B,2,FALSE)</f>
        <v>476</v>
      </c>
      <c r="C95" s="4" t="s">
        <v>1131</v>
      </c>
      <c r="D95" s="4">
        <v>3226037691</v>
      </c>
      <c r="E95" s="4" t="s">
        <v>1132</v>
      </c>
      <c r="F95" s="4" t="s">
        <v>928</v>
      </c>
      <c r="G95" s="2" t="str">
        <f t="shared" si="1"/>
        <v>ANTIOQUIA</v>
      </c>
      <c r="H95" s="4" t="s">
        <v>924</v>
      </c>
      <c r="I95" s="4" t="s">
        <v>936</v>
      </c>
      <c r="J95" s="2" t="s">
        <v>71</v>
      </c>
      <c r="K95" s="2" t="s">
        <v>71</v>
      </c>
      <c r="L95" s="2" t="s">
        <v>71</v>
      </c>
      <c r="M95" s="2" t="s">
        <v>72</v>
      </c>
      <c r="N95" s="2" t="s">
        <v>71</v>
      </c>
      <c r="O95" s="2" t="s">
        <v>76</v>
      </c>
      <c r="P95" s="2" t="s">
        <v>72</v>
      </c>
      <c r="Q95" s="2" t="s">
        <v>72</v>
      </c>
      <c r="R95" s="2" t="s">
        <v>76</v>
      </c>
      <c r="S95" s="2" t="s">
        <v>72</v>
      </c>
      <c r="T95" s="2" t="s">
        <v>71</v>
      </c>
      <c r="U95" s="2" t="s">
        <v>72</v>
      </c>
      <c r="V95" s="2" t="s">
        <v>71</v>
      </c>
      <c r="W95" s="2" t="s">
        <v>76</v>
      </c>
      <c r="X95" s="2" t="s">
        <v>76</v>
      </c>
      <c r="Y95" s="2" t="s">
        <v>72</v>
      </c>
      <c r="Z95" s="2" t="s">
        <v>72</v>
      </c>
      <c r="AA95" s="2" t="s">
        <v>72</v>
      </c>
      <c r="AB95" s="2" t="s">
        <v>71</v>
      </c>
      <c r="AC95" s="2" t="s">
        <v>71</v>
      </c>
      <c r="AD95" s="2" t="s">
        <v>80</v>
      </c>
      <c r="AF95" s="4">
        <v>2</v>
      </c>
    </row>
    <row r="96" spans="1:32" ht="48" x14ac:dyDescent="0.2">
      <c r="A96" s="4">
        <v>32208850</v>
      </c>
      <c r="B96" s="2">
        <f>VLOOKUP(A96,[1]TRATAMIENTI!$A:$B,2,FALSE)</f>
        <v>477</v>
      </c>
      <c r="C96" s="4" t="s">
        <v>1133</v>
      </c>
      <c r="D96" s="4">
        <v>3504996590</v>
      </c>
      <c r="E96" s="4" t="s">
        <v>1134</v>
      </c>
      <c r="F96" s="4" t="s">
        <v>928</v>
      </c>
      <c r="G96" s="2" t="str">
        <f t="shared" si="1"/>
        <v>ANTIOQUIA</v>
      </c>
      <c r="H96" s="4" t="s">
        <v>924</v>
      </c>
      <c r="I96" s="4" t="s">
        <v>948</v>
      </c>
      <c r="J96" s="2" t="s">
        <v>71</v>
      </c>
      <c r="K96" s="2" t="s">
        <v>71</v>
      </c>
      <c r="L96" s="2" t="s">
        <v>71</v>
      </c>
      <c r="M96" s="2" t="s">
        <v>71</v>
      </c>
      <c r="N96" s="2" t="s">
        <v>71</v>
      </c>
      <c r="O96" s="2" t="s">
        <v>71</v>
      </c>
      <c r="P96" s="2" t="s">
        <v>76</v>
      </c>
      <c r="Q96" s="2" t="s">
        <v>76</v>
      </c>
      <c r="R96" s="2" t="s">
        <v>76</v>
      </c>
      <c r="S96" s="2" t="s">
        <v>72</v>
      </c>
      <c r="T96" s="2" t="s">
        <v>72</v>
      </c>
      <c r="U96" s="2" t="s">
        <v>72</v>
      </c>
      <c r="V96" s="2" t="s">
        <v>76</v>
      </c>
      <c r="W96" s="2" t="s">
        <v>76</v>
      </c>
      <c r="X96" s="2" t="s">
        <v>76</v>
      </c>
      <c r="Y96" s="2" t="s">
        <v>72</v>
      </c>
      <c r="Z96" s="2" t="s">
        <v>72</v>
      </c>
      <c r="AA96" s="2" t="s">
        <v>72</v>
      </c>
      <c r="AB96" s="2" t="s">
        <v>72</v>
      </c>
      <c r="AC96" s="2" t="s">
        <v>71</v>
      </c>
      <c r="AD96" s="2" t="s">
        <v>80</v>
      </c>
      <c r="AF96" s="4">
        <v>2</v>
      </c>
    </row>
    <row r="97" spans="1:32" ht="48" x14ac:dyDescent="0.2">
      <c r="A97" s="4">
        <v>32255448</v>
      </c>
      <c r="B97" s="2">
        <f>VLOOKUP(A97,[1]TRATAMIENTI!$A:$B,2,FALSE)</f>
        <v>478</v>
      </c>
      <c r="C97" s="4" t="s">
        <v>1135</v>
      </c>
      <c r="D97" s="4">
        <v>3003285816</v>
      </c>
      <c r="E97" s="4" t="s">
        <v>1136</v>
      </c>
      <c r="F97" s="4" t="s">
        <v>928</v>
      </c>
      <c r="G97" s="2" t="str">
        <f t="shared" si="1"/>
        <v>ANTIOQUIA</v>
      </c>
      <c r="H97" s="4" t="s">
        <v>924</v>
      </c>
      <c r="I97" s="4" t="s">
        <v>936</v>
      </c>
      <c r="J97" s="2" t="s">
        <v>71</v>
      </c>
      <c r="K97" s="2" t="s">
        <v>71</v>
      </c>
      <c r="L97" s="2" t="s">
        <v>71</v>
      </c>
      <c r="M97" s="2" t="s">
        <v>72</v>
      </c>
      <c r="N97" s="2" t="s">
        <v>76</v>
      </c>
      <c r="O97" s="2" t="s">
        <v>72</v>
      </c>
      <c r="P97" s="2" t="s">
        <v>72</v>
      </c>
      <c r="Q97" s="2" t="s">
        <v>72</v>
      </c>
      <c r="R97" s="2" t="s">
        <v>76</v>
      </c>
      <c r="S97" s="2" t="s">
        <v>71</v>
      </c>
      <c r="T97" s="2" t="s">
        <v>71</v>
      </c>
      <c r="U97" s="2" t="s">
        <v>71</v>
      </c>
      <c r="V97" s="2" t="s">
        <v>72</v>
      </c>
      <c r="W97" s="2" t="s">
        <v>76</v>
      </c>
      <c r="X97" s="2" t="s">
        <v>76</v>
      </c>
      <c r="Y97" s="2" t="s">
        <v>72</v>
      </c>
      <c r="Z97" s="2" t="s">
        <v>72</v>
      </c>
      <c r="AA97" s="2" t="s">
        <v>72</v>
      </c>
      <c r="AB97" s="2" t="s">
        <v>72</v>
      </c>
      <c r="AC97" s="2" t="s">
        <v>71</v>
      </c>
      <c r="AD97" s="2" t="s">
        <v>80</v>
      </c>
      <c r="AF97" s="4">
        <v>2</v>
      </c>
    </row>
    <row r="98" spans="1:32" ht="48" x14ac:dyDescent="0.2">
      <c r="A98" s="4">
        <v>32258550</v>
      </c>
      <c r="B98" s="2">
        <f>VLOOKUP(A98,[1]TRATAMIENTI!$A:$B,2,FALSE)</f>
        <v>479</v>
      </c>
      <c r="C98" s="4" t="s">
        <v>1137</v>
      </c>
      <c r="D98" s="4" t="s">
        <v>1138</v>
      </c>
      <c r="E98" s="4" t="s">
        <v>1139</v>
      </c>
      <c r="F98" s="4" t="s">
        <v>928</v>
      </c>
      <c r="G98" s="2" t="str">
        <f t="shared" si="1"/>
        <v>ANTIOQUIA</v>
      </c>
      <c r="H98" s="4" t="s">
        <v>924</v>
      </c>
      <c r="I98" s="4" t="s">
        <v>951</v>
      </c>
      <c r="J98" s="2" t="s">
        <v>76</v>
      </c>
      <c r="K98" s="2" t="s">
        <v>71</v>
      </c>
      <c r="L98" s="2" t="s">
        <v>71</v>
      </c>
      <c r="M98" s="2" t="s">
        <v>72</v>
      </c>
      <c r="N98" s="2" t="s">
        <v>71</v>
      </c>
      <c r="O98" s="2" t="s">
        <v>72</v>
      </c>
      <c r="P98" s="2" t="s">
        <v>72</v>
      </c>
      <c r="Q98" s="2" t="s">
        <v>72</v>
      </c>
      <c r="R98" s="2" t="s">
        <v>76</v>
      </c>
      <c r="S98" s="2" t="s">
        <v>72</v>
      </c>
      <c r="T98" s="2" t="s">
        <v>76</v>
      </c>
      <c r="U98" s="2" t="s">
        <v>72</v>
      </c>
      <c r="V98" s="2" t="s">
        <v>76</v>
      </c>
      <c r="W98" s="2" t="s">
        <v>76</v>
      </c>
      <c r="X98" s="2" t="s">
        <v>76</v>
      </c>
      <c r="Y98" s="2" t="s">
        <v>71</v>
      </c>
      <c r="Z98" s="2" t="s">
        <v>71</v>
      </c>
      <c r="AA98" s="2" t="s">
        <v>71</v>
      </c>
      <c r="AB98" s="2" t="s">
        <v>71</v>
      </c>
      <c r="AC98" s="2" t="s">
        <v>71</v>
      </c>
      <c r="AD98" s="2" t="s">
        <v>80</v>
      </c>
      <c r="AF98" s="4">
        <v>2</v>
      </c>
    </row>
    <row r="99" spans="1:32" ht="48" x14ac:dyDescent="0.2">
      <c r="A99" s="4">
        <v>32358114</v>
      </c>
      <c r="B99" s="2">
        <f>VLOOKUP(A99,[1]TRATAMIENTI!$A:$B,2,FALSE)</f>
        <v>480</v>
      </c>
      <c r="C99" s="4" t="s">
        <v>1140</v>
      </c>
      <c r="D99" s="4">
        <v>3145385591</v>
      </c>
      <c r="E99" s="4" t="s">
        <v>1141</v>
      </c>
      <c r="F99" s="4" t="s">
        <v>928</v>
      </c>
      <c r="G99" s="2" t="str">
        <f t="shared" si="1"/>
        <v>ANTIOQUIA</v>
      </c>
      <c r="H99" s="4" t="s">
        <v>924</v>
      </c>
      <c r="I99" s="4" t="s">
        <v>936</v>
      </c>
      <c r="J99" s="2" t="s">
        <v>71</v>
      </c>
      <c r="K99" s="2" t="s">
        <v>71</v>
      </c>
      <c r="L99" s="2" t="s">
        <v>71</v>
      </c>
      <c r="M99" s="2" t="s">
        <v>72</v>
      </c>
      <c r="N99" s="2" t="s">
        <v>71</v>
      </c>
      <c r="O99" s="2" t="s">
        <v>72</v>
      </c>
      <c r="P99" s="2" t="s">
        <v>72</v>
      </c>
      <c r="Q99" s="2" t="s">
        <v>72</v>
      </c>
      <c r="R99" s="2" t="s">
        <v>76</v>
      </c>
      <c r="S99" s="2" t="s">
        <v>72</v>
      </c>
      <c r="T99" s="2" t="s">
        <v>76</v>
      </c>
      <c r="U99" s="2" t="s">
        <v>72</v>
      </c>
      <c r="V99" s="2" t="s">
        <v>76</v>
      </c>
      <c r="W99" s="2" t="s">
        <v>76</v>
      </c>
      <c r="X99" s="2" t="s">
        <v>76</v>
      </c>
      <c r="Y99" s="2" t="s">
        <v>72</v>
      </c>
      <c r="Z99" s="2" t="s">
        <v>72</v>
      </c>
      <c r="AA99" s="2" t="s">
        <v>72</v>
      </c>
      <c r="AB99" s="2" t="s">
        <v>71</v>
      </c>
      <c r="AC99" s="2" t="s">
        <v>71</v>
      </c>
      <c r="AD99" s="2" t="s">
        <v>80</v>
      </c>
      <c r="AF99" s="4">
        <v>2</v>
      </c>
    </row>
    <row r="100" spans="1:32" ht="48" x14ac:dyDescent="0.2">
      <c r="A100" s="4">
        <v>32358159</v>
      </c>
      <c r="B100" s="2">
        <f>VLOOKUP(A100,[1]TRATAMIENTI!$A:$B,2,FALSE)</f>
        <v>481</v>
      </c>
      <c r="C100" s="4" t="s">
        <v>1142</v>
      </c>
      <c r="D100" s="4">
        <v>3104456997</v>
      </c>
      <c r="E100" s="4" t="s">
        <v>1143</v>
      </c>
      <c r="F100" s="4" t="s">
        <v>928</v>
      </c>
      <c r="G100" s="2" t="str">
        <f t="shared" si="1"/>
        <v>ANTIOQUIA</v>
      </c>
      <c r="H100" s="4" t="s">
        <v>924</v>
      </c>
      <c r="I100" s="4" t="s">
        <v>936</v>
      </c>
      <c r="J100" s="2" t="s">
        <v>71</v>
      </c>
      <c r="K100" s="2" t="s">
        <v>71</v>
      </c>
      <c r="L100" s="2" t="s">
        <v>71</v>
      </c>
      <c r="M100" s="2" t="s">
        <v>72</v>
      </c>
      <c r="N100" s="2" t="s">
        <v>76</v>
      </c>
      <c r="O100" s="2" t="s">
        <v>72</v>
      </c>
      <c r="P100" s="2" t="s">
        <v>72</v>
      </c>
      <c r="Q100" s="2" t="s">
        <v>72</v>
      </c>
      <c r="R100" s="2" t="s">
        <v>76</v>
      </c>
      <c r="S100" s="2" t="s">
        <v>72</v>
      </c>
      <c r="T100" s="2" t="s">
        <v>71</v>
      </c>
      <c r="U100" s="2" t="s">
        <v>72</v>
      </c>
      <c r="V100" s="2" t="s">
        <v>76</v>
      </c>
      <c r="W100" s="2" t="s">
        <v>76</v>
      </c>
      <c r="X100" s="2" t="s">
        <v>76</v>
      </c>
      <c r="Y100" s="2" t="s">
        <v>72</v>
      </c>
      <c r="Z100" s="2" t="s">
        <v>72</v>
      </c>
      <c r="AA100" s="2" t="s">
        <v>72</v>
      </c>
      <c r="AB100" s="2" t="s">
        <v>71</v>
      </c>
      <c r="AC100" s="2" t="s">
        <v>71</v>
      </c>
      <c r="AD100" s="2" t="s">
        <v>80</v>
      </c>
      <c r="AF100" s="4">
        <v>2</v>
      </c>
    </row>
    <row r="101" spans="1:32" ht="48" x14ac:dyDescent="0.2">
      <c r="A101" s="4">
        <v>32409494</v>
      </c>
      <c r="B101" s="2">
        <f>VLOOKUP(A101,[1]TRATAMIENTI!$A:$B,2,FALSE)</f>
        <v>482</v>
      </c>
      <c r="C101" s="4" t="s">
        <v>1144</v>
      </c>
      <c r="D101" s="4">
        <v>3147172622</v>
      </c>
      <c r="E101" s="4" t="s">
        <v>1145</v>
      </c>
      <c r="F101" s="4" t="s">
        <v>928</v>
      </c>
      <c r="G101" s="2" t="str">
        <f t="shared" si="1"/>
        <v>ANTIOQUIA</v>
      </c>
      <c r="H101" s="4" t="s">
        <v>924</v>
      </c>
      <c r="I101" s="4" t="s">
        <v>951</v>
      </c>
      <c r="J101" s="2" t="s">
        <v>76</v>
      </c>
      <c r="K101" s="2" t="s">
        <v>71</v>
      </c>
      <c r="L101" s="2" t="s">
        <v>71</v>
      </c>
      <c r="M101" s="2" t="s">
        <v>72</v>
      </c>
      <c r="N101" s="2" t="s">
        <v>71</v>
      </c>
      <c r="O101" s="2" t="s">
        <v>71</v>
      </c>
      <c r="P101" s="2" t="s">
        <v>72</v>
      </c>
      <c r="Q101" s="2" t="s">
        <v>72</v>
      </c>
      <c r="R101" s="2" t="s">
        <v>72</v>
      </c>
      <c r="S101" s="2" t="s">
        <v>76</v>
      </c>
      <c r="T101" s="2" t="s">
        <v>72</v>
      </c>
      <c r="U101" s="2" t="s">
        <v>71</v>
      </c>
      <c r="V101" s="2" t="s">
        <v>72</v>
      </c>
      <c r="W101" s="2" t="s">
        <v>76</v>
      </c>
      <c r="X101" s="2" t="s">
        <v>76</v>
      </c>
      <c r="Y101" s="2" t="s">
        <v>76</v>
      </c>
      <c r="Z101" s="2" t="s">
        <v>71</v>
      </c>
      <c r="AA101" s="2" t="s">
        <v>76</v>
      </c>
      <c r="AB101" s="2" t="s">
        <v>71</v>
      </c>
      <c r="AC101" s="2" t="s">
        <v>71</v>
      </c>
      <c r="AD101" s="2" t="s">
        <v>80</v>
      </c>
      <c r="AF101" s="4">
        <v>3</v>
      </c>
    </row>
    <row r="102" spans="1:32" ht="48" x14ac:dyDescent="0.2">
      <c r="A102" s="4">
        <v>32422939</v>
      </c>
      <c r="B102" s="2">
        <f>VLOOKUP(A102,[1]TRATAMIENTI!$A:$B,2,FALSE)</f>
        <v>483</v>
      </c>
      <c r="C102" s="4" t="s">
        <v>1146</v>
      </c>
      <c r="D102" s="4">
        <v>3245904146</v>
      </c>
      <c r="E102" s="4" t="s">
        <v>1147</v>
      </c>
      <c r="F102" s="4" t="s">
        <v>928</v>
      </c>
      <c r="G102" s="2" t="str">
        <f t="shared" si="1"/>
        <v>ANTIOQUIA</v>
      </c>
      <c r="H102" s="4" t="s">
        <v>924</v>
      </c>
      <c r="I102" s="4" t="s">
        <v>951</v>
      </c>
      <c r="J102" s="2" t="s">
        <v>76</v>
      </c>
      <c r="K102" s="2" t="s">
        <v>71</v>
      </c>
      <c r="L102" s="2" t="s">
        <v>71</v>
      </c>
      <c r="M102" s="2" t="s">
        <v>72</v>
      </c>
      <c r="N102" s="2" t="s">
        <v>71</v>
      </c>
      <c r="O102" s="2" t="s">
        <v>71</v>
      </c>
      <c r="P102" s="2" t="s">
        <v>76</v>
      </c>
      <c r="Q102" s="2" t="s">
        <v>76</v>
      </c>
      <c r="R102" s="2" t="s">
        <v>76</v>
      </c>
      <c r="S102" s="2" t="s">
        <v>72</v>
      </c>
      <c r="T102" s="2" t="s">
        <v>71</v>
      </c>
      <c r="U102" s="2" t="s">
        <v>72</v>
      </c>
      <c r="V102" s="2" t="s">
        <v>72</v>
      </c>
      <c r="W102" s="2" t="s">
        <v>72</v>
      </c>
      <c r="X102" s="2" t="s">
        <v>72</v>
      </c>
      <c r="Y102" s="2" t="s">
        <v>71</v>
      </c>
      <c r="Z102" s="2" t="s">
        <v>71</v>
      </c>
      <c r="AA102" s="2" t="s">
        <v>71</v>
      </c>
      <c r="AB102" s="2" t="s">
        <v>71</v>
      </c>
      <c r="AC102" s="2" t="s">
        <v>71</v>
      </c>
      <c r="AD102" s="2" t="s">
        <v>80</v>
      </c>
      <c r="AF102" s="4">
        <v>2</v>
      </c>
    </row>
    <row r="103" spans="1:32" ht="48" x14ac:dyDescent="0.2">
      <c r="A103" s="4">
        <v>32487899</v>
      </c>
      <c r="B103" s="2">
        <f>VLOOKUP(A103,[1]TRATAMIENTI!$A:$B,2,FALSE)</f>
        <v>484</v>
      </c>
      <c r="C103" s="4" t="s">
        <v>1148</v>
      </c>
      <c r="D103" s="4">
        <v>3044491916</v>
      </c>
      <c r="E103" s="4" t="s">
        <v>1149</v>
      </c>
      <c r="F103" s="4" t="s">
        <v>928</v>
      </c>
      <c r="G103" s="2" t="str">
        <f t="shared" si="1"/>
        <v>ANTIOQUIA</v>
      </c>
      <c r="H103" s="4" t="s">
        <v>924</v>
      </c>
      <c r="I103" s="4" t="s">
        <v>951</v>
      </c>
      <c r="J103" s="2" t="s">
        <v>71</v>
      </c>
      <c r="K103" s="2" t="s">
        <v>71</v>
      </c>
      <c r="L103" s="2" t="s">
        <v>71</v>
      </c>
      <c r="M103" s="2" t="s">
        <v>72</v>
      </c>
      <c r="N103" s="2"/>
      <c r="O103" s="2" t="s">
        <v>71</v>
      </c>
      <c r="P103" s="2" t="s">
        <v>72</v>
      </c>
      <c r="Q103" s="2" t="s">
        <v>72</v>
      </c>
      <c r="R103" s="2" t="s">
        <v>76</v>
      </c>
      <c r="S103" s="2" t="s">
        <v>72</v>
      </c>
      <c r="T103" s="2" t="s">
        <v>72</v>
      </c>
      <c r="U103" s="2" t="s">
        <v>72</v>
      </c>
      <c r="V103" s="2" t="s">
        <v>76</v>
      </c>
      <c r="W103" s="2" t="s">
        <v>76</v>
      </c>
      <c r="X103" s="2" t="s">
        <v>76</v>
      </c>
      <c r="Y103" s="2" t="s">
        <v>72</v>
      </c>
      <c r="Z103" s="2" t="s">
        <v>72</v>
      </c>
      <c r="AA103" s="2" t="s">
        <v>72</v>
      </c>
      <c r="AB103" s="2" t="s">
        <v>72</v>
      </c>
      <c r="AC103" s="2" t="s">
        <v>71</v>
      </c>
      <c r="AD103" s="2" t="s">
        <v>80</v>
      </c>
      <c r="AF103" s="4">
        <v>3</v>
      </c>
    </row>
    <row r="104" spans="1:32" ht="48" x14ac:dyDescent="0.2">
      <c r="A104" s="4">
        <v>32500696</v>
      </c>
      <c r="B104" s="2">
        <f>VLOOKUP(A104,[1]TRATAMIENTI!$A:$B,2,FALSE)</f>
        <v>485</v>
      </c>
      <c r="C104" s="4" t="s">
        <v>1150</v>
      </c>
      <c r="D104" s="4">
        <v>3117738535</v>
      </c>
      <c r="E104" s="4" t="s">
        <v>1151</v>
      </c>
      <c r="F104" s="4" t="s">
        <v>928</v>
      </c>
      <c r="G104" s="2" t="str">
        <f t="shared" si="1"/>
        <v>ANTIOQUIA</v>
      </c>
      <c r="H104" s="4" t="s">
        <v>924</v>
      </c>
      <c r="I104" s="4" t="s">
        <v>951</v>
      </c>
      <c r="J104" s="2" t="s">
        <v>76</v>
      </c>
      <c r="K104" s="2" t="s">
        <v>71</v>
      </c>
      <c r="L104" s="2" t="s">
        <v>72</v>
      </c>
      <c r="M104" s="2" t="s">
        <v>72</v>
      </c>
      <c r="N104" s="2" t="s">
        <v>71</v>
      </c>
      <c r="O104" s="2" t="s">
        <v>76</v>
      </c>
      <c r="P104" s="2" t="s">
        <v>72</v>
      </c>
      <c r="Q104" s="2" t="s">
        <v>72</v>
      </c>
      <c r="R104" s="2" t="s">
        <v>76</v>
      </c>
      <c r="S104" s="2" t="s">
        <v>72</v>
      </c>
      <c r="T104" s="2" t="s">
        <v>76</v>
      </c>
      <c r="U104" s="2" t="s">
        <v>72</v>
      </c>
      <c r="V104" s="2" t="s">
        <v>76</v>
      </c>
      <c r="W104" s="2" t="s">
        <v>76</v>
      </c>
      <c r="X104" s="2" t="s">
        <v>76</v>
      </c>
      <c r="Y104" s="2" t="s">
        <v>72</v>
      </c>
      <c r="Z104" s="2" t="s">
        <v>72</v>
      </c>
      <c r="AA104" s="2" t="s">
        <v>72</v>
      </c>
      <c r="AB104" s="2" t="s">
        <v>76</v>
      </c>
      <c r="AC104" s="2" t="s">
        <v>71</v>
      </c>
      <c r="AD104" s="2" t="s">
        <v>91</v>
      </c>
      <c r="AF104" s="4">
        <v>2</v>
      </c>
    </row>
    <row r="105" spans="1:32" ht="48" x14ac:dyDescent="0.2">
      <c r="A105" s="4">
        <v>32519087</v>
      </c>
      <c r="B105" s="2">
        <f>VLOOKUP(A105,[1]TRATAMIENTI!$A:$B,2,FALSE)</f>
        <v>486</v>
      </c>
      <c r="C105" s="4" t="s">
        <v>1152</v>
      </c>
      <c r="D105" s="4">
        <v>3117276494</v>
      </c>
      <c r="E105" s="4" t="s">
        <v>1153</v>
      </c>
      <c r="F105" s="4" t="s">
        <v>928</v>
      </c>
      <c r="G105" s="2" t="str">
        <f t="shared" si="1"/>
        <v>ANTIOQUIA</v>
      </c>
      <c r="H105" s="4" t="s">
        <v>924</v>
      </c>
      <c r="I105" s="4" t="s">
        <v>951</v>
      </c>
      <c r="J105" s="2" t="s">
        <v>76</v>
      </c>
      <c r="K105" s="2" t="s">
        <v>71</v>
      </c>
      <c r="L105" s="2" t="s">
        <v>71</v>
      </c>
      <c r="M105" s="2" t="s">
        <v>76</v>
      </c>
      <c r="N105" s="2" t="s">
        <v>71</v>
      </c>
      <c r="O105" s="2" t="s">
        <v>71</v>
      </c>
      <c r="P105" s="2" t="s">
        <v>71</v>
      </c>
      <c r="Q105" s="2" t="s">
        <v>72</v>
      </c>
      <c r="R105" s="2" t="s">
        <v>76</v>
      </c>
      <c r="S105" s="2" t="s">
        <v>72</v>
      </c>
      <c r="T105" s="2" t="s">
        <v>71</v>
      </c>
      <c r="U105" s="2" t="s">
        <v>72</v>
      </c>
      <c r="V105" s="2" t="s">
        <v>76</v>
      </c>
      <c r="W105" s="2" t="s">
        <v>76</v>
      </c>
      <c r="X105" s="2" t="s">
        <v>76</v>
      </c>
      <c r="Y105" s="2" t="s">
        <v>72</v>
      </c>
      <c r="Z105" s="2" t="s">
        <v>72</v>
      </c>
      <c r="AA105" s="2" t="s">
        <v>72</v>
      </c>
      <c r="AB105" s="2" t="s">
        <v>72</v>
      </c>
      <c r="AC105" s="2" t="s">
        <v>71</v>
      </c>
      <c r="AD105" s="2" t="s">
        <v>80</v>
      </c>
      <c r="AF105" s="4">
        <v>1</v>
      </c>
    </row>
    <row r="106" spans="1:32" ht="48" x14ac:dyDescent="0.2">
      <c r="A106" s="4">
        <v>32529962</v>
      </c>
      <c r="B106" s="2">
        <f>VLOOKUP(A106,[1]TRATAMIENTI!$A:$B,2,FALSE)</f>
        <v>487</v>
      </c>
      <c r="C106" s="4" t="s">
        <v>1154</v>
      </c>
      <c r="D106" s="4">
        <v>3016113438</v>
      </c>
      <c r="E106" s="4" t="s">
        <v>1155</v>
      </c>
      <c r="F106" s="4" t="s">
        <v>928</v>
      </c>
      <c r="G106" s="2" t="str">
        <f t="shared" si="1"/>
        <v>ANTIOQUIA</v>
      </c>
      <c r="H106" s="4" t="s">
        <v>924</v>
      </c>
      <c r="I106" s="4" t="s">
        <v>951</v>
      </c>
      <c r="J106" s="2" t="s">
        <v>76</v>
      </c>
      <c r="K106" s="2" t="s">
        <v>71</v>
      </c>
      <c r="L106" s="2" t="s">
        <v>71</v>
      </c>
      <c r="M106" s="2" t="s">
        <v>76</v>
      </c>
      <c r="N106" s="2" t="s">
        <v>71</v>
      </c>
      <c r="O106" s="2" t="s">
        <v>72</v>
      </c>
      <c r="P106" s="2" t="s">
        <v>72</v>
      </c>
      <c r="Q106" s="2" t="s">
        <v>72</v>
      </c>
      <c r="R106" s="2" t="s">
        <v>76</v>
      </c>
      <c r="S106" s="2" t="s">
        <v>72</v>
      </c>
      <c r="T106" s="2" t="s">
        <v>72</v>
      </c>
      <c r="U106" s="2" t="s">
        <v>72</v>
      </c>
      <c r="V106" s="2" t="s">
        <v>76</v>
      </c>
      <c r="W106" s="2" t="s">
        <v>76</v>
      </c>
      <c r="X106" s="2" t="s">
        <v>76</v>
      </c>
      <c r="Y106" s="2" t="s">
        <v>72</v>
      </c>
      <c r="Z106" s="2" t="s">
        <v>72</v>
      </c>
      <c r="AA106" s="2" t="s">
        <v>72</v>
      </c>
      <c r="AB106" s="2" t="s">
        <v>72</v>
      </c>
      <c r="AC106" s="2" t="s">
        <v>72</v>
      </c>
      <c r="AD106" s="2" t="s">
        <v>91</v>
      </c>
      <c r="AF106" s="4">
        <v>2</v>
      </c>
    </row>
    <row r="107" spans="1:32" ht="48" x14ac:dyDescent="0.2">
      <c r="A107" s="4">
        <v>32531832</v>
      </c>
      <c r="B107" s="2">
        <f>VLOOKUP(A107,[1]TRATAMIENTI!$A:$B,2,FALSE)</f>
        <v>488</v>
      </c>
      <c r="C107" s="4" t="s">
        <v>1156</v>
      </c>
      <c r="D107" s="4">
        <v>3103890088</v>
      </c>
      <c r="E107" s="4" t="s">
        <v>1157</v>
      </c>
      <c r="F107" s="4" t="s">
        <v>928</v>
      </c>
      <c r="G107" s="2" t="str">
        <f t="shared" si="1"/>
        <v>ANTIOQUIA</v>
      </c>
      <c r="H107" s="4" t="s">
        <v>924</v>
      </c>
      <c r="I107" s="4" t="s">
        <v>936</v>
      </c>
      <c r="J107" s="2" t="s">
        <v>71</v>
      </c>
      <c r="K107" s="2" t="s">
        <v>71</v>
      </c>
      <c r="L107" s="2" t="s">
        <v>71</v>
      </c>
      <c r="M107" s="2" t="s">
        <v>72</v>
      </c>
      <c r="N107" s="2" t="s">
        <v>71</v>
      </c>
      <c r="O107" s="2" t="s">
        <v>72</v>
      </c>
      <c r="P107" s="2" t="s">
        <v>72</v>
      </c>
      <c r="Q107" s="2" t="s">
        <v>72</v>
      </c>
      <c r="R107" s="2" t="s">
        <v>72</v>
      </c>
      <c r="S107" s="2" t="s">
        <v>72</v>
      </c>
      <c r="T107" s="2" t="s">
        <v>71</v>
      </c>
      <c r="U107" s="2" t="s">
        <v>72</v>
      </c>
      <c r="V107" s="2" t="s">
        <v>76</v>
      </c>
      <c r="W107" s="2" t="s">
        <v>76</v>
      </c>
      <c r="X107" s="2" t="s">
        <v>76</v>
      </c>
      <c r="Y107" s="2" t="s">
        <v>72</v>
      </c>
      <c r="Z107" s="2" t="s">
        <v>72</v>
      </c>
      <c r="AA107" s="2" t="s">
        <v>76</v>
      </c>
      <c r="AB107" s="2" t="s">
        <v>71</v>
      </c>
      <c r="AC107" s="2" t="s">
        <v>76</v>
      </c>
      <c r="AD107" s="2" t="s">
        <v>80</v>
      </c>
      <c r="AF107" s="4">
        <v>2</v>
      </c>
    </row>
    <row r="108" spans="1:32" ht="48" x14ac:dyDescent="0.2">
      <c r="A108" s="4">
        <v>32533675</v>
      </c>
      <c r="B108" s="2">
        <f>VLOOKUP(A108,[1]TRATAMIENTI!$A:$B,2,FALSE)</f>
        <v>489</v>
      </c>
      <c r="C108" s="4" t="s">
        <v>1158</v>
      </c>
      <c r="D108" s="4">
        <v>3122688017</v>
      </c>
      <c r="E108" s="4" t="s">
        <v>1159</v>
      </c>
      <c r="F108" s="4" t="s">
        <v>928</v>
      </c>
      <c r="G108" s="2" t="str">
        <f t="shared" si="1"/>
        <v>ANTIOQUIA</v>
      </c>
      <c r="H108" s="4" t="s">
        <v>924</v>
      </c>
      <c r="I108" s="4" t="s">
        <v>931</v>
      </c>
      <c r="J108" s="2" t="s">
        <v>71</v>
      </c>
      <c r="K108" s="2" t="s">
        <v>71</v>
      </c>
      <c r="L108" s="2" t="s">
        <v>71</v>
      </c>
      <c r="M108" s="2" t="s">
        <v>72</v>
      </c>
      <c r="N108" s="2" t="s">
        <v>71</v>
      </c>
      <c r="O108" s="2" t="s">
        <v>72</v>
      </c>
      <c r="P108" s="2" t="s">
        <v>72</v>
      </c>
      <c r="Q108" s="2" t="s">
        <v>72</v>
      </c>
      <c r="R108" s="2" t="s">
        <v>76</v>
      </c>
      <c r="S108" s="2" t="s">
        <v>72</v>
      </c>
      <c r="T108" s="2" t="s">
        <v>76</v>
      </c>
      <c r="U108" s="2" t="s">
        <v>72</v>
      </c>
      <c r="V108" s="2" t="s">
        <v>76</v>
      </c>
      <c r="W108" s="2" t="s">
        <v>76</v>
      </c>
      <c r="X108" s="2" t="s">
        <v>76</v>
      </c>
      <c r="Y108" s="2" t="s">
        <v>72</v>
      </c>
      <c r="Z108" s="2" t="s">
        <v>72</v>
      </c>
      <c r="AA108" s="2" t="s">
        <v>72</v>
      </c>
      <c r="AB108" s="2" t="s">
        <v>72</v>
      </c>
      <c r="AC108" s="2" t="s">
        <v>71</v>
      </c>
      <c r="AD108" s="2" t="s">
        <v>80</v>
      </c>
      <c r="AF108" s="4">
        <v>1</v>
      </c>
    </row>
    <row r="109" spans="1:32" ht="48" x14ac:dyDescent="0.2">
      <c r="A109" s="4">
        <v>32535369</v>
      </c>
      <c r="B109" s="2">
        <f>VLOOKUP(A109,[1]TRATAMIENTI!$A:$B,2,FALSE)</f>
        <v>490</v>
      </c>
      <c r="C109" s="4" t="s">
        <v>1160</v>
      </c>
      <c r="D109" s="4">
        <v>0</v>
      </c>
      <c r="E109" s="4" t="s">
        <v>1161</v>
      </c>
      <c r="F109" s="4" t="s">
        <v>928</v>
      </c>
      <c r="G109" s="2" t="str">
        <f t="shared" si="1"/>
        <v>ANTIOQUIA</v>
      </c>
      <c r="H109" s="4" t="s">
        <v>924</v>
      </c>
      <c r="I109" s="4" t="s">
        <v>931</v>
      </c>
      <c r="J109" s="2" t="s">
        <v>71</v>
      </c>
      <c r="K109" s="2" t="s">
        <v>71</v>
      </c>
      <c r="L109" s="2" t="s">
        <v>71</v>
      </c>
      <c r="M109" s="2" t="s">
        <v>72</v>
      </c>
      <c r="N109" s="2" t="s">
        <v>71</v>
      </c>
      <c r="O109" s="2" t="s">
        <v>72</v>
      </c>
      <c r="P109" s="2" t="s">
        <v>72</v>
      </c>
      <c r="Q109" s="2" t="s">
        <v>72</v>
      </c>
      <c r="R109" s="2" t="s">
        <v>76</v>
      </c>
      <c r="S109" s="2" t="s">
        <v>72</v>
      </c>
      <c r="T109" s="2" t="s">
        <v>71</v>
      </c>
      <c r="U109" s="2" t="s">
        <v>72</v>
      </c>
      <c r="V109" s="2" t="s">
        <v>76</v>
      </c>
      <c r="W109" s="2" t="s">
        <v>76</v>
      </c>
      <c r="X109" s="2" t="s">
        <v>76</v>
      </c>
      <c r="Y109" s="2" t="s">
        <v>72</v>
      </c>
      <c r="Z109" s="2" t="s">
        <v>72</v>
      </c>
      <c r="AA109" s="2" t="s">
        <v>72</v>
      </c>
      <c r="AB109" s="2" t="s">
        <v>71</v>
      </c>
      <c r="AC109" s="2" t="s">
        <v>71</v>
      </c>
      <c r="AD109" s="2" t="s">
        <v>80</v>
      </c>
      <c r="AF109" s="4">
        <v>2</v>
      </c>
    </row>
    <row r="110" spans="1:32" ht="48" x14ac:dyDescent="0.2">
      <c r="A110" s="4">
        <v>33255246</v>
      </c>
      <c r="B110" s="2">
        <f>VLOOKUP(A110,[1]TRATAMIENTI!$A:$B,2,FALSE)</f>
        <v>491</v>
      </c>
      <c r="C110" s="4" t="s">
        <v>1162</v>
      </c>
      <c r="D110" s="4">
        <v>3053263832</v>
      </c>
      <c r="E110" s="4" t="s">
        <v>1163</v>
      </c>
      <c r="F110" s="4" t="s">
        <v>928</v>
      </c>
      <c r="G110" s="2" t="str">
        <f t="shared" si="1"/>
        <v>ANTIOQUIA</v>
      </c>
      <c r="H110" s="4" t="s">
        <v>924</v>
      </c>
      <c r="I110" s="4" t="s">
        <v>936</v>
      </c>
      <c r="J110" s="2" t="s">
        <v>71</v>
      </c>
      <c r="K110" s="2" t="s">
        <v>76</v>
      </c>
      <c r="L110" s="2" t="s">
        <v>71</v>
      </c>
      <c r="M110" s="2" t="s">
        <v>71</v>
      </c>
      <c r="N110" s="2" t="s">
        <v>71</v>
      </c>
      <c r="O110" s="2" t="s">
        <v>72</v>
      </c>
      <c r="P110" s="2" t="s">
        <v>72</v>
      </c>
      <c r="Q110" s="2" t="s">
        <v>72</v>
      </c>
      <c r="R110" s="2" t="s">
        <v>76</v>
      </c>
      <c r="S110" s="2" t="s">
        <v>71</v>
      </c>
      <c r="T110" s="2" t="s">
        <v>71</v>
      </c>
      <c r="U110" s="2" t="s">
        <v>71</v>
      </c>
      <c r="V110" s="2" t="s">
        <v>76</v>
      </c>
      <c r="W110" s="2" t="s">
        <v>76</v>
      </c>
      <c r="X110" s="2" t="s">
        <v>76</v>
      </c>
      <c r="Y110" s="2" t="s">
        <v>71</v>
      </c>
      <c r="Z110" s="2" t="s">
        <v>72</v>
      </c>
      <c r="AA110" s="2" t="s">
        <v>76</v>
      </c>
      <c r="AB110" s="2" t="s">
        <v>71</v>
      </c>
      <c r="AC110" s="2" t="s">
        <v>71</v>
      </c>
      <c r="AD110" s="2" t="s">
        <v>91</v>
      </c>
      <c r="AF110" s="4">
        <v>1</v>
      </c>
    </row>
    <row r="111" spans="1:32" ht="48" x14ac:dyDescent="0.2">
      <c r="A111" s="4">
        <v>3569578</v>
      </c>
      <c r="B111" s="2">
        <f>VLOOKUP(A111,[1]TRATAMIENTI!$A:$B,2,FALSE)</f>
        <v>492</v>
      </c>
      <c r="C111" s="4" t="s">
        <v>1164</v>
      </c>
      <c r="D111" s="4">
        <v>3116020778</v>
      </c>
      <c r="E111" s="4" t="s">
        <v>1165</v>
      </c>
      <c r="F111" s="4" t="s">
        <v>928</v>
      </c>
      <c r="G111" s="2" t="str">
        <f t="shared" si="1"/>
        <v>ANTIOQUIA</v>
      </c>
      <c r="H111" s="4" t="s">
        <v>924</v>
      </c>
      <c r="I111" s="4" t="s">
        <v>931</v>
      </c>
      <c r="J111" s="2" t="s">
        <v>71</v>
      </c>
      <c r="K111" s="2" t="s">
        <v>71</v>
      </c>
      <c r="L111" s="2" t="s">
        <v>71</v>
      </c>
      <c r="M111" s="2" t="s">
        <v>72</v>
      </c>
      <c r="N111" s="2" t="s">
        <v>71</v>
      </c>
      <c r="O111" s="2" t="s">
        <v>72</v>
      </c>
      <c r="P111" s="2" t="s">
        <v>72</v>
      </c>
      <c r="Q111" s="2" t="s">
        <v>72</v>
      </c>
      <c r="R111" s="2" t="s">
        <v>76</v>
      </c>
      <c r="S111" s="2" t="s">
        <v>72</v>
      </c>
      <c r="T111" s="2" t="s">
        <v>71</v>
      </c>
      <c r="U111" s="2" t="s">
        <v>72</v>
      </c>
      <c r="V111" s="2" t="s">
        <v>76</v>
      </c>
      <c r="W111" s="2" t="s">
        <v>76</v>
      </c>
      <c r="X111" s="2" t="s">
        <v>76</v>
      </c>
      <c r="Y111" s="2" t="s">
        <v>72</v>
      </c>
      <c r="Z111" s="2" t="s">
        <v>72</v>
      </c>
      <c r="AA111" s="2" t="s">
        <v>72</v>
      </c>
      <c r="AB111" s="2" t="s">
        <v>71</v>
      </c>
      <c r="AC111" s="2" t="s">
        <v>71</v>
      </c>
      <c r="AD111" s="2" t="s">
        <v>80</v>
      </c>
      <c r="AF111" s="4">
        <v>2</v>
      </c>
    </row>
    <row r="112" spans="1:32" ht="48" x14ac:dyDescent="0.2">
      <c r="A112" s="4">
        <v>3575338</v>
      </c>
      <c r="B112" s="2">
        <f>VLOOKUP(A112,[1]TRATAMIENTI!$A:$B,2,FALSE)</f>
        <v>493</v>
      </c>
      <c r="C112" s="4" t="s">
        <v>1166</v>
      </c>
      <c r="D112" s="4" t="s">
        <v>1167</v>
      </c>
      <c r="E112" s="4" t="s">
        <v>1168</v>
      </c>
      <c r="F112" s="4" t="s">
        <v>928</v>
      </c>
      <c r="G112" s="2" t="str">
        <f t="shared" si="1"/>
        <v>ANTIOQUIA</v>
      </c>
      <c r="H112" s="4" t="s">
        <v>924</v>
      </c>
      <c r="I112" s="4" t="s">
        <v>951</v>
      </c>
      <c r="J112" s="2" t="s">
        <v>76</v>
      </c>
      <c r="K112" s="2" t="s">
        <v>71</v>
      </c>
      <c r="L112" s="2" t="s">
        <v>71</v>
      </c>
      <c r="M112" s="2" t="s">
        <v>72</v>
      </c>
      <c r="N112" s="2" t="s">
        <v>71</v>
      </c>
      <c r="O112" s="2" t="s">
        <v>71</v>
      </c>
      <c r="P112" s="2" t="s">
        <v>72</v>
      </c>
      <c r="Q112" s="2" t="s">
        <v>72</v>
      </c>
      <c r="R112" s="2" t="s">
        <v>76</v>
      </c>
      <c r="S112" s="2" t="s">
        <v>72</v>
      </c>
      <c r="T112" s="2" t="s">
        <v>71</v>
      </c>
      <c r="U112" s="2" t="s">
        <v>71</v>
      </c>
      <c r="V112" s="2" t="s">
        <v>71</v>
      </c>
      <c r="W112" s="2" t="s">
        <v>76</v>
      </c>
      <c r="X112" s="2" t="s">
        <v>76</v>
      </c>
      <c r="Y112" s="2" t="s">
        <v>72</v>
      </c>
      <c r="Z112" s="2" t="s">
        <v>72</v>
      </c>
      <c r="AA112" s="2" t="s">
        <v>72</v>
      </c>
      <c r="AB112" s="2" t="s">
        <v>71</v>
      </c>
      <c r="AC112" s="2" t="s">
        <v>71</v>
      </c>
      <c r="AD112" s="2" t="s">
        <v>80</v>
      </c>
      <c r="AF112" s="4">
        <v>2</v>
      </c>
    </row>
    <row r="113" spans="1:32" ht="48" x14ac:dyDescent="0.2">
      <c r="A113" s="4">
        <v>39268214</v>
      </c>
      <c r="B113" s="2">
        <f>VLOOKUP(A113,[1]TRATAMIENTI!$A:$B,2,FALSE)</f>
        <v>494</v>
      </c>
      <c r="C113" s="4" t="s">
        <v>1169</v>
      </c>
      <c r="D113" s="4">
        <v>3145353027</v>
      </c>
      <c r="E113" s="4" t="s">
        <v>1170</v>
      </c>
      <c r="F113" s="4" t="s">
        <v>928</v>
      </c>
      <c r="G113" s="2" t="str">
        <f t="shared" si="1"/>
        <v>ANTIOQUIA</v>
      </c>
      <c r="H113" s="4" t="s">
        <v>924</v>
      </c>
      <c r="I113" s="4" t="s">
        <v>936</v>
      </c>
      <c r="J113" s="2" t="s">
        <v>76</v>
      </c>
      <c r="K113" s="2" t="s">
        <v>71</v>
      </c>
      <c r="L113" s="2" t="s">
        <v>71</v>
      </c>
      <c r="M113" s="2" t="s">
        <v>72</v>
      </c>
      <c r="N113" s="2" t="s">
        <v>76</v>
      </c>
      <c r="O113" s="2" t="s">
        <v>72</v>
      </c>
      <c r="P113" s="2" t="s">
        <v>72</v>
      </c>
      <c r="Q113" s="2" t="s">
        <v>72</v>
      </c>
      <c r="R113" s="2" t="s">
        <v>76</v>
      </c>
      <c r="S113" s="2" t="s">
        <v>72</v>
      </c>
      <c r="T113" s="2" t="s">
        <v>76</v>
      </c>
      <c r="U113" s="2" t="s">
        <v>72</v>
      </c>
      <c r="V113" s="2" t="s">
        <v>76</v>
      </c>
      <c r="W113" s="2" t="s">
        <v>76</v>
      </c>
      <c r="X113" s="2" t="s">
        <v>76</v>
      </c>
      <c r="Y113" s="2" t="s">
        <v>72</v>
      </c>
      <c r="Z113" s="2" t="s">
        <v>72</v>
      </c>
      <c r="AA113" s="2" t="s">
        <v>72</v>
      </c>
      <c r="AB113" s="2" t="s">
        <v>72</v>
      </c>
      <c r="AC113" s="2" t="s">
        <v>71</v>
      </c>
      <c r="AD113" s="2" t="s">
        <v>80</v>
      </c>
      <c r="AF113" s="4">
        <v>2</v>
      </c>
    </row>
    <row r="114" spans="1:32" ht="48" x14ac:dyDescent="0.2">
      <c r="A114" s="4">
        <v>39384513</v>
      </c>
      <c r="B114" s="2">
        <f>VLOOKUP(A114,[1]TRATAMIENTI!$A:$B,2,FALSE)</f>
        <v>495</v>
      </c>
      <c r="C114" s="4" t="s">
        <v>1171</v>
      </c>
      <c r="D114" s="4">
        <v>3016299448</v>
      </c>
      <c r="E114" s="4" t="s">
        <v>1172</v>
      </c>
      <c r="F114" s="4" t="s">
        <v>928</v>
      </c>
      <c r="G114" s="2" t="str">
        <f t="shared" si="1"/>
        <v>ANTIOQUIA</v>
      </c>
      <c r="H114" s="4" t="s">
        <v>924</v>
      </c>
      <c r="I114" s="4" t="s">
        <v>936</v>
      </c>
      <c r="J114" s="2" t="s">
        <v>71</v>
      </c>
      <c r="K114" s="2" t="s">
        <v>71</v>
      </c>
      <c r="L114" s="2" t="s">
        <v>71</v>
      </c>
      <c r="M114" s="2" t="s">
        <v>72</v>
      </c>
      <c r="N114" s="2" t="s">
        <v>76</v>
      </c>
      <c r="O114" s="2" t="s">
        <v>72</v>
      </c>
      <c r="P114" s="2" t="s">
        <v>72</v>
      </c>
      <c r="Q114" s="2" t="s">
        <v>72</v>
      </c>
      <c r="R114" s="2" t="s">
        <v>76</v>
      </c>
      <c r="S114" s="2" t="s">
        <v>72</v>
      </c>
      <c r="T114" s="2" t="s">
        <v>71</v>
      </c>
      <c r="U114" s="2" t="s">
        <v>72</v>
      </c>
      <c r="V114" s="2" t="s">
        <v>72</v>
      </c>
      <c r="W114" s="2" t="s">
        <v>72</v>
      </c>
      <c r="X114" s="2" t="s">
        <v>72</v>
      </c>
      <c r="Y114" s="2" t="s">
        <v>72</v>
      </c>
      <c r="Z114" s="2" t="s">
        <v>72</v>
      </c>
      <c r="AA114" s="2" t="s">
        <v>72</v>
      </c>
      <c r="AB114" s="2" t="s">
        <v>72</v>
      </c>
      <c r="AC114" s="2" t="s">
        <v>71</v>
      </c>
      <c r="AD114" s="2" t="s">
        <v>80</v>
      </c>
      <c r="AF114" s="4">
        <v>2</v>
      </c>
    </row>
    <row r="115" spans="1:32" ht="48" x14ac:dyDescent="0.2">
      <c r="A115" s="4">
        <v>41632550</v>
      </c>
      <c r="B115" s="2">
        <f>VLOOKUP(A115,[1]TRATAMIENTI!$A:$B,2,FALSE)</f>
        <v>496</v>
      </c>
      <c r="C115" s="4" t="s">
        <v>1173</v>
      </c>
      <c r="D115" s="4" t="s">
        <v>1174</v>
      </c>
      <c r="E115" s="4" t="s">
        <v>1175</v>
      </c>
      <c r="F115" s="4" t="s">
        <v>928</v>
      </c>
      <c r="G115" s="2" t="str">
        <f t="shared" si="1"/>
        <v>ANTIOQUIA</v>
      </c>
      <c r="H115" s="4" t="s">
        <v>924</v>
      </c>
      <c r="I115" s="4" t="s">
        <v>948</v>
      </c>
      <c r="J115" s="2" t="s">
        <v>71</v>
      </c>
      <c r="K115" s="2" t="s">
        <v>71</v>
      </c>
      <c r="L115" s="2" t="s">
        <v>71</v>
      </c>
      <c r="M115" s="2" t="s">
        <v>71</v>
      </c>
      <c r="N115" s="2" t="s">
        <v>71</v>
      </c>
      <c r="O115" s="2" t="s">
        <v>71</v>
      </c>
      <c r="P115" s="2" t="s">
        <v>71</v>
      </c>
      <c r="Q115" s="2" t="s">
        <v>71</v>
      </c>
      <c r="R115" s="2" t="s">
        <v>71</v>
      </c>
      <c r="S115" s="2" t="s">
        <v>71</v>
      </c>
      <c r="T115" s="2" t="s">
        <v>71</v>
      </c>
      <c r="U115" s="2" t="s">
        <v>71</v>
      </c>
      <c r="V115" s="2" t="s">
        <v>71</v>
      </c>
      <c r="W115" s="2" t="s">
        <v>72</v>
      </c>
      <c r="X115" s="2" t="s">
        <v>72</v>
      </c>
      <c r="Y115" s="2" t="s">
        <v>72</v>
      </c>
      <c r="Z115" s="2" t="s">
        <v>72</v>
      </c>
      <c r="AA115" s="2" t="s">
        <v>72</v>
      </c>
      <c r="AB115" s="2" t="s">
        <v>72</v>
      </c>
      <c r="AC115" s="2" t="s">
        <v>71</v>
      </c>
      <c r="AD115" s="2" t="s">
        <v>179</v>
      </c>
      <c r="AF115" s="4">
        <v>1</v>
      </c>
    </row>
    <row r="116" spans="1:32" ht="48" x14ac:dyDescent="0.2">
      <c r="A116" s="4">
        <v>42128788</v>
      </c>
      <c r="B116" s="2">
        <f>VLOOKUP(A116,[1]TRATAMIENTI!$A:$B,2,FALSE)</f>
        <v>497</v>
      </c>
      <c r="C116" s="4" t="s">
        <v>1176</v>
      </c>
      <c r="D116" s="4">
        <v>3183851737</v>
      </c>
      <c r="E116" s="4" t="s">
        <v>1177</v>
      </c>
      <c r="F116" s="4" t="s">
        <v>928</v>
      </c>
      <c r="G116" s="2" t="str">
        <f t="shared" si="1"/>
        <v>ANTIOQUIA</v>
      </c>
      <c r="H116" s="4" t="s">
        <v>924</v>
      </c>
      <c r="I116" s="4" t="s">
        <v>951</v>
      </c>
      <c r="J116" s="2" t="s">
        <v>71</v>
      </c>
      <c r="K116" s="2" t="s">
        <v>71</v>
      </c>
      <c r="L116" s="2" t="s">
        <v>71</v>
      </c>
      <c r="M116" s="2" t="s">
        <v>72</v>
      </c>
      <c r="N116" s="2" t="s">
        <v>71</v>
      </c>
      <c r="O116" s="2" t="s">
        <v>72</v>
      </c>
      <c r="P116" s="2" t="s">
        <v>72</v>
      </c>
      <c r="Q116" s="2" t="s">
        <v>72</v>
      </c>
      <c r="R116" s="2" t="s">
        <v>76</v>
      </c>
      <c r="S116" s="2" t="s">
        <v>71</v>
      </c>
      <c r="T116" s="2" t="s">
        <v>71</v>
      </c>
      <c r="U116" s="2" t="s">
        <v>71</v>
      </c>
      <c r="V116" s="2" t="s">
        <v>71</v>
      </c>
      <c r="W116" s="2" t="s">
        <v>71</v>
      </c>
      <c r="X116" s="2" t="s">
        <v>71</v>
      </c>
      <c r="Y116" s="2" t="s">
        <v>71</v>
      </c>
      <c r="Z116" s="2" t="s">
        <v>71</v>
      </c>
      <c r="AA116" s="2" t="s">
        <v>71</v>
      </c>
      <c r="AB116" s="2" t="s">
        <v>71</v>
      </c>
      <c r="AC116" s="2" t="s">
        <v>71</v>
      </c>
      <c r="AD116" s="2" t="s">
        <v>256</v>
      </c>
      <c r="AF116" s="4">
        <v>3</v>
      </c>
    </row>
    <row r="117" spans="1:32" ht="48" x14ac:dyDescent="0.2">
      <c r="A117" s="4">
        <v>42701708</v>
      </c>
      <c r="B117" s="2">
        <f>VLOOKUP(A117,[1]TRATAMIENTI!$A:$B,2,FALSE)</f>
        <v>498</v>
      </c>
      <c r="C117" s="4" t="s">
        <v>1178</v>
      </c>
      <c r="D117" s="4" t="s">
        <v>1179</v>
      </c>
      <c r="E117" s="4" t="s">
        <v>1180</v>
      </c>
      <c r="F117" s="4" t="s">
        <v>928</v>
      </c>
      <c r="G117" s="2" t="str">
        <f t="shared" si="1"/>
        <v>ANTIOQUIA</v>
      </c>
      <c r="H117" s="4" t="s">
        <v>924</v>
      </c>
      <c r="I117" s="4" t="s">
        <v>951</v>
      </c>
      <c r="J117" s="2" t="s">
        <v>71</v>
      </c>
      <c r="K117" s="2" t="s">
        <v>71</v>
      </c>
      <c r="L117" s="2" t="s">
        <v>71</v>
      </c>
      <c r="M117" s="2" t="s">
        <v>71</v>
      </c>
      <c r="N117" s="2" t="s">
        <v>71</v>
      </c>
      <c r="O117" s="2" t="s">
        <v>71</v>
      </c>
      <c r="P117" s="2" t="s">
        <v>71</v>
      </c>
      <c r="Q117" s="2" t="s">
        <v>71</v>
      </c>
      <c r="R117" s="2" t="s">
        <v>71</v>
      </c>
      <c r="S117" s="2" t="s">
        <v>71</v>
      </c>
      <c r="T117" s="2" t="s">
        <v>71</v>
      </c>
      <c r="U117" s="2" t="s">
        <v>71</v>
      </c>
      <c r="V117" s="2" t="s">
        <v>76</v>
      </c>
      <c r="W117" s="2" t="s">
        <v>76</v>
      </c>
      <c r="X117" s="2" t="s">
        <v>76</v>
      </c>
      <c r="Y117" s="2" t="s">
        <v>72</v>
      </c>
      <c r="Z117" s="2" t="s">
        <v>72</v>
      </c>
      <c r="AA117" s="2" t="s">
        <v>72</v>
      </c>
      <c r="AB117" s="2" t="s">
        <v>72</v>
      </c>
      <c r="AC117" s="2" t="s">
        <v>72</v>
      </c>
      <c r="AD117" s="2" t="s">
        <v>179</v>
      </c>
      <c r="AF117" s="4">
        <v>3</v>
      </c>
    </row>
    <row r="118" spans="1:32" ht="48" x14ac:dyDescent="0.2">
      <c r="A118" s="4">
        <v>42767896</v>
      </c>
      <c r="B118" s="2">
        <f>VLOOKUP(A118,[1]TRATAMIENTI!$A:$B,2,FALSE)</f>
        <v>499</v>
      </c>
      <c r="C118" s="4" t="s">
        <v>1181</v>
      </c>
      <c r="D118" s="4">
        <v>3008925867</v>
      </c>
      <c r="E118" s="4" t="s">
        <v>1182</v>
      </c>
      <c r="F118" s="4" t="s">
        <v>928</v>
      </c>
      <c r="G118" s="2" t="str">
        <f t="shared" si="1"/>
        <v>ANTIOQUIA</v>
      </c>
      <c r="H118" s="4" t="s">
        <v>924</v>
      </c>
      <c r="I118" s="4" t="s">
        <v>931</v>
      </c>
      <c r="J118" s="2" t="s">
        <v>71</v>
      </c>
      <c r="K118" s="2" t="s">
        <v>71</v>
      </c>
      <c r="L118" s="2" t="s">
        <v>71</v>
      </c>
      <c r="M118" s="2" t="s">
        <v>72</v>
      </c>
      <c r="N118" s="2" t="s">
        <v>71</v>
      </c>
      <c r="O118" s="2" t="s">
        <v>72</v>
      </c>
      <c r="P118" s="2" t="s">
        <v>72</v>
      </c>
      <c r="Q118" s="2" t="s">
        <v>72</v>
      </c>
      <c r="R118" s="2" t="s">
        <v>76</v>
      </c>
      <c r="S118" s="2" t="s">
        <v>72</v>
      </c>
      <c r="T118" s="2" t="s">
        <v>71</v>
      </c>
      <c r="U118" s="2" t="s">
        <v>72</v>
      </c>
      <c r="V118" s="2" t="s">
        <v>76</v>
      </c>
      <c r="W118" s="2" t="s">
        <v>76</v>
      </c>
      <c r="X118" s="2" t="s">
        <v>76</v>
      </c>
      <c r="Y118" s="2" t="s">
        <v>72</v>
      </c>
      <c r="Z118" s="2" t="s">
        <v>72</v>
      </c>
      <c r="AA118" s="2" t="s">
        <v>71</v>
      </c>
      <c r="AB118" s="2" t="s">
        <v>71</v>
      </c>
      <c r="AC118" s="2" t="s">
        <v>71</v>
      </c>
      <c r="AD118" s="2" t="s">
        <v>80</v>
      </c>
      <c r="AF118" s="4">
        <v>2</v>
      </c>
    </row>
    <row r="119" spans="1:32" ht="64" x14ac:dyDescent="0.2">
      <c r="A119" s="4">
        <v>42772039</v>
      </c>
      <c r="B119" s="2">
        <f>VLOOKUP(A119,[1]TRATAMIENTI!$A:$B,2,FALSE)</f>
        <v>500</v>
      </c>
      <c r="C119" s="4" t="s">
        <v>1183</v>
      </c>
      <c r="D119" s="4">
        <v>3023635132</v>
      </c>
      <c r="E119" s="4" t="s">
        <v>1184</v>
      </c>
      <c r="F119" s="4" t="s">
        <v>928</v>
      </c>
      <c r="G119" s="2" t="str">
        <f t="shared" si="1"/>
        <v>ANTIOQUIA</v>
      </c>
      <c r="H119" s="4" t="s">
        <v>924</v>
      </c>
      <c r="I119" s="4" t="s">
        <v>951</v>
      </c>
      <c r="J119" s="2" t="s">
        <v>76</v>
      </c>
      <c r="K119" s="2" t="s">
        <v>71</v>
      </c>
      <c r="L119" s="2" t="s">
        <v>71</v>
      </c>
      <c r="M119" s="2" t="s">
        <v>72</v>
      </c>
      <c r="N119" s="2" t="s">
        <v>71</v>
      </c>
      <c r="O119" s="2" t="s">
        <v>71</v>
      </c>
      <c r="P119" s="2" t="s">
        <v>72</v>
      </c>
      <c r="Q119" s="2" t="s">
        <v>72</v>
      </c>
      <c r="R119" s="2" t="s">
        <v>76</v>
      </c>
      <c r="S119" s="2" t="s">
        <v>71</v>
      </c>
      <c r="T119" s="2" t="s">
        <v>71</v>
      </c>
      <c r="U119" s="2" t="s">
        <v>72</v>
      </c>
      <c r="V119" s="2" t="s">
        <v>76</v>
      </c>
      <c r="W119" s="2" t="s">
        <v>76</v>
      </c>
      <c r="X119" s="2" t="s">
        <v>76</v>
      </c>
      <c r="Y119" s="2" t="s">
        <v>72</v>
      </c>
      <c r="Z119" s="2" t="s">
        <v>72</v>
      </c>
      <c r="AA119" s="2" t="s">
        <v>71</v>
      </c>
      <c r="AB119" s="2" t="s">
        <v>72</v>
      </c>
      <c r="AC119" s="2" t="s">
        <v>71</v>
      </c>
      <c r="AD119" s="2" t="s">
        <v>80</v>
      </c>
      <c r="AF119" s="4">
        <v>2</v>
      </c>
    </row>
    <row r="120" spans="1:32" ht="48" x14ac:dyDescent="0.2">
      <c r="A120" s="4">
        <v>42884497</v>
      </c>
      <c r="B120" s="2">
        <f>VLOOKUP(A120,[1]TRATAMIENTI!$A:$B,2,FALSE)</f>
        <v>501</v>
      </c>
      <c r="C120" s="4" t="s">
        <v>1185</v>
      </c>
      <c r="D120" s="4" t="s">
        <v>1186</v>
      </c>
      <c r="E120" s="4" t="s">
        <v>1187</v>
      </c>
      <c r="F120" s="4" t="s">
        <v>928</v>
      </c>
      <c r="G120" s="2" t="str">
        <f t="shared" si="1"/>
        <v>ANTIOQUIA</v>
      </c>
      <c r="H120" s="4" t="s">
        <v>924</v>
      </c>
      <c r="I120" s="4" t="s">
        <v>948</v>
      </c>
      <c r="J120" s="2" t="s">
        <v>71</v>
      </c>
      <c r="K120" s="2" t="s">
        <v>71</v>
      </c>
      <c r="L120" s="2" t="s">
        <v>71</v>
      </c>
      <c r="M120" s="2" t="s">
        <v>71</v>
      </c>
      <c r="N120" s="2" t="s">
        <v>71</v>
      </c>
      <c r="O120" s="2" t="s">
        <v>71</v>
      </c>
      <c r="P120" s="2" t="s">
        <v>71</v>
      </c>
      <c r="Q120" s="2" t="s">
        <v>71</v>
      </c>
      <c r="R120" s="2" t="s">
        <v>71</v>
      </c>
      <c r="S120" s="2" t="s">
        <v>71</v>
      </c>
      <c r="T120" s="2" t="s">
        <v>71</v>
      </c>
      <c r="U120" s="2" t="s">
        <v>71</v>
      </c>
      <c r="V120" s="2" t="s">
        <v>76</v>
      </c>
      <c r="W120" s="2" t="s">
        <v>76</v>
      </c>
      <c r="X120" s="2" t="s">
        <v>76</v>
      </c>
      <c r="Y120" s="2" t="s">
        <v>72</v>
      </c>
      <c r="Z120" s="2" t="s">
        <v>72</v>
      </c>
      <c r="AA120" s="2" t="s">
        <v>72</v>
      </c>
      <c r="AB120" s="2" t="s">
        <v>72</v>
      </c>
      <c r="AC120" s="2" t="s">
        <v>72</v>
      </c>
      <c r="AD120" s="2" t="s">
        <v>179</v>
      </c>
      <c r="AF120" s="4">
        <v>2</v>
      </c>
    </row>
    <row r="121" spans="1:32" ht="48" x14ac:dyDescent="0.2">
      <c r="A121" s="4">
        <v>42973581</v>
      </c>
      <c r="B121" s="2">
        <f>VLOOKUP(A121,[1]TRATAMIENTI!$A:$B,2,FALSE)</f>
        <v>502</v>
      </c>
      <c r="C121" s="4" t="s">
        <v>1188</v>
      </c>
      <c r="D121" s="4" t="s">
        <v>1189</v>
      </c>
      <c r="E121" s="4" t="s">
        <v>1190</v>
      </c>
      <c r="F121" s="4" t="s">
        <v>928</v>
      </c>
      <c r="G121" s="2" t="str">
        <f t="shared" si="1"/>
        <v>ANTIOQUIA</v>
      </c>
      <c r="H121" s="4" t="s">
        <v>924</v>
      </c>
      <c r="I121" s="4" t="s">
        <v>951</v>
      </c>
      <c r="J121" s="2" t="s">
        <v>76</v>
      </c>
      <c r="K121" s="2" t="s">
        <v>71</v>
      </c>
      <c r="L121" s="2" t="s">
        <v>71</v>
      </c>
      <c r="M121" s="2" t="s">
        <v>72</v>
      </c>
      <c r="N121" s="2" t="s">
        <v>71</v>
      </c>
      <c r="O121" s="2" t="s">
        <v>71</v>
      </c>
      <c r="P121" s="2" t="s">
        <v>72</v>
      </c>
      <c r="Q121" s="2" t="s">
        <v>72</v>
      </c>
      <c r="R121" s="2" t="s">
        <v>76</v>
      </c>
      <c r="S121" s="2" t="s">
        <v>72</v>
      </c>
      <c r="T121" s="2" t="s">
        <v>71</v>
      </c>
      <c r="U121" s="2" t="s">
        <v>72</v>
      </c>
      <c r="V121" s="2" t="s">
        <v>76</v>
      </c>
      <c r="W121" s="2" t="s">
        <v>76</v>
      </c>
      <c r="X121" s="2" t="s">
        <v>76</v>
      </c>
      <c r="Y121" s="2" t="s">
        <v>72</v>
      </c>
      <c r="Z121" s="2" t="s">
        <v>72</v>
      </c>
      <c r="AA121" s="2" t="s">
        <v>76</v>
      </c>
      <c r="AB121" s="2" t="s">
        <v>71</v>
      </c>
      <c r="AC121" s="2" t="s">
        <v>71</v>
      </c>
      <c r="AD121" s="2" t="s">
        <v>80</v>
      </c>
      <c r="AF121" s="4">
        <v>2</v>
      </c>
    </row>
    <row r="122" spans="1:32" ht="48" x14ac:dyDescent="0.2">
      <c r="A122" s="4">
        <v>42977679</v>
      </c>
      <c r="B122" s="2">
        <f>VLOOKUP(A122,[1]TRATAMIENTI!$A:$B,2,FALSE)</f>
        <v>503</v>
      </c>
      <c r="C122" s="4" t="s">
        <v>1191</v>
      </c>
      <c r="D122" s="4" t="s">
        <v>1192</v>
      </c>
      <c r="E122" s="4" t="s">
        <v>1193</v>
      </c>
      <c r="F122" s="4" t="s">
        <v>928</v>
      </c>
      <c r="G122" s="2" t="str">
        <f t="shared" si="1"/>
        <v>ANTIOQUIA</v>
      </c>
      <c r="H122" s="4" t="s">
        <v>924</v>
      </c>
      <c r="I122" s="4" t="s">
        <v>951</v>
      </c>
      <c r="J122" s="2" t="s">
        <v>71</v>
      </c>
      <c r="K122" s="2" t="s">
        <v>71</v>
      </c>
      <c r="L122" s="2" t="s">
        <v>71</v>
      </c>
      <c r="M122" s="2" t="s">
        <v>72</v>
      </c>
      <c r="N122" s="2" t="s">
        <v>71</v>
      </c>
      <c r="O122" s="2" t="s">
        <v>71</v>
      </c>
      <c r="P122" s="2" t="s">
        <v>72</v>
      </c>
      <c r="Q122" s="2" t="s">
        <v>72</v>
      </c>
      <c r="R122" s="2" t="s">
        <v>76</v>
      </c>
      <c r="S122" s="2" t="s">
        <v>76</v>
      </c>
      <c r="T122" s="2" t="s">
        <v>71</v>
      </c>
      <c r="U122" s="2" t="s">
        <v>71</v>
      </c>
      <c r="V122" s="2" t="s">
        <v>76</v>
      </c>
      <c r="W122" s="2" t="s">
        <v>76</v>
      </c>
      <c r="X122" s="2" t="s">
        <v>76</v>
      </c>
      <c r="Y122" s="2" t="s">
        <v>71</v>
      </c>
      <c r="Z122" s="2" t="s">
        <v>71</v>
      </c>
      <c r="AA122" s="2" t="s">
        <v>71</v>
      </c>
      <c r="AB122" s="2" t="s">
        <v>71</v>
      </c>
      <c r="AC122" s="2" t="s">
        <v>71</v>
      </c>
      <c r="AD122" s="2" t="s">
        <v>80</v>
      </c>
      <c r="AF122" s="4">
        <v>3</v>
      </c>
    </row>
    <row r="123" spans="1:32" ht="48" x14ac:dyDescent="0.2">
      <c r="A123" s="4">
        <v>42991676</v>
      </c>
      <c r="B123" s="2">
        <f>VLOOKUP(A123,[1]TRATAMIENTI!$A:$B,2,FALSE)</f>
        <v>504</v>
      </c>
      <c r="C123" s="4" t="s">
        <v>1194</v>
      </c>
      <c r="D123" s="4">
        <v>3128382959</v>
      </c>
      <c r="E123" s="4" t="s">
        <v>1195</v>
      </c>
      <c r="F123" s="4" t="s">
        <v>928</v>
      </c>
      <c r="G123" s="2" t="str">
        <f t="shared" si="1"/>
        <v>ANTIOQUIA</v>
      </c>
      <c r="H123" s="4" t="s">
        <v>924</v>
      </c>
      <c r="I123" s="4" t="s">
        <v>951</v>
      </c>
      <c r="J123" s="2" t="s">
        <v>76</v>
      </c>
      <c r="K123" s="2" t="s">
        <v>76</v>
      </c>
      <c r="L123" s="2" t="s">
        <v>71</v>
      </c>
      <c r="M123" s="2" t="s">
        <v>76</v>
      </c>
      <c r="N123" s="2" t="s">
        <v>71</v>
      </c>
      <c r="O123" s="2" t="s">
        <v>72</v>
      </c>
      <c r="P123" s="2" t="s">
        <v>72</v>
      </c>
      <c r="Q123" s="2" t="s">
        <v>72</v>
      </c>
      <c r="R123" s="2" t="s">
        <v>76</v>
      </c>
      <c r="S123" s="2" t="s">
        <v>72</v>
      </c>
      <c r="T123" s="2" t="s">
        <v>72</v>
      </c>
      <c r="U123" s="2" t="s">
        <v>72</v>
      </c>
      <c r="V123" s="2" t="s">
        <v>76</v>
      </c>
      <c r="W123" s="2" t="s">
        <v>76</v>
      </c>
      <c r="X123" s="2" t="s">
        <v>76</v>
      </c>
      <c r="Y123" s="2"/>
      <c r="Z123" s="2" t="s">
        <v>72</v>
      </c>
      <c r="AA123" s="2" t="s">
        <v>72</v>
      </c>
      <c r="AB123" s="2" t="s">
        <v>72</v>
      </c>
      <c r="AC123" s="2" t="s">
        <v>72</v>
      </c>
      <c r="AD123" s="2" t="s">
        <v>91</v>
      </c>
      <c r="AF123" s="4">
        <v>1</v>
      </c>
    </row>
    <row r="124" spans="1:32" ht="48" x14ac:dyDescent="0.2">
      <c r="A124" s="4">
        <v>42995862</v>
      </c>
      <c r="B124" s="2">
        <f>VLOOKUP(A124,[1]TRATAMIENTI!$A:$B,2,FALSE)</f>
        <v>505</v>
      </c>
      <c r="C124" s="4" t="s">
        <v>1196</v>
      </c>
      <c r="D124" s="4">
        <v>3045646378</v>
      </c>
      <c r="E124" s="4" t="s">
        <v>1197</v>
      </c>
      <c r="F124" s="4" t="s">
        <v>928</v>
      </c>
      <c r="G124" s="2" t="str">
        <f t="shared" si="1"/>
        <v>ANTIOQUIA</v>
      </c>
      <c r="H124" s="4" t="s">
        <v>924</v>
      </c>
      <c r="I124" s="4" t="s">
        <v>951</v>
      </c>
      <c r="J124" s="2" t="s">
        <v>76</v>
      </c>
      <c r="K124" s="2" t="s">
        <v>71</v>
      </c>
      <c r="L124" s="2" t="s">
        <v>71</v>
      </c>
      <c r="M124" s="2" t="s">
        <v>72</v>
      </c>
      <c r="N124" s="2" t="s">
        <v>71</v>
      </c>
      <c r="O124" s="2" t="s">
        <v>72</v>
      </c>
      <c r="P124" s="2" t="s">
        <v>72</v>
      </c>
      <c r="Q124" s="2" t="s">
        <v>72</v>
      </c>
      <c r="R124" s="2" t="s">
        <v>76</v>
      </c>
      <c r="S124" s="2" t="s">
        <v>72</v>
      </c>
      <c r="T124" s="2" t="s">
        <v>76</v>
      </c>
      <c r="U124" s="2" t="s">
        <v>72</v>
      </c>
      <c r="V124" s="2" t="s">
        <v>76</v>
      </c>
      <c r="W124" s="2" t="s">
        <v>76</v>
      </c>
      <c r="X124" s="2" t="s">
        <v>76</v>
      </c>
      <c r="Y124" s="2" t="s">
        <v>72</v>
      </c>
      <c r="Z124" s="2" t="s">
        <v>72</v>
      </c>
      <c r="AA124" s="2" t="s">
        <v>72</v>
      </c>
      <c r="AB124" s="2" t="s">
        <v>76</v>
      </c>
      <c r="AC124" s="2" t="s">
        <v>71</v>
      </c>
      <c r="AD124" s="2" t="s">
        <v>80</v>
      </c>
      <c r="AF124" s="4">
        <v>2</v>
      </c>
    </row>
    <row r="125" spans="1:32" ht="48" x14ac:dyDescent="0.2">
      <c r="A125" s="4">
        <v>43034542</v>
      </c>
      <c r="B125" s="2">
        <f>VLOOKUP(A125,[1]TRATAMIENTI!$A:$B,2,FALSE)</f>
        <v>506</v>
      </c>
      <c r="C125" s="4" t="s">
        <v>1198</v>
      </c>
      <c r="D125" s="4">
        <v>3006735539</v>
      </c>
      <c r="E125" s="4" t="s">
        <v>1199</v>
      </c>
      <c r="F125" s="4" t="s">
        <v>928</v>
      </c>
      <c r="G125" s="2" t="str">
        <f t="shared" si="1"/>
        <v>ANTIOQUIA</v>
      </c>
      <c r="H125" s="4" t="s">
        <v>924</v>
      </c>
      <c r="I125" s="4" t="s">
        <v>948</v>
      </c>
      <c r="J125" s="2" t="s">
        <v>71</v>
      </c>
      <c r="K125" s="2" t="s">
        <v>71</v>
      </c>
      <c r="L125" s="2" t="s">
        <v>71</v>
      </c>
      <c r="M125" s="2" t="s">
        <v>72</v>
      </c>
      <c r="N125" s="2" t="s">
        <v>76</v>
      </c>
      <c r="O125" s="2" t="s">
        <v>72</v>
      </c>
      <c r="P125" s="2" t="s">
        <v>72</v>
      </c>
      <c r="Q125" s="2" t="s">
        <v>72</v>
      </c>
      <c r="R125" s="2" t="s">
        <v>76</v>
      </c>
      <c r="S125" s="2" t="s">
        <v>71</v>
      </c>
      <c r="T125" s="2" t="s">
        <v>76</v>
      </c>
      <c r="U125" s="2" t="s">
        <v>72</v>
      </c>
      <c r="V125" s="2" t="s">
        <v>76</v>
      </c>
      <c r="W125" s="2" t="s">
        <v>76</v>
      </c>
      <c r="X125" s="2" t="s">
        <v>76</v>
      </c>
      <c r="Y125" s="2" t="s">
        <v>71</v>
      </c>
      <c r="Z125" s="2" t="s">
        <v>72</v>
      </c>
      <c r="AA125" s="2" t="s">
        <v>71</v>
      </c>
      <c r="AB125" s="2" t="s">
        <v>71</v>
      </c>
      <c r="AC125" s="2" t="s">
        <v>71</v>
      </c>
      <c r="AD125" s="2" t="s">
        <v>80</v>
      </c>
      <c r="AF125" s="4">
        <v>2</v>
      </c>
    </row>
    <row r="126" spans="1:32" ht="48" x14ac:dyDescent="0.2">
      <c r="A126" s="4">
        <v>43057779</v>
      </c>
      <c r="B126" s="2">
        <f>VLOOKUP(A126,[1]TRATAMIENTI!$A:$B,2,FALSE)</f>
        <v>507</v>
      </c>
      <c r="C126" s="4" t="s">
        <v>1200</v>
      </c>
      <c r="D126" s="4">
        <v>3013355682</v>
      </c>
      <c r="E126" s="4" t="s">
        <v>1201</v>
      </c>
      <c r="F126" s="4" t="s">
        <v>928</v>
      </c>
      <c r="G126" s="2" t="str">
        <f t="shared" si="1"/>
        <v>ANTIOQUIA</v>
      </c>
      <c r="H126" s="4" t="s">
        <v>924</v>
      </c>
      <c r="I126" s="4" t="s">
        <v>941</v>
      </c>
      <c r="J126" s="2" t="s">
        <v>71</v>
      </c>
      <c r="K126" s="2" t="s">
        <v>76</v>
      </c>
      <c r="L126" s="2" t="s">
        <v>71</v>
      </c>
      <c r="M126" s="2" t="s">
        <v>72</v>
      </c>
      <c r="N126" s="2" t="s">
        <v>71</v>
      </c>
      <c r="O126" s="2" t="s">
        <v>72</v>
      </c>
      <c r="P126" s="2" t="s">
        <v>72</v>
      </c>
      <c r="Q126" s="2" t="s">
        <v>72</v>
      </c>
      <c r="R126" s="2" t="s">
        <v>76</v>
      </c>
      <c r="S126" s="2" t="s">
        <v>72</v>
      </c>
      <c r="T126" s="2" t="s">
        <v>71</v>
      </c>
      <c r="U126" s="2" t="s">
        <v>72</v>
      </c>
      <c r="V126" s="2" t="s">
        <v>71</v>
      </c>
      <c r="W126" s="2" t="s">
        <v>71</v>
      </c>
      <c r="X126" s="2" t="s">
        <v>71</v>
      </c>
      <c r="Y126" s="2" t="s">
        <v>71</v>
      </c>
      <c r="Z126" s="2" t="s">
        <v>71</v>
      </c>
      <c r="AA126" s="2" t="s">
        <v>71</v>
      </c>
      <c r="AB126" s="2" t="s">
        <v>71</v>
      </c>
      <c r="AC126" s="2" t="s">
        <v>71</v>
      </c>
      <c r="AD126" s="2" t="s">
        <v>85</v>
      </c>
      <c r="AF126" s="4">
        <v>2</v>
      </c>
    </row>
    <row r="127" spans="1:32" ht="48" x14ac:dyDescent="0.2">
      <c r="A127" s="4">
        <v>43062092</v>
      </c>
      <c r="B127" s="2">
        <f>VLOOKUP(A127,[1]TRATAMIENTI!$A:$B,2,FALSE)</f>
        <v>508</v>
      </c>
      <c r="C127" s="4" t="s">
        <v>1202</v>
      </c>
      <c r="D127" s="4">
        <v>3012435725</v>
      </c>
      <c r="E127" s="4" t="s">
        <v>1203</v>
      </c>
      <c r="F127" s="4" t="s">
        <v>928</v>
      </c>
      <c r="G127" s="2" t="str">
        <f t="shared" si="1"/>
        <v>ANTIOQUIA</v>
      </c>
      <c r="H127" s="4" t="s">
        <v>924</v>
      </c>
      <c r="I127" s="4" t="s">
        <v>951</v>
      </c>
      <c r="J127" s="2" t="s">
        <v>71</v>
      </c>
      <c r="K127" s="2" t="s">
        <v>71</v>
      </c>
      <c r="L127" s="2" t="s">
        <v>71</v>
      </c>
      <c r="M127" s="2" t="s">
        <v>71</v>
      </c>
      <c r="N127" s="2" t="s">
        <v>71</v>
      </c>
      <c r="O127" s="2" t="s">
        <v>71</v>
      </c>
      <c r="P127" s="2" t="s">
        <v>71</v>
      </c>
      <c r="Q127" s="2" t="s">
        <v>71</v>
      </c>
      <c r="R127" s="2" t="s">
        <v>71</v>
      </c>
      <c r="S127" s="2" t="s">
        <v>71</v>
      </c>
      <c r="T127" s="2" t="s">
        <v>71</v>
      </c>
      <c r="U127" s="2" t="s">
        <v>71</v>
      </c>
      <c r="V127" s="2" t="s">
        <v>76</v>
      </c>
      <c r="W127" s="2" t="s">
        <v>76</v>
      </c>
      <c r="X127" s="2" t="s">
        <v>76</v>
      </c>
      <c r="Y127" s="2" t="s">
        <v>72</v>
      </c>
      <c r="Z127" s="2" t="s">
        <v>72</v>
      </c>
      <c r="AA127" s="2" t="s">
        <v>72</v>
      </c>
      <c r="AB127" s="2" t="s">
        <v>72</v>
      </c>
      <c r="AC127" s="2" t="s">
        <v>72</v>
      </c>
      <c r="AD127" s="2" t="s">
        <v>77</v>
      </c>
      <c r="AF127" s="4">
        <v>2</v>
      </c>
    </row>
    <row r="128" spans="1:32" ht="48" x14ac:dyDescent="0.2">
      <c r="A128" s="4">
        <v>43066859</v>
      </c>
      <c r="B128" s="2">
        <f>VLOOKUP(A128,[1]TRATAMIENTI!$A:$B,2,FALSE)</f>
        <v>509</v>
      </c>
      <c r="C128" s="4" t="s">
        <v>1204</v>
      </c>
      <c r="D128" s="4" t="s">
        <v>1205</v>
      </c>
      <c r="E128" s="4" t="s">
        <v>1206</v>
      </c>
      <c r="F128" s="4" t="s">
        <v>928</v>
      </c>
      <c r="G128" s="2" t="str">
        <f t="shared" si="1"/>
        <v>ANTIOQUIA</v>
      </c>
      <c r="H128" s="4" t="s">
        <v>924</v>
      </c>
      <c r="I128" s="4" t="s">
        <v>951</v>
      </c>
      <c r="J128" s="2" t="s">
        <v>76</v>
      </c>
      <c r="K128" s="2" t="s">
        <v>71</v>
      </c>
      <c r="L128" s="2" t="s">
        <v>71</v>
      </c>
      <c r="M128" s="2" t="s">
        <v>72</v>
      </c>
      <c r="N128" s="2" t="s">
        <v>71</v>
      </c>
      <c r="O128" s="2" t="s">
        <v>72</v>
      </c>
      <c r="P128" s="2" t="s">
        <v>72</v>
      </c>
      <c r="Q128" s="2" t="s">
        <v>72</v>
      </c>
      <c r="R128" s="2" t="s">
        <v>76</v>
      </c>
      <c r="S128" s="2" t="s">
        <v>72</v>
      </c>
      <c r="T128" s="2" t="s">
        <v>72</v>
      </c>
      <c r="U128" s="2" t="s">
        <v>72</v>
      </c>
      <c r="V128" s="2" t="s">
        <v>76</v>
      </c>
      <c r="W128" s="2" t="s">
        <v>76</v>
      </c>
      <c r="X128" s="2" t="s">
        <v>76</v>
      </c>
      <c r="Y128" s="2" t="s">
        <v>72</v>
      </c>
      <c r="Z128" s="2" t="s">
        <v>72</v>
      </c>
      <c r="AA128" s="2" t="s">
        <v>72</v>
      </c>
      <c r="AB128" s="2" t="s">
        <v>72</v>
      </c>
      <c r="AC128" s="2" t="s">
        <v>71</v>
      </c>
      <c r="AD128" s="2" t="s">
        <v>80</v>
      </c>
      <c r="AF128" s="4">
        <v>2</v>
      </c>
    </row>
    <row r="129" spans="1:32" ht="48" x14ac:dyDescent="0.2">
      <c r="A129" s="4">
        <v>43069093</v>
      </c>
      <c r="B129" s="2">
        <f>VLOOKUP(A129,[1]TRATAMIENTI!$A:$B,2,FALSE)</f>
        <v>510</v>
      </c>
      <c r="C129" s="4" t="s">
        <v>1207</v>
      </c>
      <c r="D129" s="4">
        <v>3148190476</v>
      </c>
      <c r="E129" s="4" t="s">
        <v>1208</v>
      </c>
      <c r="F129" s="4" t="s">
        <v>928</v>
      </c>
      <c r="G129" s="2" t="str">
        <f t="shared" si="1"/>
        <v>ANTIOQUIA</v>
      </c>
      <c r="H129" s="4" t="s">
        <v>924</v>
      </c>
      <c r="I129" s="4" t="s">
        <v>951</v>
      </c>
      <c r="J129" s="2" t="s">
        <v>76</v>
      </c>
      <c r="K129" s="2" t="s">
        <v>71</v>
      </c>
      <c r="L129" s="2" t="s">
        <v>71</v>
      </c>
      <c r="M129" s="2" t="s">
        <v>72</v>
      </c>
      <c r="N129" s="2" t="s">
        <v>71</v>
      </c>
      <c r="O129" s="2" t="s">
        <v>72</v>
      </c>
      <c r="P129" s="2" t="s">
        <v>72</v>
      </c>
      <c r="Q129" s="2" t="s">
        <v>72</v>
      </c>
      <c r="R129" s="2" t="s">
        <v>76</v>
      </c>
      <c r="S129" s="2" t="s">
        <v>72</v>
      </c>
      <c r="T129" s="2" t="s">
        <v>76</v>
      </c>
      <c r="U129" s="2" t="s">
        <v>72</v>
      </c>
      <c r="V129" s="2" t="s">
        <v>76</v>
      </c>
      <c r="W129" s="2" t="s">
        <v>76</v>
      </c>
      <c r="X129" s="2" t="s">
        <v>76</v>
      </c>
      <c r="Y129" s="2" t="s">
        <v>71</v>
      </c>
      <c r="Z129" s="2" t="s">
        <v>76</v>
      </c>
      <c r="AA129" s="2" t="s">
        <v>71</v>
      </c>
      <c r="AB129" s="2" t="s">
        <v>71</v>
      </c>
      <c r="AC129" s="2" t="s">
        <v>71</v>
      </c>
      <c r="AD129" s="2" t="s">
        <v>80</v>
      </c>
      <c r="AF129" s="4">
        <v>2</v>
      </c>
    </row>
    <row r="130" spans="1:32" ht="48" x14ac:dyDescent="0.2">
      <c r="A130" s="4">
        <v>43070884</v>
      </c>
      <c r="B130" s="2">
        <f>VLOOKUP(A130,[1]TRATAMIENTI!$A:$B,2,FALSE)</f>
        <v>511</v>
      </c>
      <c r="C130" s="4" t="s">
        <v>1209</v>
      </c>
      <c r="D130" s="4">
        <v>3013981557</v>
      </c>
      <c r="E130" s="4" t="s">
        <v>1210</v>
      </c>
      <c r="F130" s="4" t="s">
        <v>928</v>
      </c>
      <c r="G130" s="2" t="str">
        <f t="shared" ref="G130:G193" si="2">IF(H130="CALI","VALLE DEL CAUCA",IF(H130="MEDELLIN","ANTIOQUIA",IF(H130="BARRANQUILLA","ATLANTICO","NO")))</f>
        <v>ANTIOQUIA</v>
      </c>
      <c r="H130" s="4" t="s">
        <v>924</v>
      </c>
      <c r="I130" s="4" t="s">
        <v>931</v>
      </c>
      <c r="J130" s="2" t="s">
        <v>71</v>
      </c>
      <c r="K130" s="2" t="s">
        <v>71</v>
      </c>
      <c r="L130" s="2" t="s">
        <v>71</v>
      </c>
      <c r="M130" s="2" t="s">
        <v>71</v>
      </c>
      <c r="N130" s="2" t="s">
        <v>71</v>
      </c>
      <c r="O130" s="2" t="s">
        <v>71</v>
      </c>
      <c r="P130" s="2" t="s">
        <v>71</v>
      </c>
      <c r="Q130" s="2" t="s">
        <v>71</v>
      </c>
      <c r="R130" s="2" t="s">
        <v>76</v>
      </c>
      <c r="S130" s="2" t="s">
        <v>72</v>
      </c>
      <c r="T130" s="2" t="s">
        <v>71</v>
      </c>
      <c r="U130" s="2" t="s">
        <v>72</v>
      </c>
      <c r="V130" s="2" t="s">
        <v>76</v>
      </c>
      <c r="W130" s="2" t="s">
        <v>76</v>
      </c>
      <c r="X130" s="2" t="s">
        <v>76</v>
      </c>
      <c r="Y130" s="2" t="s">
        <v>72</v>
      </c>
      <c r="Z130" s="2" t="s">
        <v>72</v>
      </c>
      <c r="AA130" s="2" t="s">
        <v>72</v>
      </c>
      <c r="AB130" s="2" t="s">
        <v>71</v>
      </c>
      <c r="AC130" s="2" t="s">
        <v>71</v>
      </c>
      <c r="AD130" s="2" t="s">
        <v>80</v>
      </c>
      <c r="AF130" s="4">
        <v>2</v>
      </c>
    </row>
    <row r="131" spans="1:32" ht="48" x14ac:dyDescent="0.2">
      <c r="A131" s="4">
        <v>43075851</v>
      </c>
      <c r="B131" s="2">
        <f>VLOOKUP(A131,[1]TRATAMIENTI!$A:$B,2,FALSE)</f>
        <v>512</v>
      </c>
      <c r="C131" s="4" t="s">
        <v>1211</v>
      </c>
      <c r="D131" s="4">
        <v>3143907111</v>
      </c>
      <c r="E131" s="4" t="s">
        <v>1212</v>
      </c>
      <c r="F131" s="4" t="s">
        <v>928</v>
      </c>
      <c r="G131" s="2" t="str">
        <f t="shared" si="2"/>
        <v>ANTIOQUIA</v>
      </c>
      <c r="H131" s="4" t="s">
        <v>924</v>
      </c>
      <c r="I131" s="4" t="s">
        <v>948</v>
      </c>
      <c r="J131" s="2" t="s">
        <v>71</v>
      </c>
      <c r="K131" s="2" t="s">
        <v>71</v>
      </c>
      <c r="L131" s="2" t="s">
        <v>71</v>
      </c>
      <c r="M131" s="2" t="s">
        <v>72</v>
      </c>
      <c r="N131" s="2" t="s">
        <v>71</v>
      </c>
      <c r="O131" s="2" t="s">
        <v>72</v>
      </c>
      <c r="P131" s="2" t="s">
        <v>72</v>
      </c>
      <c r="Q131" s="2" t="s">
        <v>72</v>
      </c>
      <c r="R131" s="2" t="s">
        <v>76</v>
      </c>
      <c r="S131" s="2" t="s">
        <v>72</v>
      </c>
      <c r="T131" s="2" t="s">
        <v>76</v>
      </c>
      <c r="U131" s="2" t="s">
        <v>72</v>
      </c>
      <c r="V131" s="2" t="s">
        <v>76</v>
      </c>
      <c r="W131" s="2" t="s">
        <v>76</v>
      </c>
      <c r="X131" s="2" t="s">
        <v>76</v>
      </c>
      <c r="Y131" s="2" t="s">
        <v>71</v>
      </c>
      <c r="Z131" s="2" t="s">
        <v>72</v>
      </c>
      <c r="AA131" s="2" t="s">
        <v>71</v>
      </c>
      <c r="AB131" s="2" t="s">
        <v>71</v>
      </c>
      <c r="AC131" s="2" t="s">
        <v>71</v>
      </c>
      <c r="AD131" s="2" t="s">
        <v>80</v>
      </c>
      <c r="AF131" s="4">
        <v>3</v>
      </c>
    </row>
    <row r="132" spans="1:32" ht="48" x14ac:dyDescent="0.2">
      <c r="A132" s="4">
        <v>43085637</v>
      </c>
      <c r="B132" s="2">
        <f>VLOOKUP(A132,[1]TRATAMIENTI!$A:$B,2,FALSE)</f>
        <v>513</v>
      </c>
      <c r="C132" s="4" t="s">
        <v>1213</v>
      </c>
      <c r="D132" s="4">
        <v>3105101236</v>
      </c>
      <c r="E132" s="4" t="s">
        <v>1214</v>
      </c>
      <c r="F132" s="4" t="s">
        <v>928</v>
      </c>
      <c r="G132" s="2" t="str">
        <f t="shared" si="2"/>
        <v>ANTIOQUIA</v>
      </c>
      <c r="H132" s="4" t="s">
        <v>924</v>
      </c>
      <c r="I132" s="4" t="s">
        <v>936</v>
      </c>
      <c r="J132" s="2" t="s">
        <v>71</v>
      </c>
      <c r="K132" s="2" t="s">
        <v>71</v>
      </c>
      <c r="L132" s="2" t="s">
        <v>71</v>
      </c>
      <c r="M132" s="2" t="s">
        <v>72</v>
      </c>
      <c r="N132" s="2" t="s">
        <v>76</v>
      </c>
      <c r="O132" s="2" t="s">
        <v>72</v>
      </c>
      <c r="P132" s="2" t="s">
        <v>72</v>
      </c>
      <c r="Q132" s="2" t="s">
        <v>72</v>
      </c>
      <c r="R132" s="2" t="s">
        <v>76</v>
      </c>
      <c r="S132" s="2" t="s">
        <v>72</v>
      </c>
      <c r="T132" s="2" t="s">
        <v>71</v>
      </c>
      <c r="U132" s="2" t="s">
        <v>72</v>
      </c>
      <c r="V132" s="2" t="s">
        <v>76</v>
      </c>
      <c r="W132" s="2" t="s">
        <v>76</v>
      </c>
      <c r="X132" s="2" t="s">
        <v>76</v>
      </c>
      <c r="Y132" s="2" t="s">
        <v>72</v>
      </c>
      <c r="Z132" s="2" t="s">
        <v>72</v>
      </c>
      <c r="AA132" s="2" t="s">
        <v>72</v>
      </c>
      <c r="AB132" s="2" t="s">
        <v>72</v>
      </c>
      <c r="AC132" s="2" t="s">
        <v>71</v>
      </c>
      <c r="AD132" s="2" t="s">
        <v>80</v>
      </c>
      <c r="AF132" s="4">
        <v>2</v>
      </c>
    </row>
    <row r="133" spans="1:32" ht="48" x14ac:dyDescent="0.2">
      <c r="A133" s="4">
        <v>43100739</v>
      </c>
      <c r="B133" s="2">
        <f>VLOOKUP(A133,[1]TRATAMIENTI!$A:$B,2,FALSE)</f>
        <v>514</v>
      </c>
      <c r="C133" s="4" t="s">
        <v>1215</v>
      </c>
      <c r="D133" s="4">
        <v>3197532950</v>
      </c>
      <c r="E133" s="4" t="s">
        <v>1216</v>
      </c>
      <c r="F133" s="4" t="s">
        <v>928</v>
      </c>
      <c r="G133" s="2" t="str">
        <f t="shared" si="2"/>
        <v>ANTIOQUIA</v>
      </c>
      <c r="H133" s="4" t="s">
        <v>924</v>
      </c>
      <c r="I133" s="4" t="s">
        <v>931</v>
      </c>
      <c r="J133" s="2" t="s">
        <v>71</v>
      </c>
      <c r="K133" s="2" t="s">
        <v>71</v>
      </c>
      <c r="L133" s="2" t="s">
        <v>71</v>
      </c>
      <c r="M133" s="2" t="s">
        <v>72</v>
      </c>
      <c r="N133" s="2" t="s">
        <v>71</v>
      </c>
      <c r="O133" s="2" t="s">
        <v>72</v>
      </c>
      <c r="P133" s="2" t="s">
        <v>72</v>
      </c>
      <c r="Q133" s="2" t="s">
        <v>72</v>
      </c>
      <c r="R133" s="2" t="s">
        <v>76</v>
      </c>
      <c r="S133" s="2" t="s">
        <v>72</v>
      </c>
      <c r="T133" s="2" t="s">
        <v>76</v>
      </c>
      <c r="U133" s="2" t="s">
        <v>72</v>
      </c>
      <c r="V133" s="2" t="s">
        <v>76</v>
      </c>
      <c r="W133" s="2" t="s">
        <v>76</v>
      </c>
      <c r="X133" s="2" t="s">
        <v>76</v>
      </c>
      <c r="Y133" s="2" t="s">
        <v>72</v>
      </c>
      <c r="Z133" s="2" t="s">
        <v>72</v>
      </c>
      <c r="AA133" s="2" t="s">
        <v>72</v>
      </c>
      <c r="AB133" s="2" t="s">
        <v>72</v>
      </c>
      <c r="AC133" s="2" t="s">
        <v>71</v>
      </c>
      <c r="AD133" s="2" t="s">
        <v>80</v>
      </c>
      <c r="AF133" s="4">
        <v>2</v>
      </c>
    </row>
    <row r="134" spans="1:32" ht="64" x14ac:dyDescent="0.2">
      <c r="A134" s="4">
        <v>43101586</v>
      </c>
      <c r="B134" s="2">
        <f>VLOOKUP(A134,[1]TRATAMIENTI!$A:$B,2,FALSE)</f>
        <v>515</v>
      </c>
      <c r="C134" s="4" t="s">
        <v>1217</v>
      </c>
      <c r="D134" s="4">
        <v>3045560975</v>
      </c>
      <c r="E134" s="4" t="s">
        <v>1218</v>
      </c>
      <c r="F134" s="4" t="s">
        <v>928</v>
      </c>
      <c r="G134" s="2" t="str">
        <f t="shared" si="2"/>
        <v>ANTIOQUIA</v>
      </c>
      <c r="H134" s="4" t="s">
        <v>924</v>
      </c>
      <c r="I134" s="4" t="s">
        <v>951</v>
      </c>
      <c r="J134" s="2" t="s">
        <v>71</v>
      </c>
      <c r="K134" s="2" t="s">
        <v>71</v>
      </c>
      <c r="L134" s="2" t="s">
        <v>71</v>
      </c>
      <c r="M134" s="2" t="s">
        <v>72</v>
      </c>
      <c r="N134" s="2" t="s">
        <v>72</v>
      </c>
      <c r="O134" s="2" t="s">
        <v>72</v>
      </c>
      <c r="P134" s="2" t="s">
        <v>72</v>
      </c>
      <c r="Q134" s="2" t="s">
        <v>72</v>
      </c>
      <c r="R134" s="2" t="s">
        <v>76</v>
      </c>
      <c r="S134" s="2" t="s">
        <v>72</v>
      </c>
      <c r="T134" s="2" t="s">
        <v>72</v>
      </c>
      <c r="U134" s="2" t="s">
        <v>72</v>
      </c>
      <c r="V134" s="2" t="s">
        <v>72</v>
      </c>
      <c r="W134" s="2" t="s">
        <v>76</v>
      </c>
      <c r="X134" s="2" t="s">
        <v>76</v>
      </c>
      <c r="Y134" s="2" t="s">
        <v>72</v>
      </c>
      <c r="Z134" s="2" t="s">
        <v>72</v>
      </c>
      <c r="AA134" s="2" t="s">
        <v>72</v>
      </c>
      <c r="AB134" s="2" t="s">
        <v>72</v>
      </c>
      <c r="AC134" s="2" t="s">
        <v>76</v>
      </c>
      <c r="AD134" s="2" t="s">
        <v>80</v>
      </c>
      <c r="AF134" s="4">
        <v>3</v>
      </c>
    </row>
    <row r="135" spans="1:32" ht="48" x14ac:dyDescent="0.2">
      <c r="A135" s="4">
        <v>43141643</v>
      </c>
      <c r="B135" s="2">
        <f>VLOOKUP(A135,[1]TRATAMIENTI!$A:$B,2,FALSE)</f>
        <v>516</v>
      </c>
      <c r="C135" s="4" t="s">
        <v>1219</v>
      </c>
      <c r="D135" s="4">
        <v>3136539769</v>
      </c>
      <c r="E135" s="4" t="s">
        <v>1220</v>
      </c>
      <c r="F135" s="4" t="s">
        <v>928</v>
      </c>
      <c r="G135" s="2" t="str">
        <f t="shared" si="2"/>
        <v>ANTIOQUIA</v>
      </c>
      <c r="H135" s="4" t="s">
        <v>924</v>
      </c>
      <c r="I135" s="4" t="s">
        <v>948</v>
      </c>
      <c r="J135" s="2" t="s">
        <v>76</v>
      </c>
      <c r="K135" s="2" t="s">
        <v>71</v>
      </c>
      <c r="L135" s="2" t="s">
        <v>71</v>
      </c>
      <c r="M135" s="2" t="s">
        <v>76</v>
      </c>
      <c r="N135" s="2" t="s">
        <v>76</v>
      </c>
      <c r="O135" s="2" t="s">
        <v>76</v>
      </c>
      <c r="P135" s="2" t="s">
        <v>76</v>
      </c>
      <c r="Q135" s="2" t="s">
        <v>76</v>
      </c>
      <c r="R135" s="2" t="s">
        <v>76</v>
      </c>
      <c r="S135" s="2" t="s">
        <v>72</v>
      </c>
      <c r="T135" s="2" t="s">
        <v>72</v>
      </c>
      <c r="U135" s="2" t="s">
        <v>72</v>
      </c>
      <c r="V135" s="2" t="s">
        <v>76</v>
      </c>
      <c r="W135" s="2" t="s">
        <v>76</v>
      </c>
      <c r="X135" s="2" t="s">
        <v>76</v>
      </c>
      <c r="Y135" s="2" t="s">
        <v>72</v>
      </c>
      <c r="Z135" s="2" t="s">
        <v>72</v>
      </c>
      <c r="AA135" s="2" t="s">
        <v>72</v>
      </c>
      <c r="AB135" s="2" t="s">
        <v>72</v>
      </c>
      <c r="AC135" s="2" t="s">
        <v>71</v>
      </c>
      <c r="AD135" s="2" t="s">
        <v>80</v>
      </c>
      <c r="AF135" s="4">
        <v>2</v>
      </c>
    </row>
    <row r="136" spans="1:32" ht="48" x14ac:dyDescent="0.2">
      <c r="A136" s="4">
        <v>43150064</v>
      </c>
      <c r="B136" s="2">
        <f>VLOOKUP(A136,[1]TRATAMIENTI!$A:$B,2,FALSE)</f>
        <v>517</v>
      </c>
      <c r="C136" s="4" t="s">
        <v>1221</v>
      </c>
      <c r="D136" s="4">
        <v>3017931942</v>
      </c>
      <c r="E136" s="4" t="s">
        <v>1222</v>
      </c>
      <c r="F136" s="4" t="s">
        <v>928</v>
      </c>
      <c r="G136" s="2" t="str">
        <f t="shared" si="2"/>
        <v>ANTIOQUIA</v>
      </c>
      <c r="H136" s="4" t="s">
        <v>924</v>
      </c>
      <c r="I136" s="4" t="s">
        <v>931</v>
      </c>
      <c r="J136" s="2" t="s">
        <v>71</v>
      </c>
      <c r="K136" s="2" t="s">
        <v>71</v>
      </c>
      <c r="L136" s="2" t="s">
        <v>71</v>
      </c>
      <c r="M136" s="2" t="s">
        <v>72</v>
      </c>
      <c r="N136" s="2" t="s">
        <v>71</v>
      </c>
      <c r="O136" s="2" t="s">
        <v>72</v>
      </c>
      <c r="P136" s="2" t="s">
        <v>72</v>
      </c>
      <c r="Q136" s="2" t="s">
        <v>72</v>
      </c>
      <c r="R136" s="2" t="s">
        <v>76</v>
      </c>
      <c r="S136" s="2" t="s">
        <v>72</v>
      </c>
      <c r="T136" s="2" t="s">
        <v>71</v>
      </c>
      <c r="U136" s="2" t="s">
        <v>72</v>
      </c>
      <c r="V136" s="2" t="s">
        <v>76</v>
      </c>
      <c r="W136" s="2" t="s">
        <v>76</v>
      </c>
      <c r="X136" s="2" t="s">
        <v>76</v>
      </c>
      <c r="Y136" s="2" t="s">
        <v>72</v>
      </c>
      <c r="Z136" s="2" t="s">
        <v>72</v>
      </c>
      <c r="AA136" s="2" t="s">
        <v>72</v>
      </c>
      <c r="AB136" s="2" t="s">
        <v>72</v>
      </c>
      <c r="AC136" s="2" t="s">
        <v>71</v>
      </c>
      <c r="AD136" s="2" t="s">
        <v>80</v>
      </c>
      <c r="AF136" s="4">
        <v>2</v>
      </c>
    </row>
    <row r="137" spans="1:32" ht="48" x14ac:dyDescent="0.2">
      <c r="A137" s="4">
        <v>43152836</v>
      </c>
      <c r="B137" s="2">
        <f>VLOOKUP(A137,[1]TRATAMIENTI!$A:$B,2,FALSE)</f>
        <v>518</v>
      </c>
      <c r="C137" s="4" t="s">
        <v>1223</v>
      </c>
      <c r="D137" s="4">
        <v>3113649657</v>
      </c>
      <c r="E137" s="4" t="s">
        <v>1224</v>
      </c>
      <c r="F137" s="4" t="s">
        <v>928</v>
      </c>
      <c r="G137" s="2" t="str">
        <f t="shared" si="2"/>
        <v>ANTIOQUIA</v>
      </c>
      <c r="H137" s="4" t="s">
        <v>924</v>
      </c>
      <c r="I137" s="4" t="s">
        <v>951</v>
      </c>
      <c r="J137" s="2" t="s">
        <v>71</v>
      </c>
      <c r="K137" s="2" t="s">
        <v>71</v>
      </c>
      <c r="L137" s="2" t="s">
        <v>71</v>
      </c>
      <c r="M137" s="2" t="s">
        <v>72</v>
      </c>
      <c r="N137" s="2" t="s">
        <v>71</v>
      </c>
      <c r="O137" s="2" t="s">
        <v>71</v>
      </c>
      <c r="P137" s="2" t="s">
        <v>72</v>
      </c>
      <c r="Q137" s="2" t="s">
        <v>72</v>
      </c>
      <c r="R137" s="2" t="s">
        <v>76</v>
      </c>
      <c r="S137" s="2" t="s">
        <v>72</v>
      </c>
      <c r="T137" s="2" t="s">
        <v>71</v>
      </c>
      <c r="U137" s="2" t="s">
        <v>72</v>
      </c>
      <c r="V137" s="2" t="s">
        <v>76</v>
      </c>
      <c r="W137" s="2" t="s">
        <v>76</v>
      </c>
      <c r="X137" s="2" t="s">
        <v>76</v>
      </c>
      <c r="Y137" s="2" t="s">
        <v>72</v>
      </c>
      <c r="Z137" s="2" t="s">
        <v>72</v>
      </c>
      <c r="AA137" s="2" t="s">
        <v>72</v>
      </c>
      <c r="AB137" s="2" t="s">
        <v>71</v>
      </c>
      <c r="AC137" s="2" t="s">
        <v>71</v>
      </c>
      <c r="AD137" s="2" t="s">
        <v>80</v>
      </c>
      <c r="AF137" s="4">
        <v>2</v>
      </c>
    </row>
    <row r="138" spans="1:32" ht="64" x14ac:dyDescent="0.2">
      <c r="A138" s="4">
        <v>43203228</v>
      </c>
      <c r="B138" s="2">
        <f>VLOOKUP(A138,[1]TRATAMIENTI!$A:$B,2,FALSE)</f>
        <v>519</v>
      </c>
      <c r="C138" s="4" t="s">
        <v>1225</v>
      </c>
      <c r="D138" s="4">
        <v>3188798802</v>
      </c>
      <c r="E138" s="4" t="s">
        <v>1226</v>
      </c>
      <c r="F138" s="4" t="s">
        <v>928</v>
      </c>
      <c r="G138" s="2" t="str">
        <f t="shared" si="2"/>
        <v>ANTIOQUIA</v>
      </c>
      <c r="H138" s="4" t="s">
        <v>924</v>
      </c>
      <c r="I138" s="4" t="s">
        <v>951</v>
      </c>
      <c r="J138" s="2" t="s">
        <v>71</v>
      </c>
      <c r="K138" s="2" t="s">
        <v>71</v>
      </c>
      <c r="L138" s="2" t="s">
        <v>71</v>
      </c>
      <c r="M138" s="2" t="s">
        <v>71</v>
      </c>
      <c r="N138" s="2" t="s">
        <v>71</v>
      </c>
      <c r="O138" s="2" t="s">
        <v>71</v>
      </c>
      <c r="P138" s="2" t="s">
        <v>71</v>
      </c>
      <c r="Q138" s="2" t="s">
        <v>71</v>
      </c>
      <c r="R138" s="2" t="s">
        <v>71</v>
      </c>
      <c r="S138" s="2" t="s">
        <v>71</v>
      </c>
      <c r="T138" s="2" t="s">
        <v>71</v>
      </c>
      <c r="U138" s="2" t="s">
        <v>71</v>
      </c>
      <c r="V138" s="2" t="s">
        <v>76</v>
      </c>
      <c r="W138" s="2" t="s">
        <v>76</v>
      </c>
      <c r="X138" s="2" t="s">
        <v>76</v>
      </c>
      <c r="Y138" s="2" t="s">
        <v>72</v>
      </c>
      <c r="Z138" s="2" t="s">
        <v>76</v>
      </c>
      <c r="AA138" s="2" t="s">
        <v>76</v>
      </c>
      <c r="AB138" s="2" t="s">
        <v>71</v>
      </c>
      <c r="AC138" s="2" t="s">
        <v>71</v>
      </c>
      <c r="AD138" s="2" t="s">
        <v>179</v>
      </c>
      <c r="AF138" s="4">
        <v>3</v>
      </c>
    </row>
    <row r="139" spans="1:32" ht="48" x14ac:dyDescent="0.2">
      <c r="A139" s="4">
        <v>43251278</v>
      </c>
      <c r="B139" s="2">
        <f>VLOOKUP(A139,[1]TRATAMIENTI!$A:$B,2,FALSE)</f>
        <v>520</v>
      </c>
      <c r="C139" s="4" t="s">
        <v>1227</v>
      </c>
      <c r="D139" s="4">
        <v>3105952558</v>
      </c>
      <c r="E139" s="4" t="s">
        <v>1228</v>
      </c>
      <c r="F139" s="4" t="s">
        <v>928</v>
      </c>
      <c r="G139" s="2" t="str">
        <f t="shared" si="2"/>
        <v>ANTIOQUIA</v>
      </c>
      <c r="H139" s="4" t="s">
        <v>924</v>
      </c>
      <c r="I139" s="4" t="s">
        <v>931</v>
      </c>
      <c r="J139" s="2" t="s">
        <v>71</v>
      </c>
      <c r="K139" s="2" t="s">
        <v>71</v>
      </c>
      <c r="L139" s="2" t="s">
        <v>71</v>
      </c>
      <c r="M139" s="2" t="s">
        <v>71</v>
      </c>
      <c r="N139" s="2" t="s">
        <v>71</v>
      </c>
      <c r="O139" s="2" t="s">
        <v>72</v>
      </c>
      <c r="P139" s="2" t="s">
        <v>72</v>
      </c>
      <c r="Q139" s="2" t="s">
        <v>72</v>
      </c>
      <c r="R139" s="2" t="s">
        <v>76</v>
      </c>
      <c r="S139" s="2" t="s">
        <v>72</v>
      </c>
      <c r="T139" s="2" t="s">
        <v>72</v>
      </c>
      <c r="U139" s="2" t="s">
        <v>72</v>
      </c>
      <c r="V139" s="2" t="s">
        <v>76</v>
      </c>
      <c r="W139" s="2" t="s">
        <v>76</v>
      </c>
      <c r="X139" s="2" t="s">
        <v>76</v>
      </c>
      <c r="Y139" s="2" t="s">
        <v>71</v>
      </c>
      <c r="Z139" s="2" t="s">
        <v>72</v>
      </c>
      <c r="AA139" s="2" t="s">
        <v>71</v>
      </c>
      <c r="AB139" s="2" t="s">
        <v>71</v>
      </c>
      <c r="AC139" s="2" t="s">
        <v>71</v>
      </c>
      <c r="AD139" s="2" t="s">
        <v>80</v>
      </c>
      <c r="AF139" s="4">
        <v>3</v>
      </c>
    </row>
    <row r="140" spans="1:32" ht="48" x14ac:dyDescent="0.2">
      <c r="A140" s="4">
        <v>43259030</v>
      </c>
      <c r="B140" s="2">
        <f>VLOOKUP(A140,[1]TRATAMIENTI!$A:$B,2,FALSE)</f>
        <v>521</v>
      </c>
      <c r="C140" s="4" t="s">
        <v>1229</v>
      </c>
      <c r="D140" s="4">
        <v>3014024378</v>
      </c>
      <c r="E140" s="4" t="s">
        <v>1230</v>
      </c>
      <c r="F140" s="4" t="s">
        <v>928</v>
      </c>
      <c r="G140" s="2" t="str">
        <f t="shared" si="2"/>
        <v>ANTIOQUIA</v>
      </c>
      <c r="H140" s="4" t="s">
        <v>924</v>
      </c>
      <c r="I140" s="4" t="s">
        <v>931</v>
      </c>
      <c r="J140" s="2" t="s">
        <v>71</v>
      </c>
      <c r="K140" s="2" t="s">
        <v>71</v>
      </c>
      <c r="L140" s="2" t="s">
        <v>71</v>
      </c>
      <c r="M140" s="2" t="s">
        <v>72</v>
      </c>
      <c r="N140" s="2" t="s">
        <v>71</v>
      </c>
      <c r="O140" s="2" t="s">
        <v>72</v>
      </c>
      <c r="P140" s="2" t="s">
        <v>72</v>
      </c>
      <c r="Q140" s="2" t="s">
        <v>72</v>
      </c>
      <c r="R140" s="2" t="s">
        <v>76</v>
      </c>
      <c r="S140" s="2" t="s">
        <v>72</v>
      </c>
      <c r="T140" s="2" t="s">
        <v>71</v>
      </c>
      <c r="U140" s="2" t="s">
        <v>71</v>
      </c>
      <c r="V140" s="2" t="s">
        <v>71</v>
      </c>
      <c r="W140" s="2" t="s">
        <v>71</v>
      </c>
      <c r="X140" s="2" t="s">
        <v>71</v>
      </c>
      <c r="Y140" s="2" t="s">
        <v>71</v>
      </c>
      <c r="Z140" s="2" t="s">
        <v>71</v>
      </c>
      <c r="AA140" s="2" t="s">
        <v>71</v>
      </c>
      <c r="AB140" s="2" t="s">
        <v>71</v>
      </c>
      <c r="AC140" s="2" t="s">
        <v>71</v>
      </c>
      <c r="AD140" s="2" t="s">
        <v>256</v>
      </c>
      <c r="AF140" s="4">
        <v>3</v>
      </c>
    </row>
    <row r="141" spans="1:32" ht="48" x14ac:dyDescent="0.2">
      <c r="A141" s="4">
        <v>43268570</v>
      </c>
      <c r="B141" s="2">
        <f>VLOOKUP(A141,[1]TRATAMIENTI!$A:$B,2,FALSE)</f>
        <v>522</v>
      </c>
      <c r="C141" s="4" t="s">
        <v>1231</v>
      </c>
      <c r="D141" s="4">
        <v>3124753105</v>
      </c>
      <c r="E141" s="4" t="s">
        <v>1232</v>
      </c>
      <c r="F141" s="4" t="s">
        <v>928</v>
      </c>
      <c r="G141" s="2" t="str">
        <f t="shared" si="2"/>
        <v>ANTIOQUIA</v>
      </c>
      <c r="H141" s="4" t="s">
        <v>924</v>
      </c>
      <c r="I141" s="4" t="s">
        <v>951</v>
      </c>
      <c r="J141" s="2" t="s">
        <v>71</v>
      </c>
      <c r="K141" s="2" t="s">
        <v>71</v>
      </c>
      <c r="L141" s="2" t="s">
        <v>71</v>
      </c>
      <c r="M141" s="2" t="s">
        <v>72</v>
      </c>
      <c r="N141" s="2" t="s">
        <v>71</v>
      </c>
      <c r="O141" s="2" t="s">
        <v>76</v>
      </c>
      <c r="P141" s="2" t="s">
        <v>72</v>
      </c>
      <c r="Q141" s="2" t="s">
        <v>72</v>
      </c>
      <c r="R141" s="2" t="s">
        <v>76</v>
      </c>
      <c r="S141" s="2" t="s">
        <v>71</v>
      </c>
      <c r="T141" s="2" t="s">
        <v>71</v>
      </c>
      <c r="U141" s="2" t="s">
        <v>71</v>
      </c>
      <c r="V141" s="2" t="s">
        <v>76</v>
      </c>
      <c r="W141" s="2" t="s">
        <v>76</v>
      </c>
      <c r="X141" s="2" t="s">
        <v>76</v>
      </c>
      <c r="Y141" s="2" t="s">
        <v>72</v>
      </c>
      <c r="Z141" s="2" t="s">
        <v>72</v>
      </c>
      <c r="AA141" s="2" t="s">
        <v>72</v>
      </c>
      <c r="AB141" s="2" t="s">
        <v>72</v>
      </c>
      <c r="AC141" s="2" t="s">
        <v>71</v>
      </c>
      <c r="AD141" s="2" t="s">
        <v>80</v>
      </c>
      <c r="AF141" s="4">
        <v>2</v>
      </c>
    </row>
    <row r="142" spans="1:32" ht="48" x14ac:dyDescent="0.2">
      <c r="A142" s="4">
        <v>43269156</v>
      </c>
      <c r="B142" s="2">
        <f>VLOOKUP(A142,[1]TRATAMIENTI!$A:$B,2,FALSE)</f>
        <v>523</v>
      </c>
      <c r="C142" s="4" t="s">
        <v>1233</v>
      </c>
      <c r="D142" s="4">
        <v>3001465287</v>
      </c>
      <c r="E142" s="4" t="s">
        <v>1234</v>
      </c>
      <c r="F142" s="4" t="s">
        <v>928</v>
      </c>
      <c r="G142" s="2" t="str">
        <f t="shared" si="2"/>
        <v>ANTIOQUIA</v>
      </c>
      <c r="H142" s="4" t="s">
        <v>924</v>
      </c>
      <c r="I142" s="4" t="s">
        <v>931</v>
      </c>
      <c r="J142" s="2" t="s">
        <v>71</v>
      </c>
      <c r="K142" s="2" t="s">
        <v>71</v>
      </c>
      <c r="L142" s="2" t="s">
        <v>71</v>
      </c>
      <c r="M142" s="2" t="s">
        <v>72</v>
      </c>
      <c r="N142" s="2" t="s">
        <v>71</v>
      </c>
      <c r="O142" s="2" t="s">
        <v>72</v>
      </c>
      <c r="P142" s="2" t="s">
        <v>72</v>
      </c>
      <c r="Q142" s="2" t="s">
        <v>72</v>
      </c>
      <c r="R142" s="2" t="s">
        <v>76</v>
      </c>
      <c r="S142" s="2" t="s">
        <v>72</v>
      </c>
      <c r="T142" s="2" t="s">
        <v>71</v>
      </c>
      <c r="U142" s="2" t="s">
        <v>72</v>
      </c>
      <c r="V142" s="2" t="s">
        <v>76</v>
      </c>
      <c r="W142" s="2" t="s">
        <v>76</v>
      </c>
      <c r="X142" s="2" t="s">
        <v>76</v>
      </c>
      <c r="Y142" s="2" t="s">
        <v>72</v>
      </c>
      <c r="Z142" s="2" t="s">
        <v>72</v>
      </c>
      <c r="AA142" s="2" t="s">
        <v>72</v>
      </c>
      <c r="AB142" s="2" t="s">
        <v>71</v>
      </c>
      <c r="AC142" s="2" t="s">
        <v>71</v>
      </c>
      <c r="AD142" s="2" t="s">
        <v>80</v>
      </c>
      <c r="AF142" s="4">
        <v>2</v>
      </c>
    </row>
    <row r="143" spans="1:32" ht="48" x14ac:dyDescent="0.2">
      <c r="A143" s="4">
        <v>43275340</v>
      </c>
      <c r="B143" s="2">
        <f>VLOOKUP(A143,[1]TRATAMIENTI!$A:$B,2,FALSE)</f>
        <v>524</v>
      </c>
      <c r="C143" s="4" t="s">
        <v>1235</v>
      </c>
      <c r="D143" s="4">
        <v>3136410377</v>
      </c>
      <c r="G143" s="2" t="str">
        <f t="shared" si="2"/>
        <v>ANTIOQUIA</v>
      </c>
      <c r="H143" s="4" t="s">
        <v>924</v>
      </c>
      <c r="I143" s="4" t="s">
        <v>931</v>
      </c>
      <c r="J143" s="2" t="s">
        <v>71</v>
      </c>
      <c r="K143" s="2" t="s">
        <v>71</v>
      </c>
      <c r="L143" s="2" t="s">
        <v>71</v>
      </c>
      <c r="M143" s="2" t="s">
        <v>72</v>
      </c>
      <c r="N143" s="2" t="s">
        <v>71</v>
      </c>
      <c r="O143" s="2" t="s">
        <v>72</v>
      </c>
      <c r="P143" s="2" t="s">
        <v>72</v>
      </c>
      <c r="Q143" s="2" t="s">
        <v>72</v>
      </c>
      <c r="R143" s="2" t="s">
        <v>76</v>
      </c>
      <c r="S143" s="2" t="s">
        <v>72</v>
      </c>
      <c r="T143" s="2" t="s">
        <v>76</v>
      </c>
      <c r="U143" s="2" t="s">
        <v>72</v>
      </c>
      <c r="V143" s="2" t="s">
        <v>76</v>
      </c>
      <c r="W143" s="2" t="s">
        <v>76</v>
      </c>
      <c r="X143" s="2" t="s">
        <v>76</v>
      </c>
      <c r="Y143" s="2" t="s">
        <v>71</v>
      </c>
      <c r="Z143" s="2" t="s">
        <v>72</v>
      </c>
      <c r="AA143" s="2" t="s">
        <v>72</v>
      </c>
      <c r="AB143" s="2" t="s">
        <v>71</v>
      </c>
      <c r="AC143" s="2" t="s">
        <v>71</v>
      </c>
      <c r="AD143" s="2" t="s">
        <v>80</v>
      </c>
      <c r="AF143" s="4">
        <v>2</v>
      </c>
    </row>
    <row r="144" spans="1:32" ht="48" x14ac:dyDescent="0.2">
      <c r="A144" s="4">
        <v>43279706</v>
      </c>
      <c r="B144" s="2">
        <f>VLOOKUP(A144,[1]TRATAMIENTI!$A:$B,2,FALSE)</f>
        <v>525</v>
      </c>
      <c r="C144" s="4" t="s">
        <v>1236</v>
      </c>
      <c r="D144" s="4">
        <v>3148505101</v>
      </c>
      <c r="E144" s="4" t="s">
        <v>1237</v>
      </c>
      <c r="F144" s="4" t="s">
        <v>928</v>
      </c>
      <c r="G144" s="2" t="str">
        <f t="shared" si="2"/>
        <v>ANTIOQUIA</v>
      </c>
      <c r="H144" s="4" t="s">
        <v>924</v>
      </c>
      <c r="I144" s="4" t="s">
        <v>951</v>
      </c>
      <c r="J144" s="2" t="s">
        <v>76</v>
      </c>
      <c r="K144" s="2" t="s">
        <v>71</v>
      </c>
      <c r="L144" s="2" t="s">
        <v>71</v>
      </c>
      <c r="M144" s="2" t="s">
        <v>76</v>
      </c>
      <c r="N144" s="2" t="s">
        <v>71</v>
      </c>
      <c r="O144" s="2" t="s">
        <v>72</v>
      </c>
      <c r="P144" s="2" t="s">
        <v>72</v>
      </c>
      <c r="Q144" s="2" t="s">
        <v>72</v>
      </c>
      <c r="R144" s="2" t="s">
        <v>76</v>
      </c>
      <c r="S144" s="2" t="s">
        <v>72</v>
      </c>
      <c r="T144" s="2" t="s">
        <v>72</v>
      </c>
      <c r="U144" s="2" t="s">
        <v>72</v>
      </c>
      <c r="V144" s="2" t="s">
        <v>76</v>
      </c>
      <c r="W144" s="2" t="s">
        <v>76</v>
      </c>
      <c r="X144" s="2" t="s">
        <v>76</v>
      </c>
      <c r="Y144" s="2" t="s">
        <v>72</v>
      </c>
      <c r="Z144" s="2" t="s">
        <v>76</v>
      </c>
      <c r="AA144" s="2" t="s">
        <v>72</v>
      </c>
      <c r="AB144" s="2" t="s">
        <v>72</v>
      </c>
      <c r="AC144" s="2" t="s">
        <v>72</v>
      </c>
      <c r="AD144" s="2" t="s">
        <v>80</v>
      </c>
      <c r="AF144" s="4">
        <v>2</v>
      </c>
    </row>
    <row r="145" spans="1:32" ht="48" x14ac:dyDescent="0.2">
      <c r="A145" s="4">
        <v>43286202</v>
      </c>
      <c r="B145" s="2">
        <f>VLOOKUP(A145,[1]TRATAMIENTI!$A:$B,2,FALSE)</f>
        <v>526</v>
      </c>
      <c r="C145" s="4" t="s">
        <v>1238</v>
      </c>
      <c r="D145" s="4">
        <v>3203679092</v>
      </c>
      <c r="E145" s="4" t="s">
        <v>1239</v>
      </c>
      <c r="F145" s="4" t="s">
        <v>928</v>
      </c>
      <c r="G145" s="2" t="str">
        <f t="shared" si="2"/>
        <v>ANTIOQUIA</v>
      </c>
      <c r="H145" s="4" t="s">
        <v>924</v>
      </c>
      <c r="I145" s="4" t="s">
        <v>951</v>
      </c>
      <c r="J145" s="2" t="s">
        <v>71</v>
      </c>
      <c r="K145" s="2" t="s">
        <v>71</v>
      </c>
      <c r="L145" s="2" t="s">
        <v>71</v>
      </c>
      <c r="M145" s="2" t="s">
        <v>72</v>
      </c>
      <c r="N145" s="2" t="s">
        <v>71</v>
      </c>
      <c r="O145" s="2" t="s">
        <v>72</v>
      </c>
      <c r="P145" s="2" t="s">
        <v>72</v>
      </c>
      <c r="Q145" s="2" t="s">
        <v>72</v>
      </c>
      <c r="R145" s="2" t="s">
        <v>76</v>
      </c>
      <c r="S145" s="2" t="s">
        <v>72</v>
      </c>
      <c r="T145" s="2" t="s">
        <v>72</v>
      </c>
      <c r="U145" s="2" t="s">
        <v>72</v>
      </c>
      <c r="V145" s="2" t="s">
        <v>76</v>
      </c>
      <c r="W145" s="2" t="s">
        <v>76</v>
      </c>
      <c r="X145" s="2" t="s">
        <v>76</v>
      </c>
      <c r="Y145" s="2" t="s">
        <v>71</v>
      </c>
      <c r="Z145" s="2" t="s">
        <v>76</v>
      </c>
      <c r="AA145" s="2" t="s">
        <v>71</v>
      </c>
      <c r="AB145" s="2" t="s">
        <v>71</v>
      </c>
      <c r="AC145" s="2" t="s">
        <v>72</v>
      </c>
      <c r="AD145" s="2" t="s">
        <v>80</v>
      </c>
      <c r="AF145" s="4">
        <v>2</v>
      </c>
    </row>
    <row r="146" spans="1:32" ht="48" x14ac:dyDescent="0.2">
      <c r="A146" s="4">
        <v>43380042</v>
      </c>
      <c r="B146" s="2">
        <f>VLOOKUP(A146,[1]TRATAMIENTI!$A:$B,2,FALSE)</f>
        <v>527</v>
      </c>
      <c r="C146" s="4" t="s">
        <v>1240</v>
      </c>
      <c r="D146" s="4">
        <v>3146007349</v>
      </c>
      <c r="E146" s="4" t="s">
        <v>1241</v>
      </c>
      <c r="F146" s="4" t="s">
        <v>928</v>
      </c>
      <c r="G146" s="2" t="str">
        <f t="shared" si="2"/>
        <v>ANTIOQUIA</v>
      </c>
      <c r="H146" s="4" t="s">
        <v>924</v>
      </c>
      <c r="I146" s="4" t="s">
        <v>936</v>
      </c>
      <c r="J146" s="2" t="s">
        <v>71</v>
      </c>
      <c r="K146" s="2" t="s">
        <v>71</v>
      </c>
      <c r="L146" s="2" t="s">
        <v>71</v>
      </c>
      <c r="M146" s="2" t="s">
        <v>72</v>
      </c>
      <c r="N146" s="2" t="s">
        <v>76</v>
      </c>
      <c r="O146" s="2" t="s">
        <v>72</v>
      </c>
      <c r="P146" s="2" t="s">
        <v>72</v>
      </c>
      <c r="Q146" s="2" t="s">
        <v>72</v>
      </c>
      <c r="R146" s="2" t="s">
        <v>76</v>
      </c>
      <c r="S146" s="2" t="s">
        <v>72</v>
      </c>
      <c r="T146" s="2" t="s">
        <v>71</v>
      </c>
      <c r="U146" s="2" t="s">
        <v>72</v>
      </c>
      <c r="V146" s="2" t="s">
        <v>76</v>
      </c>
      <c r="W146" s="2" t="s">
        <v>76</v>
      </c>
      <c r="X146" s="2" t="s">
        <v>76</v>
      </c>
      <c r="Y146" s="2" t="s">
        <v>72</v>
      </c>
      <c r="Z146" s="2" t="s">
        <v>72</v>
      </c>
      <c r="AA146" s="2" t="s">
        <v>72</v>
      </c>
      <c r="AB146" s="2" t="s">
        <v>72</v>
      </c>
      <c r="AC146" s="2" t="s">
        <v>76</v>
      </c>
      <c r="AD146" s="2" t="s">
        <v>80</v>
      </c>
      <c r="AF146" s="4">
        <v>2</v>
      </c>
    </row>
    <row r="147" spans="1:32" ht="48" x14ac:dyDescent="0.2">
      <c r="A147" s="4">
        <v>43380718</v>
      </c>
      <c r="B147" s="2">
        <f>VLOOKUP(A147,[1]TRATAMIENTI!$A:$B,2,FALSE)</f>
        <v>528</v>
      </c>
      <c r="C147" s="4" t="s">
        <v>1242</v>
      </c>
      <c r="D147" s="4">
        <v>3008093366</v>
      </c>
      <c r="E147" s="4" t="s">
        <v>1243</v>
      </c>
      <c r="F147" s="4" t="s">
        <v>928</v>
      </c>
      <c r="G147" s="2" t="str">
        <f t="shared" si="2"/>
        <v>ANTIOQUIA</v>
      </c>
      <c r="H147" s="4" t="s">
        <v>924</v>
      </c>
      <c r="I147" s="4" t="s">
        <v>941</v>
      </c>
      <c r="J147" s="2" t="s">
        <v>71</v>
      </c>
      <c r="K147" s="2" t="s">
        <v>71</v>
      </c>
      <c r="L147" s="2" t="s">
        <v>71</v>
      </c>
      <c r="M147" s="2" t="s">
        <v>71</v>
      </c>
      <c r="N147" s="2" t="s">
        <v>71</v>
      </c>
      <c r="O147" s="2" t="s">
        <v>71</v>
      </c>
      <c r="P147" s="2" t="s">
        <v>71</v>
      </c>
      <c r="Q147" s="2" t="s">
        <v>71</v>
      </c>
      <c r="R147" s="2" t="s">
        <v>71</v>
      </c>
      <c r="S147" s="2" t="s">
        <v>71</v>
      </c>
      <c r="T147" s="2" t="s">
        <v>71</v>
      </c>
      <c r="U147" s="2" t="s">
        <v>71</v>
      </c>
      <c r="V147" s="2" t="s">
        <v>76</v>
      </c>
      <c r="W147" s="2" t="s">
        <v>76</v>
      </c>
      <c r="X147" s="2" t="s">
        <v>76</v>
      </c>
      <c r="Y147" s="2" t="s">
        <v>72</v>
      </c>
      <c r="Z147" s="2" t="s">
        <v>72</v>
      </c>
      <c r="AA147" s="2" t="s">
        <v>72</v>
      </c>
      <c r="AB147" s="2" t="s">
        <v>72</v>
      </c>
      <c r="AC147" s="2" t="s">
        <v>71</v>
      </c>
      <c r="AD147" s="2" t="s">
        <v>179</v>
      </c>
      <c r="AF147" s="4">
        <v>3</v>
      </c>
    </row>
    <row r="148" spans="1:32" ht="48" x14ac:dyDescent="0.2">
      <c r="A148" s="4">
        <v>43381458</v>
      </c>
      <c r="B148" s="2">
        <f>VLOOKUP(A148,[1]TRATAMIENTI!$A:$B,2,FALSE)</f>
        <v>529</v>
      </c>
      <c r="C148" s="4" t="s">
        <v>1244</v>
      </c>
      <c r="D148" s="4">
        <v>3147722415</v>
      </c>
      <c r="E148" s="4" t="s">
        <v>1245</v>
      </c>
      <c r="F148" s="4" t="s">
        <v>928</v>
      </c>
      <c r="G148" s="2" t="str">
        <f t="shared" si="2"/>
        <v>ANTIOQUIA</v>
      </c>
      <c r="H148" s="4" t="s">
        <v>924</v>
      </c>
      <c r="I148" s="4" t="s">
        <v>936</v>
      </c>
      <c r="J148" s="2" t="s">
        <v>71</v>
      </c>
      <c r="K148" s="2" t="s">
        <v>71</v>
      </c>
      <c r="L148" s="2" t="s">
        <v>71</v>
      </c>
      <c r="M148" s="2" t="s">
        <v>72</v>
      </c>
      <c r="N148" s="2" t="s">
        <v>71</v>
      </c>
      <c r="O148" s="2" t="s">
        <v>72</v>
      </c>
      <c r="P148" s="2" t="s">
        <v>72</v>
      </c>
      <c r="Q148" s="2" t="s">
        <v>72</v>
      </c>
      <c r="R148" s="2" t="s">
        <v>76</v>
      </c>
      <c r="S148" s="2" t="s">
        <v>72</v>
      </c>
      <c r="T148" s="2" t="s">
        <v>71</v>
      </c>
      <c r="U148" s="2" t="s">
        <v>72</v>
      </c>
      <c r="V148" s="2" t="s">
        <v>76</v>
      </c>
      <c r="W148" s="2" t="s">
        <v>76</v>
      </c>
      <c r="X148" s="2" t="s">
        <v>76</v>
      </c>
      <c r="Y148" s="2" t="s">
        <v>71</v>
      </c>
      <c r="Z148" s="2" t="s">
        <v>72</v>
      </c>
      <c r="AA148" s="2" t="s">
        <v>72</v>
      </c>
      <c r="AB148" s="2" t="s">
        <v>71</v>
      </c>
      <c r="AC148" s="2" t="s">
        <v>76</v>
      </c>
      <c r="AD148" s="2" t="s">
        <v>80</v>
      </c>
      <c r="AF148" s="4">
        <v>2</v>
      </c>
    </row>
    <row r="149" spans="1:32" ht="48" x14ac:dyDescent="0.2">
      <c r="A149" s="4">
        <v>43381830</v>
      </c>
      <c r="B149" s="2">
        <f>VLOOKUP(A149,[1]TRATAMIENTI!$A:$B,2,FALSE)</f>
        <v>530</v>
      </c>
      <c r="C149" s="4" t="s">
        <v>1246</v>
      </c>
      <c r="D149" s="4">
        <v>3134646760</v>
      </c>
      <c r="E149" s="4" t="s">
        <v>1247</v>
      </c>
      <c r="F149" s="4" t="s">
        <v>928</v>
      </c>
      <c r="G149" s="2" t="str">
        <f t="shared" si="2"/>
        <v>ANTIOQUIA</v>
      </c>
      <c r="H149" s="4" t="s">
        <v>924</v>
      </c>
      <c r="I149" s="4" t="s">
        <v>936</v>
      </c>
      <c r="J149" s="2" t="s">
        <v>71</v>
      </c>
      <c r="K149" s="2" t="s">
        <v>71</v>
      </c>
      <c r="L149" s="2" t="s">
        <v>71</v>
      </c>
      <c r="M149" s="2" t="s">
        <v>72</v>
      </c>
      <c r="N149" s="2" t="s">
        <v>76</v>
      </c>
      <c r="O149" s="2" t="s">
        <v>72</v>
      </c>
      <c r="P149" s="2" t="s">
        <v>72</v>
      </c>
      <c r="Q149" s="2" t="s">
        <v>72</v>
      </c>
      <c r="R149" s="2" t="s">
        <v>76</v>
      </c>
      <c r="S149" s="2" t="s">
        <v>71</v>
      </c>
      <c r="T149" s="2" t="s">
        <v>71</v>
      </c>
      <c r="U149" s="2" t="s">
        <v>71</v>
      </c>
      <c r="V149" s="2" t="s">
        <v>76</v>
      </c>
      <c r="W149" s="2" t="s">
        <v>76</v>
      </c>
      <c r="X149" s="2" t="s">
        <v>76</v>
      </c>
      <c r="Y149" s="2" t="s">
        <v>71</v>
      </c>
      <c r="Z149" s="2" t="s">
        <v>72</v>
      </c>
      <c r="AA149" s="2" t="s">
        <v>76</v>
      </c>
      <c r="AB149" s="2" t="s">
        <v>71</v>
      </c>
      <c r="AC149" s="2" t="s">
        <v>71</v>
      </c>
      <c r="AD149" s="2" t="s">
        <v>80</v>
      </c>
      <c r="AF149" s="4">
        <v>2</v>
      </c>
    </row>
    <row r="150" spans="1:32" ht="48" x14ac:dyDescent="0.2">
      <c r="A150" s="4">
        <v>43382433</v>
      </c>
      <c r="B150" s="2">
        <f>VLOOKUP(A150,[1]TRATAMIENTI!$A:$B,2,FALSE)</f>
        <v>531</v>
      </c>
      <c r="C150" s="4" t="s">
        <v>1248</v>
      </c>
      <c r="D150" s="4">
        <v>3234583840</v>
      </c>
      <c r="E150" s="4" t="s">
        <v>1249</v>
      </c>
      <c r="F150" s="4" t="s">
        <v>928</v>
      </c>
      <c r="G150" s="2" t="str">
        <f t="shared" si="2"/>
        <v>ANTIOQUIA</v>
      </c>
      <c r="H150" s="4" t="s">
        <v>924</v>
      </c>
      <c r="I150" s="4" t="s">
        <v>936</v>
      </c>
      <c r="J150" s="2" t="s">
        <v>71</v>
      </c>
      <c r="K150" s="2" t="s">
        <v>71</v>
      </c>
      <c r="L150" s="2" t="s">
        <v>71</v>
      </c>
      <c r="M150" s="2" t="s">
        <v>72</v>
      </c>
      <c r="N150" s="2" t="s">
        <v>71</v>
      </c>
      <c r="O150" s="2" t="s">
        <v>72</v>
      </c>
      <c r="P150" s="2" t="s">
        <v>72</v>
      </c>
      <c r="Q150" s="2" t="s">
        <v>72</v>
      </c>
      <c r="R150" s="2" t="s">
        <v>76</v>
      </c>
      <c r="S150" s="2" t="s">
        <v>72</v>
      </c>
      <c r="T150" s="2" t="s">
        <v>71</v>
      </c>
      <c r="U150" s="2" t="s">
        <v>72</v>
      </c>
      <c r="V150" s="2" t="s">
        <v>76</v>
      </c>
      <c r="W150" s="2" t="s">
        <v>76</v>
      </c>
      <c r="X150" s="2" t="s">
        <v>76</v>
      </c>
      <c r="Y150" s="2" t="s">
        <v>72</v>
      </c>
      <c r="Z150" s="2" t="s">
        <v>72</v>
      </c>
      <c r="AA150" s="2" t="s">
        <v>72</v>
      </c>
      <c r="AB150" s="2" t="s">
        <v>72</v>
      </c>
      <c r="AC150" s="2" t="s">
        <v>71</v>
      </c>
      <c r="AD150" s="2" t="s">
        <v>80</v>
      </c>
      <c r="AF150" s="4">
        <v>2</v>
      </c>
    </row>
    <row r="151" spans="1:32" ht="48" x14ac:dyDescent="0.2">
      <c r="A151" s="4">
        <v>43441449</v>
      </c>
      <c r="B151" s="2">
        <f>VLOOKUP(A151,[1]TRATAMIENTI!$A:$B,2,FALSE)</f>
        <v>532</v>
      </c>
      <c r="C151" s="4" t="s">
        <v>1250</v>
      </c>
      <c r="D151" s="4">
        <v>0</v>
      </c>
      <c r="E151" s="4" t="s">
        <v>1251</v>
      </c>
      <c r="F151" s="4" t="s">
        <v>928</v>
      </c>
      <c r="G151" s="2" t="str">
        <f t="shared" si="2"/>
        <v>ANTIOQUIA</v>
      </c>
      <c r="H151" s="4" t="s">
        <v>924</v>
      </c>
      <c r="I151" s="4" t="s">
        <v>936</v>
      </c>
      <c r="J151" s="2" t="s">
        <v>71</v>
      </c>
      <c r="K151" s="2" t="s">
        <v>71</v>
      </c>
      <c r="L151" s="2" t="s">
        <v>71</v>
      </c>
      <c r="M151" s="2" t="s">
        <v>71</v>
      </c>
      <c r="N151" s="2" t="s">
        <v>71</v>
      </c>
      <c r="O151" s="2" t="s">
        <v>71</v>
      </c>
      <c r="P151" s="2" t="s">
        <v>71</v>
      </c>
      <c r="Q151" s="2" t="s">
        <v>71</v>
      </c>
      <c r="R151" s="2" t="s">
        <v>71</v>
      </c>
      <c r="S151" s="2" t="s">
        <v>71</v>
      </c>
      <c r="T151" s="2" t="s">
        <v>71</v>
      </c>
      <c r="U151" s="2" t="s">
        <v>71</v>
      </c>
      <c r="V151" s="2" t="s">
        <v>76</v>
      </c>
      <c r="W151" s="2" t="s">
        <v>76</v>
      </c>
      <c r="X151" s="2" t="s">
        <v>76</v>
      </c>
      <c r="Y151" s="2" t="s">
        <v>72</v>
      </c>
      <c r="Z151" s="2" t="s">
        <v>72</v>
      </c>
      <c r="AA151" s="2" t="s">
        <v>72</v>
      </c>
      <c r="AB151" s="2" t="s">
        <v>71</v>
      </c>
      <c r="AC151" s="2" t="s">
        <v>76</v>
      </c>
      <c r="AD151" s="2" t="s">
        <v>80</v>
      </c>
      <c r="AF151" s="4">
        <v>2</v>
      </c>
    </row>
    <row r="152" spans="1:32" ht="48" x14ac:dyDescent="0.2">
      <c r="A152" s="4">
        <v>43485410</v>
      </c>
      <c r="B152" s="2">
        <f>VLOOKUP(A152,[1]TRATAMIENTI!$A:$B,2,FALSE)</f>
        <v>533</v>
      </c>
      <c r="C152" s="4" t="s">
        <v>1252</v>
      </c>
      <c r="D152" s="4">
        <v>3008709624</v>
      </c>
      <c r="E152" s="4" t="s">
        <v>1253</v>
      </c>
      <c r="F152" s="4" t="s">
        <v>928</v>
      </c>
      <c r="G152" s="2" t="str">
        <f t="shared" si="2"/>
        <v>ANTIOQUIA</v>
      </c>
      <c r="H152" s="4" t="s">
        <v>924</v>
      </c>
      <c r="I152" s="4" t="s">
        <v>941</v>
      </c>
      <c r="J152" s="2" t="s">
        <v>71</v>
      </c>
      <c r="K152" s="2" t="s">
        <v>71</v>
      </c>
      <c r="L152" s="2" t="s">
        <v>71</v>
      </c>
      <c r="M152" s="2" t="s">
        <v>72</v>
      </c>
      <c r="N152" s="2" t="s">
        <v>76</v>
      </c>
      <c r="O152" s="2" t="s">
        <v>72</v>
      </c>
      <c r="P152" s="2" t="s">
        <v>72</v>
      </c>
      <c r="Q152" s="2" t="s">
        <v>72</v>
      </c>
      <c r="R152" s="2" t="s">
        <v>76</v>
      </c>
      <c r="S152" s="2" t="s">
        <v>71</v>
      </c>
      <c r="T152" s="2" t="s">
        <v>71</v>
      </c>
      <c r="U152" s="2" t="s">
        <v>72</v>
      </c>
      <c r="V152" s="2" t="s">
        <v>76</v>
      </c>
      <c r="W152" s="2" t="s">
        <v>76</v>
      </c>
      <c r="X152" s="2" t="s">
        <v>76</v>
      </c>
      <c r="Y152" s="2" t="s">
        <v>72</v>
      </c>
      <c r="Z152" s="2" t="s">
        <v>72</v>
      </c>
      <c r="AA152" s="2" t="s">
        <v>72</v>
      </c>
      <c r="AB152" s="2" t="s">
        <v>72</v>
      </c>
      <c r="AC152" s="2" t="s">
        <v>71</v>
      </c>
      <c r="AD152" s="2" t="s">
        <v>80</v>
      </c>
      <c r="AF152" s="4">
        <v>2</v>
      </c>
    </row>
    <row r="153" spans="1:32" ht="48" x14ac:dyDescent="0.2">
      <c r="A153" s="4">
        <v>43489779</v>
      </c>
      <c r="B153" s="2">
        <f>VLOOKUP(A153,[1]TRATAMIENTI!$A:$B,2,FALSE)</f>
        <v>534</v>
      </c>
      <c r="C153" s="4" t="s">
        <v>1254</v>
      </c>
      <c r="D153" s="4">
        <v>3136731346</v>
      </c>
      <c r="E153" s="4" t="s">
        <v>1255</v>
      </c>
      <c r="F153" s="4" t="s">
        <v>928</v>
      </c>
      <c r="G153" s="2" t="str">
        <f t="shared" si="2"/>
        <v>ANTIOQUIA</v>
      </c>
      <c r="H153" s="4" t="s">
        <v>924</v>
      </c>
      <c r="I153" s="4" t="s">
        <v>936</v>
      </c>
      <c r="J153" s="2" t="s">
        <v>71</v>
      </c>
      <c r="K153" s="2" t="s">
        <v>71</v>
      </c>
      <c r="L153" s="2" t="s">
        <v>76</v>
      </c>
      <c r="M153" s="2" t="s">
        <v>72</v>
      </c>
      <c r="N153" s="2" t="s">
        <v>76</v>
      </c>
      <c r="O153" s="2" t="s">
        <v>72</v>
      </c>
      <c r="P153" s="2" t="s">
        <v>72</v>
      </c>
      <c r="Q153" s="2" t="s">
        <v>72</v>
      </c>
      <c r="R153" s="2" t="s">
        <v>76</v>
      </c>
      <c r="S153" s="2" t="s">
        <v>72</v>
      </c>
      <c r="T153" s="2" t="s">
        <v>71</v>
      </c>
      <c r="U153" s="2" t="s">
        <v>72</v>
      </c>
      <c r="V153" s="2" t="s">
        <v>71</v>
      </c>
      <c r="W153" s="2" t="s">
        <v>71</v>
      </c>
      <c r="X153" s="2" t="s">
        <v>71</v>
      </c>
      <c r="Y153" s="2" t="s">
        <v>72</v>
      </c>
      <c r="Z153" s="2" t="s">
        <v>72</v>
      </c>
      <c r="AA153" s="2" t="s">
        <v>72</v>
      </c>
      <c r="AB153" s="2" t="s">
        <v>71</v>
      </c>
      <c r="AC153" s="2" t="s">
        <v>76</v>
      </c>
      <c r="AD153" s="2" t="s">
        <v>91</v>
      </c>
      <c r="AF153" s="4">
        <v>1</v>
      </c>
    </row>
    <row r="154" spans="1:32" ht="48" x14ac:dyDescent="0.2">
      <c r="A154" s="4">
        <v>43533488</v>
      </c>
      <c r="B154" s="2">
        <f>VLOOKUP(A154,[1]TRATAMIENTI!$A:$B,2,FALSE)</f>
        <v>535</v>
      </c>
      <c r="C154" s="4" t="s">
        <v>1256</v>
      </c>
      <c r="D154" s="4" t="s">
        <v>1257</v>
      </c>
      <c r="E154" s="4" t="s">
        <v>1258</v>
      </c>
      <c r="F154" s="4" t="s">
        <v>928</v>
      </c>
      <c r="G154" s="2" t="str">
        <f t="shared" si="2"/>
        <v>ANTIOQUIA</v>
      </c>
      <c r="H154" s="4" t="s">
        <v>924</v>
      </c>
      <c r="I154" s="4" t="s">
        <v>951</v>
      </c>
      <c r="J154" s="2" t="s">
        <v>71</v>
      </c>
      <c r="K154" s="2" t="s">
        <v>71</v>
      </c>
      <c r="L154" s="2" t="s">
        <v>71</v>
      </c>
      <c r="M154" s="2" t="s">
        <v>71</v>
      </c>
      <c r="N154" s="2" t="s">
        <v>71</v>
      </c>
      <c r="O154" s="2" t="s">
        <v>71</v>
      </c>
      <c r="P154" s="2" t="s">
        <v>71</v>
      </c>
      <c r="Q154" s="2" t="s">
        <v>71</v>
      </c>
      <c r="R154" s="2" t="s">
        <v>71</v>
      </c>
      <c r="S154" s="2" t="s">
        <v>71</v>
      </c>
      <c r="T154" s="2" t="s">
        <v>71</v>
      </c>
      <c r="U154" s="2" t="s">
        <v>71</v>
      </c>
      <c r="V154" s="2" t="s">
        <v>76</v>
      </c>
      <c r="W154" s="2" t="s">
        <v>76</v>
      </c>
      <c r="X154" s="2" t="s">
        <v>76</v>
      </c>
      <c r="Y154" s="2" t="s">
        <v>72</v>
      </c>
      <c r="Z154" s="2" t="s">
        <v>72</v>
      </c>
      <c r="AA154" s="2" t="s">
        <v>72</v>
      </c>
      <c r="AB154" s="2" t="s">
        <v>72</v>
      </c>
      <c r="AC154" s="2" t="s">
        <v>72</v>
      </c>
      <c r="AD154" s="2" t="s">
        <v>179</v>
      </c>
      <c r="AF154" s="4">
        <v>3</v>
      </c>
    </row>
    <row r="155" spans="1:32" ht="48" x14ac:dyDescent="0.2">
      <c r="A155" s="4">
        <v>43535348</v>
      </c>
      <c r="B155" s="2">
        <f>VLOOKUP(A155,[1]TRATAMIENTI!$A:$B,2,FALSE)</f>
        <v>536</v>
      </c>
      <c r="C155" s="4" t="s">
        <v>1259</v>
      </c>
      <c r="D155" s="4">
        <v>3004106448</v>
      </c>
      <c r="E155" s="4" t="s">
        <v>1260</v>
      </c>
      <c r="F155" s="4" t="s">
        <v>928</v>
      </c>
      <c r="G155" s="2" t="str">
        <f t="shared" si="2"/>
        <v>ANTIOQUIA</v>
      </c>
      <c r="H155" s="4" t="s">
        <v>924</v>
      </c>
      <c r="I155" s="4" t="s">
        <v>951</v>
      </c>
      <c r="J155" s="2" t="s">
        <v>76</v>
      </c>
      <c r="K155" s="2" t="s">
        <v>72</v>
      </c>
      <c r="L155" s="2" t="s">
        <v>71</v>
      </c>
      <c r="M155" s="2" t="s">
        <v>72</v>
      </c>
      <c r="N155" s="2" t="s">
        <v>76</v>
      </c>
      <c r="O155" s="2" t="s">
        <v>76</v>
      </c>
      <c r="P155" s="2" t="s">
        <v>76</v>
      </c>
      <c r="Q155" s="2" t="s">
        <v>76</v>
      </c>
      <c r="R155" s="2" t="s">
        <v>72</v>
      </c>
      <c r="S155" s="2" t="s">
        <v>72</v>
      </c>
      <c r="T155" s="2" t="s">
        <v>72</v>
      </c>
      <c r="U155" s="2" t="s">
        <v>72</v>
      </c>
      <c r="V155" s="2" t="s">
        <v>76</v>
      </c>
      <c r="W155" s="2" t="s">
        <v>76</v>
      </c>
      <c r="X155" s="2" t="s">
        <v>76</v>
      </c>
      <c r="Y155" s="2" t="s">
        <v>72</v>
      </c>
      <c r="Z155" s="2" t="s">
        <v>72</v>
      </c>
      <c r="AA155" s="2" t="s">
        <v>72</v>
      </c>
      <c r="AB155" s="2" t="s">
        <v>72</v>
      </c>
      <c r="AC155" s="2" t="s">
        <v>72</v>
      </c>
      <c r="AD155" s="2" t="s">
        <v>91</v>
      </c>
      <c r="AF155" s="4">
        <v>1</v>
      </c>
    </row>
    <row r="156" spans="1:32" ht="48" x14ac:dyDescent="0.2">
      <c r="A156" s="4">
        <v>43542284</v>
      </c>
      <c r="B156" s="2">
        <f>VLOOKUP(A156,[1]TRATAMIENTI!$A:$B,2,FALSE)</f>
        <v>537</v>
      </c>
      <c r="C156" s="4" t="s">
        <v>1261</v>
      </c>
      <c r="D156" s="4">
        <v>3242123055</v>
      </c>
      <c r="E156" s="4" t="s">
        <v>1262</v>
      </c>
      <c r="F156" s="4" t="s">
        <v>928</v>
      </c>
      <c r="G156" s="2" t="str">
        <f t="shared" si="2"/>
        <v>ANTIOQUIA</v>
      </c>
      <c r="H156" s="4" t="s">
        <v>924</v>
      </c>
      <c r="I156" s="4" t="s">
        <v>931</v>
      </c>
      <c r="J156" s="2" t="s">
        <v>71</v>
      </c>
      <c r="K156" s="2" t="s">
        <v>71</v>
      </c>
      <c r="L156" s="2" t="s">
        <v>71</v>
      </c>
      <c r="M156" s="2" t="s">
        <v>72</v>
      </c>
      <c r="N156" s="2" t="s">
        <v>71</v>
      </c>
      <c r="O156" s="2" t="s">
        <v>72</v>
      </c>
      <c r="P156" s="2" t="s">
        <v>72</v>
      </c>
      <c r="Q156" s="2" t="s">
        <v>72</v>
      </c>
      <c r="R156" s="2" t="s">
        <v>76</v>
      </c>
      <c r="S156" s="2" t="s">
        <v>72</v>
      </c>
      <c r="T156" s="2" t="s">
        <v>72</v>
      </c>
      <c r="U156" s="2" t="s">
        <v>72</v>
      </c>
      <c r="V156" s="2" t="s">
        <v>76</v>
      </c>
      <c r="W156" s="2" t="s">
        <v>76</v>
      </c>
      <c r="X156" s="2" t="s">
        <v>76</v>
      </c>
      <c r="Y156" s="2" t="s">
        <v>72</v>
      </c>
      <c r="Z156" s="2" t="s">
        <v>72</v>
      </c>
      <c r="AA156" s="2" t="s">
        <v>72</v>
      </c>
      <c r="AB156" s="2" t="s">
        <v>71</v>
      </c>
      <c r="AC156" s="2" t="s">
        <v>71</v>
      </c>
      <c r="AD156" s="2" t="s">
        <v>80</v>
      </c>
      <c r="AF156" s="4">
        <v>2</v>
      </c>
    </row>
    <row r="157" spans="1:32" ht="48" x14ac:dyDescent="0.2">
      <c r="A157" s="4">
        <v>43566435</v>
      </c>
      <c r="B157" s="2">
        <f>VLOOKUP(A157,[1]TRATAMIENTI!$A:$B,2,FALSE)</f>
        <v>538</v>
      </c>
      <c r="C157" s="4" t="s">
        <v>1263</v>
      </c>
      <c r="D157" s="4">
        <v>3127815257</v>
      </c>
      <c r="E157" s="4" t="s">
        <v>1264</v>
      </c>
      <c r="F157" s="4" t="s">
        <v>928</v>
      </c>
      <c r="G157" s="2" t="str">
        <f t="shared" si="2"/>
        <v>ANTIOQUIA</v>
      </c>
      <c r="H157" s="4" t="s">
        <v>924</v>
      </c>
      <c r="I157" s="4" t="s">
        <v>951</v>
      </c>
      <c r="J157" s="2" t="s">
        <v>76</v>
      </c>
      <c r="K157" s="2" t="s">
        <v>71</v>
      </c>
      <c r="L157" s="2" t="s">
        <v>72</v>
      </c>
      <c r="M157" s="2" t="s">
        <v>72</v>
      </c>
      <c r="N157" s="2" t="s">
        <v>71</v>
      </c>
      <c r="O157" s="2" t="s">
        <v>72</v>
      </c>
      <c r="P157" s="2" t="s">
        <v>72</v>
      </c>
      <c r="Q157" s="2" t="s">
        <v>72</v>
      </c>
      <c r="R157" s="2" t="s">
        <v>76</v>
      </c>
      <c r="S157" s="2" t="s">
        <v>72</v>
      </c>
      <c r="T157" s="2" t="s">
        <v>72</v>
      </c>
      <c r="U157" s="2" t="s">
        <v>72</v>
      </c>
      <c r="V157" s="2" t="s">
        <v>76</v>
      </c>
      <c r="W157" s="2" t="s">
        <v>76</v>
      </c>
      <c r="X157" s="2" t="s">
        <v>76</v>
      </c>
      <c r="Y157" s="2" t="s">
        <v>72</v>
      </c>
      <c r="Z157" s="2" t="s">
        <v>72</v>
      </c>
      <c r="AA157" s="2" t="s">
        <v>72</v>
      </c>
      <c r="AB157" s="2" t="s">
        <v>72</v>
      </c>
      <c r="AC157" s="2" t="s">
        <v>71</v>
      </c>
      <c r="AD157" s="2" t="s">
        <v>91</v>
      </c>
      <c r="AF157" s="4">
        <v>1</v>
      </c>
    </row>
    <row r="158" spans="1:32" ht="48" x14ac:dyDescent="0.2">
      <c r="A158" s="4">
        <v>43567075</v>
      </c>
      <c r="B158" s="2">
        <f>VLOOKUP(A158,[1]TRATAMIENTI!$A:$B,2,FALSE)</f>
        <v>539</v>
      </c>
      <c r="C158" s="4" t="s">
        <v>1265</v>
      </c>
      <c r="D158" s="4">
        <v>3053642789</v>
      </c>
      <c r="E158" s="4" t="s">
        <v>1266</v>
      </c>
      <c r="F158" s="4" t="s">
        <v>928</v>
      </c>
      <c r="G158" s="2" t="str">
        <f t="shared" si="2"/>
        <v>ANTIOQUIA</v>
      </c>
      <c r="H158" s="4" t="s">
        <v>924</v>
      </c>
      <c r="I158" s="4" t="s">
        <v>936</v>
      </c>
      <c r="J158" s="2" t="s">
        <v>71</v>
      </c>
      <c r="K158" s="2" t="s">
        <v>71</v>
      </c>
      <c r="L158" s="2" t="s">
        <v>71</v>
      </c>
      <c r="M158" s="2" t="s">
        <v>72</v>
      </c>
      <c r="N158" s="2" t="s">
        <v>71</v>
      </c>
      <c r="O158" s="2" t="s">
        <v>72</v>
      </c>
      <c r="P158" s="2" t="s">
        <v>72</v>
      </c>
      <c r="Q158" s="2" t="s">
        <v>72</v>
      </c>
      <c r="R158" s="2" t="s">
        <v>76</v>
      </c>
      <c r="S158" s="2" t="s">
        <v>72</v>
      </c>
      <c r="T158" s="2" t="s">
        <v>71</v>
      </c>
      <c r="U158" s="2" t="s">
        <v>71</v>
      </c>
      <c r="V158" s="2" t="s">
        <v>76</v>
      </c>
      <c r="W158" s="2" t="s">
        <v>76</v>
      </c>
      <c r="X158" s="2" t="s">
        <v>76</v>
      </c>
      <c r="Y158" s="2" t="s">
        <v>71</v>
      </c>
      <c r="Z158" s="2" t="s">
        <v>72</v>
      </c>
      <c r="AA158" s="2" t="s">
        <v>72</v>
      </c>
      <c r="AB158" s="2" t="s">
        <v>71</v>
      </c>
      <c r="AC158" s="2" t="s">
        <v>71</v>
      </c>
      <c r="AD158" s="2" t="s">
        <v>80</v>
      </c>
      <c r="AE158" s="4" t="s">
        <v>1267</v>
      </c>
      <c r="AF158" s="4">
        <v>2</v>
      </c>
    </row>
    <row r="159" spans="1:32" ht="48" x14ac:dyDescent="0.2">
      <c r="A159" s="4">
        <v>43570005</v>
      </c>
      <c r="B159" s="2">
        <f>VLOOKUP(A159,[1]TRATAMIENTI!$A:$B,2,FALSE)</f>
        <v>540</v>
      </c>
      <c r="C159" s="4" t="s">
        <v>1268</v>
      </c>
      <c r="D159" s="4">
        <v>3135793369</v>
      </c>
      <c r="E159" s="4" t="s">
        <v>1269</v>
      </c>
      <c r="F159" s="4" t="s">
        <v>928</v>
      </c>
      <c r="G159" s="2" t="str">
        <f t="shared" si="2"/>
        <v>ANTIOQUIA</v>
      </c>
      <c r="H159" s="4" t="s">
        <v>924</v>
      </c>
      <c r="I159" s="4" t="s">
        <v>951</v>
      </c>
      <c r="J159" s="2" t="s">
        <v>71</v>
      </c>
      <c r="K159" s="2" t="s">
        <v>76</v>
      </c>
      <c r="L159" s="2" t="s">
        <v>71</v>
      </c>
      <c r="M159" s="2" t="s">
        <v>71</v>
      </c>
      <c r="N159" s="2" t="s">
        <v>71</v>
      </c>
      <c r="O159" s="2" t="s">
        <v>72</v>
      </c>
      <c r="P159" s="2" t="s">
        <v>72</v>
      </c>
      <c r="Q159" s="2" t="s">
        <v>72</v>
      </c>
      <c r="R159" s="2" t="s">
        <v>76</v>
      </c>
      <c r="S159" s="2" t="s">
        <v>72</v>
      </c>
      <c r="T159" s="2" t="s">
        <v>71</v>
      </c>
      <c r="U159" s="2" t="s">
        <v>72</v>
      </c>
      <c r="V159" s="2" t="s">
        <v>76</v>
      </c>
      <c r="W159" s="2" t="s">
        <v>76</v>
      </c>
      <c r="X159" s="2" t="s">
        <v>76</v>
      </c>
      <c r="Y159" s="2" t="s">
        <v>72</v>
      </c>
      <c r="Z159" s="2" t="s">
        <v>72</v>
      </c>
      <c r="AA159" s="2" t="s">
        <v>72</v>
      </c>
      <c r="AB159" s="2" t="s">
        <v>71</v>
      </c>
      <c r="AC159" s="2" t="s">
        <v>76</v>
      </c>
      <c r="AD159" s="2" t="s">
        <v>91</v>
      </c>
      <c r="AE159" s="4" t="s">
        <v>1270</v>
      </c>
      <c r="AF159" s="4">
        <v>2</v>
      </c>
    </row>
    <row r="160" spans="1:32" ht="48" x14ac:dyDescent="0.2">
      <c r="A160" s="4">
        <v>43582831</v>
      </c>
      <c r="B160" s="2">
        <f>VLOOKUP(A160,[1]TRATAMIENTI!$A:$B,2,FALSE)</f>
        <v>541</v>
      </c>
      <c r="C160" s="4" t="s">
        <v>1271</v>
      </c>
      <c r="D160" s="4" t="s">
        <v>1272</v>
      </c>
      <c r="E160" s="4" t="s">
        <v>1273</v>
      </c>
      <c r="F160" s="4" t="s">
        <v>928</v>
      </c>
      <c r="G160" s="2" t="str">
        <f t="shared" si="2"/>
        <v>ANTIOQUIA</v>
      </c>
      <c r="H160" s="4" t="s">
        <v>924</v>
      </c>
      <c r="I160" s="4" t="s">
        <v>948</v>
      </c>
      <c r="J160" s="2" t="s">
        <v>76</v>
      </c>
      <c r="K160" s="2" t="s">
        <v>71</v>
      </c>
      <c r="L160" s="2" t="s">
        <v>71</v>
      </c>
      <c r="M160" s="2" t="s">
        <v>76</v>
      </c>
      <c r="N160" s="2" t="s">
        <v>71</v>
      </c>
      <c r="O160" s="2" t="s">
        <v>76</v>
      </c>
      <c r="P160" s="2" t="s">
        <v>76</v>
      </c>
      <c r="Q160" s="2" t="s">
        <v>71</v>
      </c>
      <c r="R160" s="2" t="s">
        <v>72</v>
      </c>
      <c r="S160" s="2" t="s">
        <v>72</v>
      </c>
      <c r="T160" s="2" t="s">
        <v>72</v>
      </c>
      <c r="U160" s="2" t="s">
        <v>76</v>
      </c>
      <c r="V160" s="2" t="s">
        <v>76</v>
      </c>
      <c r="W160" s="2" t="s">
        <v>76</v>
      </c>
      <c r="X160" s="2" t="s">
        <v>76</v>
      </c>
      <c r="Y160" s="2" t="s">
        <v>72</v>
      </c>
      <c r="Z160" s="2" t="s">
        <v>72</v>
      </c>
      <c r="AA160" s="2" t="s">
        <v>72</v>
      </c>
      <c r="AB160" s="2" t="s">
        <v>72</v>
      </c>
      <c r="AC160" s="2" t="s">
        <v>71</v>
      </c>
      <c r="AD160" s="2" t="s">
        <v>80</v>
      </c>
      <c r="AF160" s="4">
        <v>2</v>
      </c>
    </row>
    <row r="161" spans="1:32" ht="48" x14ac:dyDescent="0.2">
      <c r="A161" s="4">
        <v>43594778</v>
      </c>
      <c r="B161" s="2">
        <f>VLOOKUP(A161,[1]TRATAMIENTI!$A:$B,2,FALSE)</f>
        <v>542</v>
      </c>
      <c r="C161" s="4" t="s">
        <v>1274</v>
      </c>
      <c r="D161" s="4">
        <v>3006193298</v>
      </c>
      <c r="E161" s="4" t="s">
        <v>1275</v>
      </c>
      <c r="F161" s="4" t="s">
        <v>928</v>
      </c>
      <c r="G161" s="2" t="str">
        <f t="shared" si="2"/>
        <v>ANTIOQUIA</v>
      </c>
      <c r="H161" s="4" t="s">
        <v>924</v>
      </c>
      <c r="I161" s="4" t="s">
        <v>951</v>
      </c>
      <c r="J161" s="2" t="s">
        <v>76</v>
      </c>
      <c r="K161" s="2" t="s">
        <v>71</v>
      </c>
      <c r="L161" s="2" t="s">
        <v>71</v>
      </c>
      <c r="M161" s="2" t="s">
        <v>72</v>
      </c>
      <c r="N161" s="2" t="s">
        <v>71</v>
      </c>
      <c r="O161" s="2" t="s">
        <v>72</v>
      </c>
      <c r="P161" s="2" t="s">
        <v>72</v>
      </c>
      <c r="Q161" s="2" t="s">
        <v>72</v>
      </c>
      <c r="R161" s="2" t="s">
        <v>76</v>
      </c>
      <c r="S161" s="2" t="s">
        <v>72</v>
      </c>
      <c r="T161" s="2" t="s">
        <v>72</v>
      </c>
      <c r="U161" s="2" t="s">
        <v>72</v>
      </c>
      <c r="V161" s="2" t="s">
        <v>71</v>
      </c>
      <c r="W161" s="2" t="s">
        <v>71</v>
      </c>
      <c r="X161" s="2" t="s">
        <v>71</v>
      </c>
      <c r="Y161" s="2" t="s">
        <v>71</v>
      </c>
      <c r="Z161" s="2" t="s">
        <v>71</v>
      </c>
      <c r="AA161" s="2" t="s">
        <v>71</v>
      </c>
      <c r="AB161" s="2" t="s">
        <v>71</v>
      </c>
      <c r="AC161" s="2" t="s">
        <v>71</v>
      </c>
      <c r="AD161" s="2" t="s">
        <v>256</v>
      </c>
      <c r="AF161" s="4">
        <v>3</v>
      </c>
    </row>
    <row r="162" spans="1:32" ht="48" x14ac:dyDescent="0.2">
      <c r="A162" s="4">
        <v>43597042</v>
      </c>
      <c r="B162" s="2">
        <f>VLOOKUP(A162,[1]TRATAMIENTI!$A:$B,2,FALSE)</f>
        <v>543</v>
      </c>
      <c r="C162" s="4" t="s">
        <v>1276</v>
      </c>
      <c r="D162" s="4">
        <v>3015619184</v>
      </c>
      <c r="E162" s="4" t="s">
        <v>1277</v>
      </c>
      <c r="F162" s="4" t="s">
        <v>928</v>
      </c>
      <c r="G162" s="2" t="str">
        <f t="shared" si="2"/>
        <v>ANTIOQUIA</v>
      </c>
      <c r="H162" s="4" t="s">
        <v>924</v>
      </c>
      <c r="I162" s="4" t="s">
        <v>944</v>
      </c>
      <c r="J162" s="2" t="s">
        <v>71</v>
      </c>
      <c r="K162" s="2" t="s">
        <v>71</v>
      </c>
      <c r="L162" s="2" t="s">
        <v>71</v>
      </c>
      <c r="M162" s="2" t="s">
        <v>72</v>
      </c>
      <c r="N162" s="2" t="s">
        <v>71</v>
      </c>
      <c r="O162" s="2" t="s">
        <v>72</v>
      </c>
      <c r="P162" s="2" t="s">
        <v>72</v>
      </c>
      <c r="Q162" s="2" t="s">
        <v>72</v>
      </c>
      <c r="R162" s="2" t="s">
        <v>76</v>
      </c>
      <c r="S162" s="2" t="s">
        <v>72</v>
      </c>
      <c r="T162" s="2" t="s">
        <v>76</v>
      </c>
      <c r="U162" s="2" t="s">
        <v>72</v>
      </c>
      <c r="V162" s="2" t="s">
        <v>71</v>
      </c>
      <c r="W162" s="2" t="s">
        <v>71</v>
      </c>
      <c r="X162" s="2" t="s">
        <v>71</v>
      </c>
      <c r="Y162" s="2" t="s">
        <v>71</v>
      </c>
      <c r="Z162" s="2" t="s">
        <v>71</v>
      </c>
      <c r="AA162" s="2" t="s">
        <v>71</v>
      </c>
      <c r="AB162" s="2" t="s">
        <v>71</v>
      </c>
      <c r="AC162" s="2" t="s">
        <v>71</v>
      </c>
      <c r="AD162" s="2" t="s">
        <v>256</v>
      </c>
      <c r="AF162" s="4">
        <v>3</v>
      </c>
    </row>
    <row r="163" spans="1:32" ht="48" x14ac:dyDescent="0.2">
      <c r="A163" s="4">
        <v>43600211</v>
      </c>
      <c r="B163" s="2">
        <f>VLOOKUP(A163,[1]TRATAMIENTI!$A:$B,2,FALSE)</f>
        <v>544</v>
      </c>
      <c r="C163" s="4" t="s">
        <v>1278</v>
      </c>
      <c r="D163" s="4">
        <v>3013836356</v>
      </c>
      <c r="E163" s="4" t="s">
        <v>1279</v>
      </c>
      <c r="F163" s="4" t="s">
        <v>928</v>
      </c>
      <c r="G163" s="2" t="str">
        <f t="shared" si="2"/>
        <v>ANTIOQUIA</v>
      </c>
      <c r="H163" s="4" t="s">
        <v>924</v>
      </c>
      <c r="I163" s="4" t="s">
        <v>944</v>
      </c>
      <c r="J163" s="2" t="s">
        <v>71</v>
      </c>
      <c r="K163" s="2" t="s">
        <v>71</v>
      </c>
      <c r="L163" s="2" t="s">
        <v>71</v>
      </c>
      <c r="M163" s="2" t="s">
        <v>72</v>
      </c>
      <c r="N163" s="2" t="s">
        <v>71</v>
      </c>
      <c r="O163" s="2" t="s">
        <v>72</v>
      </c>
      <c r="P163" s="2" t="s">
        <v>72</v>
      </c>
      <c r="Q163" s="2" t="s">
        <v>72</v>
      </c>
      <c r="R163" s="2" t="s">
        <v>76</v>
      </c>
      <c r="S163" s="2" t="s">
        <v>72</v>
      </c>
      <c r="T163" s="2" t="s">
        <v>76</v>
      </c>
      <c r="U163" s="2" t="s">
        <v>72</v>
      </c>
      <c r="V163" s="2" t="s">
        <v>76</v>
      </c>
      <c r="W163" s="2" t="s">
        <v>76</v>
      </c>
      <c r="X163" s="2" t="s">
        <v>76</v>
      </c>
      <c r="Y163" s="2" t="s">
        <v>72</v>
      </c>
      <c r="Z163" s="2" t="s">
        <v>72</v>
      </c>
      <c r="AA163" s="2" t="s">
        <v>72</v>
      </c>
      <c r="AB163" s="2" t="s">
        <v>71</v>
      </c>
      <c r="AC163" s="2" t="s">
        <v>71</v>
      </c>
      <c r="AD163" s="2" t="s">
        <v>80</v>
      </c>
      <c r="AF163" s="4">
        <v>2</v>
      </c>
    </row>
    <row r="164" spans="1:32" ht="48" x14ac:dyDescent="0.2">
      <c r="A164" s="4">
        <v>43600567</v>
      </c>
      <c r="B164" s="2">
        <f>VLOOKUP(A164,[1]TRATAMIENTI!$A:$B,2,FALSE)</f>
        <v>545</v>
      </c>
      <c r="C164" s="4" t="s">
        <v>1280</v>
      </c>
      <c r="D164" s="4">
        <v>3023778396</v>
      </c>
      <c r="E164" s="4" t="s">
        <v>1281</v>
      </c>
      <c r="F164" s="4" t="s">
        <v>928</v>
      </c>
      <c r="G164" s="2" t="str">
        <f t="shared" si="2"/>
        <v>ANTIOQUIA</v>
      </c>
      <c r="H164" s="4" t="s">
        <v>924</v>
      </c>
      <c r="I164" s="4" t="s">
        <v>944</v>
      </c>
      <c r="J164" s="2" t="s">
        <v>71</v>
      </c>
      <c r="K164" s="2" t="s">
        <v>71</v>
      </c>
      <c r="L164" s="2" t="s">
        <v>71</v>
      </c>
      <c r="M164" s="2" t="s">
        <v>72</v>
      </c>
      <c r="N164" s="2" t="s">
        <v>71</v>
      </c>
      <c r="O164" s="2" t="s">
        <v>72</v>
      </c>
      <c r="P164" s="2" t="s">
        <v>72</v>
      </c>
      <c r="Q164" s="2" t="s">
        <v>72</v>
      </c>
      <c r="R164" s="2" t="s">
        <v>76</v>
      </c>
      <c r="S164" s="2" t="s">
        <v>72</v>
      </c>
      <c r="T164" s="2" t="s">
        <v>72</v>
      </c>
      <c r="U164" s="2" t="s">
        <v>72</v>
      </c>
      <c r="V164" s="2" t="s">
        <v>76</v>
      </c>
      <c r="W164" s="2" t="s">
        <v>76</v>
      </c>
      <c r="X164" s="2" t="s">
        <v>76</v>
      </c>
      <c r="Y164" s="2" t="s">
        <v>72</v>
      </c>
      <c r="Z164" s="2" t="s">
        <v>72</v>
      </c>
      <c r="AA164" s="2" t="s">
        <v>72</v>
      </c>
      <c r="AB164" s="2" t="s">
        <v>72</v>
      </c>
      <c r="AC164" s="2" t="s">
        <v>71</v>
      </c>
      <c r="AD164" s="2" t="s">
        <v>80</v>
      </c>
      <c r="AF164" s="4">
        <v>2</v>
      </c>
    </row>
    <row r="165" spans="1:32" ht="64" x14ac:dyDescent="0.2">
      <c r="A165" s="4">
        <v>43605902</v>
      </c>
      <c r="B165" s="2">
        <f>VLOOKUP(A165,[1]TRATAMIENTI!$A:$B,2,FALSE)</f>
        <v>547</v>
      </c>
      <c r="C165" s="4" t="s">
        <v>1282</v>
      </c>
      <c r="D165" s="4">
        <v>3006421187</v>
      </c>
      <c r="E165" s="4" t="s">
        <v>1283</v>
      </c>
      <c r="F165" s="4" t="s">
        <v>928</v>
      </c>
      <c r="G165" s="2" t="str">
        <f t="shared" si="2"/>
        <v>ANTIOQUIA</v>
      </c>
      <c r="H165" s="4" t="s">
        <v>924</v>
      </c>
      <c r="I165" s="4" t="s">
        <v>936</v>
      </c>
      <c r="J165" s="2" t="s">
        <v>71</v>
      </c>
      <c r="K165" s="2" t="s">
        <v>71</v>
      </c>
      <c r="L165" s="2" t="s">
        <v>72</v>
      </c>
      <c r="M165" s="2" t="s">
        <v>71</v>
      </c>
      <c r="N165" s="2" t="s">
        <v>71</v>
      </c>
      <c r="O165" s="2" t="s">
        <v>71</v>
      </c>
      <c r="P165" s="2" t="s">
        <v>71</v>
      </c>
      <c r="Q165" s="2" t="s">
        <v>71</v>
      </c>
      <c r="R165" s="2" t="s">
        <v>71</v>
      </c>
      <c r="S165" s="2" t="s">
        <v>71</v>
      </c>
      <c r="T165" s="2" t="s">
        <v>71</v>
      </c>
      <c r="U165" s="2" t="s">
        <v>71</v>
      </c>
      <c r="V165" s="2" t="s">
        <v>72</v>
      </c>
      <c r="W165" s="2" t="s">
        <v>72</v>
      </c>
      <c r="X165" s="2" t="s">
        <v>72</v>
      </c>
      <c r="Y165" s="2" t="s">
        <v>72</v>
      </c>
      <c r="Z165" s="2" t="s">
        <v>72</v>
      </c>
      <c r="AA165" s="2" t="s">
        <v>72</v>
      </c>
      <c r="AB165" s="2" t="s">
        <v>72</v>
      </c>
      <c r="AC165" s="2" t="s">
        <v>71</v>
      </c>
      <c r="AD165" s="2" t="s">
        <v>77</v>
      </c>
      <c r="AF165" s="4">
        <v>1</v>
      </c>
    </row>
    <row r="166" spans="1:32" ht="48" x14ac:dyDescent="0.2">
      <c r="A166" s="4">
        <v>43607068</v>
      </c>
      <c r="B166" s="2">
        <f>VLOOKUP(A166,[1]TRATAMIENTI!$A:$B,2,FALSE)</f>
        <v>548</v>
      </c>
      <c r="C166" s="4" t="s">
        <v>1284</v>
      </c>
      <c r="D166" s="4">
        <v>3122148395</v>
      </c>
      <c r="E166" s="4" t="s">
        <v>1285</v>
      </c>
      <c r="F166" s="4" t="s">
        <v>928</v>
      </c>
      <c r="G166" s="2" t="str">
        <f t="shared" si="2"/>
        <v>ANTIOQUIA</v>
      </c>
      <c r="H166" s="4" t="s">
        <v>924</v>
      </c>
      <c r="I166" s="4" t="s">
        <v>951</v>
      </c>
      <c r="J166" s="2" t="s">
        <v>76</v>
      </c>
      <c r="K166" s="2" t="s">
        <v>71</v>
      </c>
      <c r="L166" s="2" t="s">
        <v>71</v>
      </c>
      <c r="M166" s="2" t="s">
        <v>72</v>
      </c>
      <c r="N166" s="2" t="s">
        <v>71</v>
      </c>
      <c r="O166" s="2" t="s">
        <v>72</v>
      </c>
      <c r="P166" s="2" t="s">
        <v>72</v>
      </c>
      <c r="Q166" s="2" t="s">
        <v>72</v>
      </c>
      <c r="R166" s="2" t="s">
        <v>76</v>
      </c>
      <c r="S166" s="2" t="s">
        <v>72</v>
      </c>
      <c r="T166" s="2" t="s">
        <v>76</v>
      </c>
      <c r="U166" s="2" t="s">
        <v>72</v>
      </c>
      <c r="V166" s="2" t="s">
        <v>76</v>
      </c>
      <c r="W166" s="2" t="s">
        <v>76</v>
      </c>
      <c r="X166" s="2" t="s">
        <v>76</v>
      </c>
      <c r="Y166" s="2" t="s">
        <v>72</v>
      </c>
      <c r="Z166" s="2" t="s">
        <v>72</v>
      </c>
      <c r="AA166" s="2" t="s">
        <v>72</v>
      </c>
      <c r="AB166" s="2" t="s">
        <v>71</v>
      </c>
      <c r="AC166" s="2" t="s">
        <v>71</v>
      </c>
      <c r="AD166" s="2" t="s">
        <v>80</v>
      </c>
      <c r="AF166" s="4">
        <v>2</v>
      </c>
    </row>
    <row r="167" spans="1:32" ht="48" x14ac:dyDescent="0.2">
      <c r="A167" s="4">
        <v>43611767</v>
      </c>
      <c r="B167" s="2">
        <f>VLOOKUP(A167,[1]TRATAMIENTI!$A:$B,2,FALSE)</f>
        <v>549</v>
      </c>
      <c r="C167" s="4" t="s">
        <v>1286</v>
      </c>
      <c r="D167" s="4">
        <v>3114644465</v>
      </c>
      <c r="E167" s="4" t="s">
        <v>1287</v>
      </c>
      <c r="F167" s="4" t="s">
        <v>928</v>
      </c>
      <c r="G167" s="2" t="str">
        <f t="shared" si="2"/>
        <v>ANTIOQUIA</v>
      </c>
      <c r="H167" s="4" t="s">
        <v>924</v>
      </c>
      <c r="I167" s="4" t="s">
        <v>931</v>
      </c>
      <c r="J167" s="2" t="s">
        <v>71</v>
      </c>
      <c r="K167" s="2" t="s">
        <v>71</v>
      </c>
      <c r="L167" s="2" t="s">
        <v>71</v>
      </c>
      <c r="M167" s="2" t="s">
        <v>72</v>
      </c>
      <c r="N167" s="2" t="s">
        <v>71</v>
      </c>
      <c r="O167" s="2" t="s">
        <v>72</v>
      </c>
      <c r="P167" s="2" t="s">
        <v>72</v>
      </c>
      <c r="Q167" s="2" t="s">
        <v>72</v>
      </c>
      <c r="R167" s="2" t="s">
        <v>76</v>
      </c>
      <c r="S167" s="2" t="s">
        <v>72</v>
      </c>
      <c r="T167" s="2" t="s">
        <v>71</v>
      </c>
      <c r="U167" s="2" t="s">
        <v>72</v>
      </c>
      <c r="V167" s="2" t="s">
        <v>76</v>
      </c>
      <c r="W167" s="2" t="s">
        <v>76</v>
      </c>
      <c r="X167" s="2" t="s">
        <v>76</v>
      </c>
      <c r="Y167" s="2" t="s">
        <v>72</v>
      </c>
      <c r="Z167" s="2" t="s">
        <v>72</v>
      </c>
      <c r="AA167" s="2" t="s">
        <v>72</v>
      </c>
      <c r="AB167" s="2" t="s">
        <v>72</v>
      </c>
      <c r="AC167" s="2" t="s">
        <v>71</v>
      </c>
      <c r="AD167" s="2" t="s">
        <v>80</v>
      </c>
      <c r="AF167" s="4">
        <v>2</v>
      </c>
    </row>
    <row r="168" spans="1:32" ht="48" x14ac:dyDescent="0.2">
      <c r="A168" s="4">
        <v>43613777</v>
      </c>
      <c r="B168" s="2">
        <f>VLOOKUP(A168,[1]TRATAMIENTI!$A:$B,2,FALSE)</f>
        <v>550</v>
      </c>
      <c r="C168" s="4" t="s">
        <v>1288</v>
      </c>
      <c r="D168" s="4">
        <v>3226219093</v>
      </c>
      <c r="E168" s="4" t="s">
        <v>1289</v>
      </c>
      <c r="F168" s="4" t="s">
        <v>928</v>
      </c>
      <c r="G168" s="2" t="str">
        <f t="shared" si="2"/>
        <v>ANTIOQUIA</v>
      </c>
      <c r="H168" s="4" t="s">
        <v>924</v>
      </c>
      <c r="I168" s="4" t="s">
        <v>951</v>
      </c>
      <c r="J168" s="2" t="s">
        <v>76</v>
      </c>
      <c r="K168" s="2" t="s">
        <v>71</v>
      </c>
      <c r="L168" s="2" t="s">
        <v>71</v>
      </c>
      <c r="M168" s="2" t="s">
        <v>72</v>
      </c>
      <c r="N168" s="2" t="s">
        <v>71</v>
      </c>
      <c r="O168" s="2" t="s">
        <v>72</v>
      </c>
      <c r="P168" s="2" t="s">
        <v>72</v>
      </c>
      <c r="Q168" s="2" t="s">
        <v>72</v>
      </c>
      <c r="R168" s="2" t="s">
        <v>76</v>
      </c>
      <c r="S168" s="2" t="s">
        <v>72</v>
      </c>
      <c r="T168" s="2" t="s">
        <v>71</v>
      </c>
      <c r="U168" s="2" t="s">
        <v>72</v>
      </c>
      <c r="V168" s="2" t="s">
        <v>71</v>
      </c>
      <c r="W168" s="2"/>
      <c r="X168" s="2" t="s">
        <v>71</v>
      </c>
      <c r="Y168" s="2" t="s">
        <v>71</v>
      </c>
      <c r="Z168" s="2" t="s">
        <v>71</v>
      </c>
      <c r="AA168" s="2" t="s">
        <v>71</v>
      </c>
      <c r="AB168" s="2" t="s">
        <v>71</v>
      </c>
      <c r="AC168" s="2" t="s">
        <v>71</v>
      </c>
      <c r="AD168" s="2" t="s">
        <v>256</v>
      </c>
      <c r="AF168" s="4">
        <v>3</v>
      </c>
    </row>
    <row r="169" spans="1:32" ht="48" x14ac:dyDescent="0.2">
      <c r="A169" s="4">
        <v>43615569</v>
      </c>
      <c r="B169" s="2">
        <f>VLOOKUP(A169,[1]TRATAMIENTI!$A:$B,2,FALSE)</f>
        <v>551</v>
      </c>
      <c r="C169" s="4" t="s">
        <v>1290</v>
      </c>
      <c r="D169" s="4">
        <v>3043500263</v>
      </c>
      <c r="E169" s="4" t="s">
        <v>1291</v>
      </c>
      <c r="F169" s="4" t="s">
        <v>928</v>
      </c>
      <c r="G169" s="2" t="str">
        <f t="shared" si="2"/>
        <v>ANTIOQUIA</v>
      </c>
      <c r="H169" s="4" t="s">
        <v>924</v>
      </c>
      <c r="I169" s="4" t="s">
        <v>944</v>
      </c>
      <c r="J169" s="2" t="s">
        <v>71</v>
      </c>
      <c r="K169" s="2" t="s">
        <v>71</v>
      </c>
      <c r="L169" s="2" t="s">
        <v>71</v>
      </c>
      <c r="M169" s="2" t="s">
        <v>72</v>
      </c>
      <c r="N169" s="2" t="s">
        <v>71</v>
      </c>
      <c r="O169" s="2" t="s">
        <v>72</v>
      </c>
      <c r="P169" s="2" t="s">
        <v>72</v>
      </c>
      <c r="Q169" s="2" t="s">
        <v>72</v>
      </c>
      <c r="R169" s="2" t="s">
        <v>76</v>
      </c>
      <c r="S169" s="2" t="s">
        <v>72</v>
      </c>
      <c r="T169" s="2" t="s">
        <v>76</v>
      </c>
      <c r="U169" s="2" t="s">
        <v>72</v>
      </c>
      <c r="V169" s="2" t="s">
        <v>71</v>
      </c>
      <c r="W169" s="2" t="s">
        <v>71</v>
      </c>
      <c r="X169" s="2" t="s">
        <v>71</v>
      </c>
      <c r="Y169" s="2" t="s">
        <v>71</v>
      </c>
      <c r="Z169" s="2" t="s">
        <v>71</v>
      </c>
      <c r="AA169" s="2" t="s">
        <v>71</v>
      </c>
      <c r="AB169" s="2" t="s">
        <v>71</v>
      </c>
      <c r="AC169" s="2" t="s">
        <v>71</v>
      </c>
      <c r="AD169" s="2" t="s">
        <v>256</v>
      </c>
      <c r="AF169" s="4">
        <v>3</v>
      </c>
    </row>
    <row r="170" spans="1:32" ht="48" x14ac:dyDescent="0.2">
      <c r="A170" s="4">
        <v>43634284</v>
      </c>
      <c r="B170" s="2">
        <f>VLOOKUP(A170,[1]TRATAMIENTI!$A:$B,2,FALSE)</f>
        <v>552</v>
      </c>
      <c r="C170" s="4" t="s">
        <v>1292</v>
      </c>
      <c r="D170" s="4" t="s">
        <v>1293</v>
      </c>
      <c r="E170" s="4" t="s">
        <v>1294</v>
      </c>
      <c r="F170" s="4" t="s">
        <v>928</v>
      </c>
      <c r="G170" s="2" t="str">
        <f t="shared" si="2"/>
        <v>ANTIOQUIA</v>
      </c>
      <c r="H170" s="4" t="s">
        <v>924</v>
      </c>
      <c r="I170" s="4" t="s">
        <v>951</v>
      </c>
      <c r="J170" s="2" t="s">
        <v>71</v>
      </c>
      <c r="K170" s="2" t="s">
        <v>71</v>
      </c>
      <c r="L170" s="2" t="s">
        <v>76</v>
      </c>
      <c r="M170" s="2" t="s">
        <v>72</v>
      </c>
      <c r="N170" s="2" t="s">
        <v>71</v>
      </c>
      <c r="O170" s="2" t="s">
        <v>72</v>
      </c>
      <c r="P170" s="2" t="s">
        <v>72</v>
      </c>
      <c r="Q170" s="2" t="s">
        <v>72</v>
      </c>
      <c r="R170" s="2" t="s">
        <v>76</v>
      </c>
      <c r="S170" s="2" t="s">
        <v>72</v>
      </c>
      <c r="T170" s="2" t="s">
        <v>71</v>
      </c>
      <c r="U170" s="2" t="s">
        <v>72</v>
      </c>
      <c r="V170" s="2" t="s">
        <v>76</v>
      </c>
      <c r="W170" s="2" t="s">
        <v>76</v>
      </c>
      <c r="X170" s="2" t="s">
        <v>76</v>
      </c>
      <c r="Y170" s="2" t="s">
        <v>72</v>
      </c>
      <c r="Z170" s="2" t="s">
        <v>72</v>
      </c>
      <c r="AA170" s="2" t="s">
        <v>71</v>
      </c>
      <c r="AB170" s="2" t="s">
        <v>71</v>
      </c>
      <c r="AC170" s="2" t="s">
        <v>71</v>
      </c>
      <c r="AD170" s="2" t="s">
        <v>91</v>
      </c>
      <c r="AF170" s="4">
        <v>1</v>
      </c>
    </row>
    <row r="171" spans="1:32" ht="48" x14ac:dyDescent="0.2">
      <c r="A171" s="4">
        <v>43639779</v>
      </c>
      <c r="B171" s="2">
        <f>VLOOKUP(A171,[1]TRATAMIENTI!$A:$B,2,FALSE)</f>
        <v>553</v>
      </c>
      <c r="C171" s="4" t="s">
        <v>1295</v>
      </c>
      <c r="D171" s="4">
        <v>3004208996</v>
      </c>
      <c r="E171" s="4" t="s">
        <v>1296</v>
      </c>
      <c r="F171" s="4" t="s">
        <v>928</v>
      </c>
      <c r="G171" s="2" t="str">
        <f t="shared" si="2"/>
        <v>ANTIOQUIA</v>
      </c>
      <c r="H171" s="4" t="s">
        <v>924</v>
      </c>
      <c r="I171" s="4" t="s">
        <v>944</v>
      </c>
      <c r="J171" s="2" t="s">
        <v>71</v>
      </c>
      <c r="K171" s="2" t="s">
        <v>71</v>
      </c>
      <c r="L171" s="2" t="s">
        <v>71</v>
      </c>
      <c r="M171" s="2" t="s">
        <v>71</v>
      </c>
      <c r="N171" s="2" t="s">
        <v>71</v>
      </c>
      <c r="O171" s="2" t="s">
        <v>71</v>
      </c>
      <c r="P171" s="2" t="s">
        <v>71</v>
      </c>
      <c r="Q171" s="2" t="s">
        <v>71</v>
      </c>
      <c r="R171" s="2" t="s">
        <v>71</v>
      </c>
      <c r="S171" s="2" t="s">
        <v>71</v>
      </c>
      <c r="T171" s="2" t="s">
        <v>71</v>
      </c>
      <c r="U171" s="2" t="s">
        <v>71</v>
      </c>
      <c r="V171" s="2" t="s">
        <v>76</v>
      </c>
      <c r="W171" s="2" t="s">
        <v>76</v>
      </c>
      <c r="X171" s="2" t="s">
        <v>76</v>
      </c>
      <c r="Y171" s="2" t="s">
        <v>72</v>
      </c>
      <c r="Z171" s="2" t="s">
        <v>72</v>
      </c>
      <c r="AA171" s="2" t="s">
        <v>72</v>
      </c>
      <c r="AB171" s="2" t="s">
        <v>72</v>
      </c>
      <c r="AC171" s="2" t="s">
        <v>71</v>
      </c>
      <c r="AD171" s="2" t="s">
        <v>179</v>
      </c>
      <c r="AF171" s="4">
        <v>2</v>
      </c>
    </row>
    <row r="172" spans="1:32" ht="64" x14ac:dyDescent="0.2">
      <c r="A172" s="4">
        <v>43640603</v>
      </c>
      <c r="B172" s="2">
        <f>VLOOKUP(A172,[1]TRATAMIENTI!$A:$B,2,FALSE)</f>
        <v>554</v>
      </c>
      <c r="C172" s="4" t="s">
        <v>1297</v>
      </c>
      <c r="D172" s="4">
        <v>3217196323</v>
      </c>
      <c r="E172" s="4" t="s">
        <v>1298</v>
      </c>
      <c r="F172" s="4" t="s">
        <v>928</v>
      </c>
      <c r="G172" s="2" t="str">
        <f t="shared" si="2"/>
        <v>ANTIOQUIA</v>
      </c>
      <c r="H172" s="4" t="s">
        <v>924</v>
      </c>
      <c r="I172" s="4" t="s">
        <v>951</v>
      </c>
      <c r="J172" s="2" t="s">
        <v>76</v>
      </c>
      <c r="K172" s="2" t="s">
        <v>71</v>
      </c>
      <c r="L172" s="2" t="s">
        <v>71</v>
      </c>
      <c r="M172" s="2" t="s">
        <v>72</v>
      </c>
      <c r="N172" s="2" t="s">
        <v>71</v>
      </c>
      <c r="O172" s="2" t="s">
        <v>72</v>
      </c>
      <c r="P172" s="2" t="s">
        <v>72</v>
      </c>
      <c r="Q172" s="2" t="s">
        <v>72</v>
      </c>
      <c r="R172" s="2" t="s">
        <v>76</v>
      </c>
      <c r="S172" s="2" t="s">
        <v>72</v>
      </c>
      <c r="T172" s="2" t="s">
        <v>76</v>
      </c>
      <c r="U172" s="2" t="s">
        <v>72</v>
      </c>
      <c r="V172" s="2" t="s">
        <v>76</v>
      </c>
      <c r="W172" s="2" t="s">
        <v>76</v>
      </c>
      <c r="X172" s="2" t="s">
        <v>76</v>
      </c>
      <c r="Y172" s="2" t="s">
        <v>76</v>
      </c>
      <c r="Z172" s="2" t="s">
        <v>71</v>
      </c>
      <c r="AA172" s="2" t="s">
        <v>71</v>
      </c>
      <c r="AB172" s="2" t="s">
        <v>71</v>
      </c>
      <c r="AC172" s="2" t="s">
        <v>71</v>
      </c>
      <c r="AD172" s="2" t="s">
        <v>80</v>
      </c>
      <c r="AF172" s="4">
        <v>2</v>
      </c>
    </row>
    <row r="173" spans="1:32" ht="80" x14ac:dyDescent="0.2">
      <c r="A173" s="4">
        <v>43681503</v>
      </c>
      <c r="B173" s="2">
        <f>VLOOKUP(A173,[1]TRATAMIENTI!$A:$B,2,FALSE)</f>
        <v>555</v>
      </c>
      <c r="C173" s="4" t="s">
        <v>1299</v>
      </c>
      <c r="D173" s="4">
        <v>3138759750</v>
      </c>
      <c r="E173" s="4" t="s">
        <v>1300</v>
      </c>
      <c r="F173" s="4" t="s">
        <v>928</v>
      </c>
      <c r="G173" s="2" t="str">
        <f t="shared" si="2"/>
        <v>ANTIOQUIA</v>
      </c>
      <c r="H173" s="4" t="s">
        <v>924</v>
      </c>
      <c r="I173" s="4" t="s">
        <v>951</v>
      </c>
      <c r="J173" s="2" t="s">
        <v>76</v>
      </c>
      <c r="K173" s="2" t="s">
        <v>71</v>
      </c>
      <c r="L173" s="2" t="s">
        <v>71</v>
      </c>
      <c r="M173" s="2" t="s">
        <v>76</v>
      </c>
      <c r="N173" s="2"/>
      <c r="O173" s="2" t="s">
        <v>72</v>
      </c>
      <c r="P173" s="2" t="s">
        <v>72</v>
      </c>
      <c r="Q173" s="2" t="s">
        <v>72</v>
      </c>
      <c r="R173" s="2" t="s">
        <v>72</v>
      </c>
      <c r="S173" s="2" t="s">
        <v>72</v>
      </c>
      <c r="T173" s="2" t="s">
        <v>72</v>
      </c>
      <c r="U173" s="2" t="s">
        <v>72</v>
      </c>
      <c r="V173" s="2" t="s">
        <v>71</v>
      </c>
      <c r="W173" s="2" t="s">
        <v>71</v>
      </c>
      <c r="X173" s="2" t="s">
        <v>71</v>
      </c>
      <c r="Y173" s="2" t="s">
        <v>71</v>
      </c>
      <c r="Z173" s="2" t="s">
        <v>71</v>
      </c>
      <c r="AA173" s="2" t="s">
        <v>71</v>
      </c>
      <c r="AB173" s="2" t="s">
        <v>71</v>
      </c>
      <c r="AC173" s="2" t="s">
        <v>71</v>
      </c>
      <c r="AD173" s="2" t="s">
        <v>256</v>
      </c>
      <c r="AF173" s="4">
        <v>1</v>
      </c>
    </row>
    <row r="174" spans="1:32" ht="64" x14ac:dyDescent="0.2">
      <c r="A174" s="4">
        <v>43750015</v>
      </c>
      <c r="B174" s="2">
        <f>VLOOKUP(A174,[1]TRATAMIENTI!$A:$B,2,FALSE)</f>
        <v>556</v>
      </c>
      <c r="C174" s="4" t="s">
        <v>1301</v>
      </c>
      <c r="D174" s="4">
        <v>3105981851</v>
      </c>
      <c r="E174" s="4" t="s">
        <v>1302</v>
      </c>
      <c r="F174" s="4" t="s">
        <v>928</v>
      </c>
      <c r="G174" s="2" t="str">
        <f t="shared" si="2"/>
        <v>ANTIOQUIA</v>
      </c>
      <c r="H174" s="4" t="s">
        <v>924</v>
      </c>
      <c r="I174" s="4" t="s">
        <v>951</v>
      </c>
      <c r="J174" s="2" t="s">
        <v>76</v>
      </c>
      <c r="K174" s="2" t="s">
        <v>71</v>
      </c>
      <c r="L174" s="2" t="s">
        <v>71</v>
      </c>
      <c r="M174" s="2" t="s">
        <v>72</v>
      </c>
      <c r="N174" s="2" t="s">
        <v>71</v>
      </c>
      <c r="O174" s="2" t="s">
        <v>71</v>
      </c>
      <c r="P174" s="2" t="s">
        <v>72</v>
      </c>
      <c r="Q174" s="2" t="s">
        <v>72</v>
      </c>
      <c r="R174" s="2" t="s">
        <v>76</v>
      </c>
      <c r="S174" s="2" t="s">
        <v>72</v>
      </c>
      <c r="T174" s="2" t="s">
        <v>71</v>
      </c>
      <c r="U174" s="2" t="s">
        <v>72</v>
      </c>
      <c r="V174" s="2" t="s">
        <v>71</v>
      </c>
      <c r="W174" s="2" t="s">
        <v>76</v>
      </c>
      <c r="X174" s="2" t="s">
        <v>76</v>
      </c>
      <c r="Y174" s="2" t="s">
        <v>76</v>
      </c>
      <c r="Z174" s="2" t="s">
        <v>72</v>
      </c>
      <c r="AA174" s="2" t="s">
        <v>71</v>
      </c>
      <c r="AB174" s="2" t="s">
        <v>71</v>
      </c>
      <c r="AC174" s="2" t="s">
        <v>71</v>
      </c>
      <c r="AD174" s="2" t="s">
        <v>80</v>
      </c>
      <c r="AF174" s="4">
        <v>2</v>
      </c>
    </row>
    <row r="175" spans="1:32" ht="48" x14ac:dyDescent="0.2">
      <c r="A175" s="4">
        <v>43752818</v>
      </c>
      <c r="B175" s="2">
        <f>VLOOKUP(A175,[1]TRATAMIENTI!$A:$B,2,FALSE)</f>
        <v>557</v>
      </c>
      <c r="C175" s="4" t="s">
        <v>1303</v>
      </c>
      <c r="D175" s="4">
        <v>3207588252</v>
      </c>
      <c r="E175" s="4" t="s">
        <v>1304</v>
      </c>
      <c r="F175" s="4" t="s">
        <v>928</v>
      </c>
      <c r="G175" s="2" t="str">
        <f t="shared" si="2"/>
        <v>ANTIOQUIA</v>
      </c>
      <c r="H175" s="4" t="s">
        <v>924</v>
      </c>
      <c r="I175" s="4" t="s">
        <v>951</v>
      </c>
      <c r="J175" s="2" t="s">
        <v>76</v>
      </c>
      <c r="K175" s="2" t="s">
        <v>71</v>
      </c>
      <c r="L175" s="2" t="s">
        <v>71</v>
      </c>
      <c r="M175" s="2" t="s">
        <v>72</v>
      </c>
      <c r="N175" s="2" t="s">
        <v>71</v>
      </c>
      <c r="O175" s="2" t="s">
        <v>71</v>
      </c>
      <c r="P175" s="2" t="s">
        <v>72</v>
      </c>
      <c r="Q175" s="2" t="s">
        <v>72</v>
      </c>
      <c r="R175" s="2" t="s">
        <v>76</v>
      </c>
      <c r="S175" s="2" t="s">
        <v>72</v>
      </c>
      <c r="T175" s="2" t="s">
        <v>71</v>
      </c>
      <c r="U175" s="2" t="s">
        <v>72</v>
      </c>
      <c r="V175" s="2" t="s">
        <v>71</v>
      </c>
      <c r="W175" s="2" t="s">
        <v>72</v>
      </c>
      <c r="X175" s="2" t="s">
        <v>72</v>
      </c>
      <c r="Y175" s="2" t="s">
        <v>71</v>
      </c>
      <c r="Z175" s="2" t="s">
        <v>76</v>
      </c>
      <c r="AA175" s="2" t="s">
        <v>71</v>
      </c>
      <c r="AB175" s="2" t="s">
        <v>71</v>
      </c>
      <c r="AC175" s="2" t="s">
        <v>71</v>
      </c>
      <c r="AD175" s="2" t="s">
        <v>80</v>
      </c>
      <c r="AF175" s="4">
        <v>2</v>
      </c>
    </row>
    <row r="176" spans="1:32" ht="48" x14ac:dyDescent="0.2">
      <c r="A176" s="4">
        <v>43755833</v>
      </c>
      <c r="B176" s="2">
        <f>VLOOKUP(A176,[1]TRATAMIENTI!$A:$B,2,FALSE)</f>
        <v>558</v>
      </c>
      <c r="C176" s="4" t="s">
        <v>1305</v>
      </c>
      <c r="D176" s="4">
        <v>3225791147</v>
      </c>
      <c r="E176" s="4" t="s">
        <v>1306</v>
      </c>
      <c r="F176" s="4" t="s">
        <v>928</v>
      </c>
      <c r="G176" s="2" t="str">
        <f t="shared" si="2"/>
        <v>ANTIOQUIA</v>
      </c>
      <c r="H176" s="4" t="s">
        <v>924</v>
      </c>
      <c r="I176" s="4" t="s">
        <v>936</v>
      </c>
      <c r="J176" s="2" t="s">
        <v>71</v>
      </c>
      <c r="K176" s="2" t="s">
        <v>71</v>
      </c>
      <c r="L176" s="2" t="s">
        <v>71</v>
      </c>
      <c r="M176" s="2" t="s">
        <v>72</v>
      </c>
      <c r="N176" s="2" t="s">
        <v>71</v>
      </c>
      <c r="O176" s="2" t="s">
        <v>72</v>
      </c>
      <c r="P176" s="2" t="s">
        <v>72</v>
      </c>
      <c r="Q176" s="2" t="s">
        <v>72</v>
      </c>
      <c r="R176" s="2" t="s">
        <v>76</v>
      </c>
      <c r="S176" s="2" t="s">
        <v>72</v>
      </c>
      <c r="T176" s="2" t="s">
        <v>71</v>
      </c>
      <c r="U176" s="2" t="s">
        <v>72</v>
      </c>
      <c r="V176" s="2" t="s">
        <v>76</v>
      </c>
      <c r="W176" s="2" t="s">
        <v>76</v>
      </c>
      <c r="X176" s="2" t="s">
        <v>76</v>
      </c>
      <c r="Y176" s="2" t="s">
        <v>72</v>
      </c>
      <c r="Z176" s="2" t="s">
        <v>72</v>
      </c>
      <c r="AA176" s="2" t="s">
        <v>72</v>
      </c>
      <c r="AB176" s="2" t="s">
        <v>72</v>
      </c>
      <c r="AC176" s="2" t="s">
        <v>71</v>
      </c>
      <c r="AD176" s="2" t="s">
        <v>80</v>
      </c>
      <c r="AF176" s="4">
        <v>3</v>
      </c>
    </row>
    <row r="177" spans="1:32" ht="48" x14ac:dyDescent="0.2">
      <c r="A177" s="4">
        <v>43905793</v>
      </c>
      <c r="B177" s="2">
        <f>VLOOKUP(A177,[1]TRATAMIENTI!$A:$B,2,FALSE)</f>
        <v>559</v>
      </c>
      <c r="C177" s="4" t="s">
        <v>1307</v>
      </c>
      <c r="D177" s="4" t="s">
        <v>1308</v>
      </c>
      <c r="E177" s="4" t="s">
        <v>1309</v>
      </c>
      <c r="F177" s="4" t="s">
        <v>928</v>
      </c>
      <c r="G177" s="2" t="str">
        <f t="shared" si="2"/>
        <v>ANTIOQUIA</v>
      </c>
      <c r="H177" s="4" t="s">
        <v>924</v>
      </c>
      <c r="I177" s="4" t="s">
        <v>944</v>
      </c>
      <c r="J177" s="2" t="s">
        <v>76</v>
      </c>
      <c r="K177" s="2" t="s">
        <v>71</v>
      </c>
      <c r="L177" s="2" t="s">
        <v>71</v>
      </c>
      <c r="M177" s="2" t="s">
        <v>76</v>
      </c>
      <c r="N177" s="2" t="s">
        <v>76</v>
      </c>
      <c r="O177" s="2" t="s">
        <v>72</v>
      </c>
      <c r="P177" s="2" t="s">
        <v>72</v>
      </c>
      <c r="Q177" s="2" t="s">
        <v>72</v>
      </c>
      <c r="R177" s="2" t="s">
        <v>76</v>
      </c>
      <c r="S177" s="2" t="s">
        <v>72</v>
      </c>
      <c r="T177" s="2" t="s">
        <v>72</v>
      </c>
      <c r="U177" s="2" t="s">
        <v>72</v>
      </c>
      <c r="V177" s="2" t="s">
        <v>76</v>
      </c>
      <c r="W177" s="2" t="s">
        <v>76</v>
      </c>
      <c r="X177" s="2" t="s">
        <v>76</v>
      </c>
      <c r="Y177" s="2" t="s">
        <v>72</v>
      </c>
      <c r="Z177" s="2" t="s">
        <v>72</v>
      </c>
      <c r="AA177" s="2" t="s">
        <v>72</v>
      </c>
      <c r="AB177" s="2" t="s">
        <v>72</v>
      </c>
      <c r="AC177" s="2" t="s">
        <v>71</v>
      </c>
      <c r="AD177" s="2" t="s">
        <v>80</v>
      </c>
      <c r="AF177" s="4">
        <v>2</v>
      </c>
    </row>
    <row r="178" spans="1:32" ht="48" x14ac:dyDescent="0.2">
      <c r="A178" s="4">
        <v>43973029</v>
      </c>
      <c r="B178" s="2">
        <f>VLOOKUP(A178,[1]TRATAMIENTI!$A:$B,2,FALSE)</f>
        <v>560</v>
      </c>
      <c r="C178" s="4" t="s">
        <v>1310</v>
      </c>
      <c r="D178" s="4">
        <v>3215806448</v>
      </c>
      <c r="E178" s="4" t="s">
        <v>1311</v>
      </c>
      <c r="F178" s="4" t="s">
        <v>928</v>
      </c>
      <c r="G178" s="2" t="str">
        <f t="shared" si="2"/>
        <v>ANTIOQUIA</v>
      </c>
      <c r="H178" s="4" t="s">
        <v>924</v>
      </c>
      <c r="I178" s="4" t="s">
        <v>931</v>
      </c>
      <c r="J178" s="2" t="s">
        <v>71</v>
      </c>
      <c r="K178" s="2" t="s">
        <v>71</v>
      </c>
      <c r="L178" s="2" t="s">
        <v>76</v>
      </c>
      <c r="M178" s="2" t="s">
        <v>72</v>
      </c>
      <c r="N178" s="2" t="s">
        <v>71</v>
      </c>
      <c r="O178" s="2" t="s">
        <v>72</v>
      </c>
      <c r="P178" s="2" t="s">
        <v>72</v>
      </c>
      <c r="Q178" s="2" t="s">
        <v>72</v>
      </c>
      <c r="R178" s="2" t="s">
        <v>76</v>
      </c>
      <c r="S178" s="2" t="s">
        <v>72</v>
      </c>
      <c r="T178" s="2" t="s">
        <v>71</v>
      </c>
      <c r="U178" s="2" t="s">
        <v>72</v>
      </c>
      <c r="V178" s="2" t="s">
        <v>76</v>
      </c>
      <c r="W178" s="2" t="s">
        <v>76</v>
      </c>
      <c r="X178" s="2" t="s">
        <v>76</v>
      </c>
      <c r="Y178" s="2" t="s">
        <v>72</v>
      </c>
      <c r="Z178" s="2" t="s">
        <v>72</v>
      </c>
      <c r="AA178" s="2" t="s">
        <v>72</v>
      </c>
      <c r="AB178" s="2" t="s">
        <v>72</v>
      </c>
      <c r="AC178" s="2" t="s">
        <v>71</v>
      </c>
      <c r="AD178" s="2" t="s">
        <v>91</v>
      </c>
      <c r="AF178" s="4">
        <v>2</v>
      </c>
    </row>
    <row r="179" spans="1:32" ht="48" x14ac:dyDescent="0.2">
      <c r="A179" s="4">
        <v>44003061</v>
      </c>
      <c r="B179" s="2">
        <f>VLOOKUP(A179,[1]TRATAMIENTI!$A:$B,2,FALSE)</f>
        <v>561</v>
      </c>
      <c r="C179" s="4" t="s">
        <v>1312</v>
      </c>
      <c r="D179" s="4">
        <v>3022932777</v>
      </c>
      <c r="E179" s="4" t="s">
        <v>1313</v>
      </c>
      <c r="F179" s="4" t="s">
        <v>928</v>
      </c>
      <c r="G179" s="2" t="str">
        <f t="shared" si="2"/>
        <v>ANTIOQUIA</v>
      </c>
      <c r="H179" s="4" t="s">
        <v>924</v>
      </c>
      <c r="I179" s="4" t="s">
        <v>931</v>
      </c>
      <c r="J179" s="2" t="s">
        <v>71</v>
      </c>
      <c r="K179" s="2" t="s">
        <v>71</v>
      </c>
      <c r="L179" s="2" t="s">
        <v>71</v>
      </c>
      <c r="M179" s="2" t="s">
        <v>72</v>
      </c>
      <c r="N179" s="2" t="s">
        <v>71</v>
      </c>
      <c r="O179" s="2" t="s">
        <v>72</v>
      </c>
      <c r="P179" s="2" t="s">
        <v>72</v>
      </c>
      <c r="Q179" s="2" t="s">
        <v>72</v>
      </c>
      <c r="R179" s="2" t="s">
        <v>76</v>
      </c>
      <c r="S179" s="2" t="s">
        <v>72</v>
      </c>
      <c r="T179" s="2" t="s">
        <v>71</v>
      </c>
      <c r="U179" s="2" t="s">
        <v>72</v>
      </c>
      <c r="V179" s="2" t="s">
        <v>76</v>
      </c>
      <c r="W179" s="2" t="s">
        <v>76</v>
      </c>
      <c r="X179" s="2" t="s">
        <v>76</v>
      </c>
      <c r="Y179" s="2" t="s">
        <v>72</v>
      </c>
      <c r="Z179" s="2" t="s">
        <v>72</v>
      </c>
      <c r="AA179" s="2" t="s">
        <v>72</v>
      </c>
      <c r="AB179" s="2" t="s">
        <v>72</v>
      </c>
      <c r="AC179" s="2" t="s">
        <v>71</v>
      </c>
      <c r="AD179" s="2" t="s">
        <v>80</v>
      </c>
      <c r="AF179" s="4">
        <v>2</v>
      </c>
    </row>
    <row r="180" spans="1:32" ht="80" x14ac:dyDescent="0.2">
      <c r="A180" s="4">
        <v>49670234</v>
      </c>
      <c r="B180" s="2">
        <f>VLOOKUP(A180,[1]TRATAMIENTI!$A:$B,2,FALSE)</f>
        <v>562</v>
      </c>
      <c r="C180" s="4" t="s">
        <v>1314</v>
      </c>
      <c r="D180" s="4">
        <v>3007561062</v>
      </c>
      <c r="E180" s="4" t="s">
        <v>1315</v>
      </c>
      <c r="F180" s="4" t="s">
        <v>928</v>
      </c>
      <c r="G180" s="2" t="str">
        <f t="shared" si="2"/>
        <v>ANTIOQUIA</v>
      </c>
      <c r="H180" s="4" t="s">
        <v>924</v>
      </c>
      <c r="I180" s="4" t="s">
        <v>944</v>
      </c>
      <c r="J180" s="2" t="s">
        <v>71</v>
      </c>
      <c r="K180" s="2" t="s">
        <v>71</v>
      </c>
      <c r="L180" s="2" t="s">
        <v>71</v>
      </c>
      <c r="M180" s="2" t="s">
        <v>72</v>
      </c>
      <c r="N180" s="2" t="s">
        <v>71</v>
      </c>
      <c r="O180" s="2" t="s">
        <v>72</v>
      </c>
      <c r="P180" s="2" t="s">
        <v>72</v>
      </c>
      <c r="Q180" s="2" t="s">
        <v>72</v>
      </c>
      <c r="R180" s="2" t="s">
        <v>76</v>
      </c>
      <c r="S180" s="2" t="s">
        <v>72</v>
      </c>
      <c r="T180" s="2" t="s">
        <v>76</v>
      </c>
      <c r="U180" s="2" t="s">
        <v>72</v>
      </c>
      <c r="V180" s="2" t="s">
        <v>76</v>
      </c>
      <c r="W180" s="2" t="s">
        <v>76</v>
      </c>
      <c r="X180" s="2" t="s">
        <v>76</v>
      </c>
      <c r="Y180" s="2" t="s">
        <v>72</v>
      </c>
      <c r="Z180" s="2" t="s">
        <v>72</v>
      </c>
      <c r="AA180" s="2" t="s">
        <v>72</v>
      </c>
      <c r="AB180" s="2" t="s">
        <v>71</v>
      </c>
      <c r="AC180" s="2" t="s">
        <v>71</v>
      </c>
      <c r="AD180" s="2" t="s">
        <v>80</v>
      </c>
      <c r="AF180" s="4">
        <v>2</v>
      </c>
    </row>
    <row r="181" spans="1:32" ht="64" x14ac:dyDescent="0.2">
      <c r="A181" s="4">
        <v>49691954</v>
      </c>
      <c r="B181" s="2">
        <f>VLOOKUP(A181,[1]TRATAMIENTI!$A:$B,2,FALSE)</f>
        <v>563</v>
      </c>
      <c r="C181" s="4" t="s">
        <v>1316</v>
      </c>
      <c r="D181" s="4">
        <v>3012820604</v>
      </c>
      <c r="E181" s="4" t="s">
        <v>1317</v>
      </c>
      <c r="F181" s="4" t="s">
        <v>928</v>
      </c>
      <c r="G181" s="2" t="str">
        <f t="shared" si="2"/>
        <v>ANTIOQUIA</v>
      </c>
      <c r="H181" s="4" t="s">
        <v>924</v>
      </c>
      <c r="I181" s="4" t="s">
        <v>936</v>
      </c>
      <c r="J181" s="2" t="s">
        <v>71</v>
      </c>
      <c r="K181" s="2" t="s">
        <v>71</v>
      </c>
      <c r="L181" s="2" t="s">
        <v>71</v>
      </c>
      <c r="M181" s="2" t="s">
        <v>72</v>
      </c>
      <c r="N181" s="2" t="s">
        <v>71</v>
      </c>
      <c r="O181" s="2" t="s">
        <v>72</v>
      </c>
      <c r="P181" s="2" t="s">
        <v>72</v>
      </c>
      <c r="Q181" s="2" t="s">
        <v>72</v>
      </c>
      <c r="R181" s="2" t="s">
        <v>76</v>
      </c>
      <c r="S181" s="2" t="s">
        <v>72</v>
      </c>
      <c r="T181" s="2" t="s">
        <v>71</v>
      </c>
      <c r="U181" s="2" t="s">
        <v>72</v>
      </c>
      <c r="V181" s="2" t="s">
        <v>76</v>
      </c>
      <c r="W181" s="2" t="s">
        <v>76</v>
      </c>
      <c r="X181" s="2" t="s">
        <v>76</v>
      </c>
      <c r="Y181" s="2" t="s">
        <v>71</v>
      </c>
      <c r="Z181" s="2" t="s">
        <v>72</v>
      </c>
      <c r="AA181" s="2" t="s">
        <v>72</v>
      </c>
      <c r="AB181" s="2" t="s">
        <v>71</v>
      </c>
      <c r="AC181" s="2" t="s">
        <v>71</v>
      </c>
      <c r="AD181" s="2" t="s">
        <v>80</v>
      </c>
      <c r="AF181" s="4">
        <v>2</v>
      </c>
    </row>
    <row r="182" spans="1:32" ht="48" x14ac:dyDescent="0.2">
      <c r="A182" s="4">
        <v>50947411</v>
      </c>
      <c r="B182" s="2">
        <f>VLOOKUP(A182,[1]TRATAMIENTI!$A:$B,2,FALSE)</f>
        <v>564</v>
      </c>
      <c r="C182" s="4" t="s">
        <v>1318</v>
      </c>
      <c r="D182" s="4" t="s">
        <v>1319</v>
      </c>
      <c r="E182" s="4" t="s">
        <v>1320</v>
      </c>
      <c r="F182" s="4" t="s">
        <v>928</v>
      </c>
      <c r="G182" s="2" t="str">
        <f t="shared" si="2"/>
        <v>ANTIOQUIA</v>
      </c>
      <c r="H182" s="4" t="s">
        <v>924</v>
      </c>
      <c r="I182" s="4" t="s">
        <v>951</v>
      </c>
      <c r="J182" s="2" t="s">
        <v>71</v>
      </c>
      <c r="K182" s="2" t="s">
        <v>71</v>
      </c>
      <c r="L182" s="2" t="s">
        <v>71</v>
      </c>
      <c r="M182" s="2" t="s">
        <v>71</v>
      </c>
      <c r="N182" s="2" t="s">
        <v>71</v>
      </c>
      <c r="O182" s="2" t="s">
        <v>71</v>
      </c>
      <c r="P182" s="2" t="s">
        <v>71</v>
      </c>
      <c r="Q182" s="2" t="s">
        <v>71</v>
      </c>
      <c r="R182" s="2" t="s">
        <v>71</v>
      </c>
      <c r="S182" s="2" t="s">
        <v>71</v>
      </c>
      <c r="T182" s="2" t="s">
        <v>71</v>
      </c>
      <c r="U182" s="2" t="s">
        <v>71</v>
      </c>
      <c r="V182" s="2" t="s">
        <v>76</v>
      </c>
      <c r="W182" s="2" t="s">
        <v>76</v>
      </c>
      <c r="X182" s="2" t="s">
        <v>76</v>
      </c>
      <c r="Y182" s="2" t="s">
        <v>72</v>
      </c>
      <c r="Z182" s="2" t="s">
        <v>72</v>
      </c>
      <c r="AA182" s="2" t="s">
        <v>72</v>
      </c>
      <c r="AB182" s="2" t="s">
        <v>72</v>
      </c>
      <c r="AC182" s="2" t="s">
        <v>72</v>
      </c>
      <c r="AD182" s="2" t="s">
        <v>179</v>
      </c>
      <c r="AF182" s="4">
        <v>3</v>
      </c>
    </row>
    <row r="183" spans="1:32" ht="48" x14ac:dyDescent="0.2">
      <c r="A183" s="4">
        <v>670254</v>
      </c>
      <c r="B183" s="2">
        <f>VLOOKUP(A183,[1]TRATAMIENTI!$A:$B,2,FALSE)</f>
        <v>565</v>
      </c>
      <c r="C183" s="4" t="s">
        <v>1321</v>
      </c>
      <c r="D183" s="4" t="s">
        <v>1322</v>
      </c>
      <c r="E183" s="4" t="s">
        <v>1323</v>
      </c>
      <c r="F183" s="4" t="s">
        <v>928</v>
      </c>
      <c r="G183" s="2" t="str">
        <f t="shared" si="2"/>
        <v>ANTIOQUIA</v>
      </c>
      <c r="H183" s="4" t="s">
        <v>924</v>
      </c>
      <c r="I183" s="4" t="s">
        <v>951</v>
      </c>
      <c r="J183" s="2" t="s">
        <v>71</v>
      </c>
      <c r="K183" s="2" t="s">
        <v>71</v>
      </c>
      <c r="L183" s="2" t="s">
        <v>72</v>
      </c>
      <c r="M183" s="2" t="s">
        <v>72</v>
      </c>
      <c r="N183" s="2" t="s">
        <v>76</v>
      </c>
      <c r="O183" s="2" t="s">
        <v>72</v>
      </c>
      <c r="P183" s="2" t="s">
        <v>72</v>
      </c>
      <c r="Q183" s="2" t="s">
        <v>72</v>
      </c>
      <c r="R183" s="2" t="s">
        <v>76</v>
      </c>
      <c r="S183" s="2" t="s">
        <v>72</v>
      </c>
      <c r="T183" s="2" t="s">
        <v>72</v>
      </c>
      <c r="U183" s="2" t="s">
        <v>72</v>
      </c>
      <c r="V183" s="2" t="s">
        <v>76</v>
      </c>
      <c r="W183" s="2" t="s">
        <v>76</v>
      </c>
      <c r="X183" s="2" t="s">
        <v>76</v>
      </c>
      <c r="Y183" s="2" t="s">
        <v>72</v>
      </c>
      <c r="Z183" s="2" t="s">
        <v>72</v>
      </c>
      <c r="AA183" s="2" t="s">
        <v>72</v>
      </c>
      <c r="AB183" s="2" t="s">
        <v>72</v>
      </c>
      <c r="AC183" s="2" t="s">
        <v>71</v>
      </c>
      <c r="AD183" s="2" t="s">
        <v>91</v>
      </c>
      <c r="AF183" s="4">
        <v>1</v>
      </c>
    </row>
    <row r="184" spans="1:32" ht="64" x14ac:dyDescent="0.2">
      <c r="A184" s="4">
        <v>70432281</v>
      </c>
      <c r="B184" s="2">
        <f>VLOOKUP(A184,[1]TRATAMIENTI!$A:$B,2,FALSE)</f>
        <v>566</v>
      </c>
      <c r="C184" s="4" t="s">
        <v>1324</v>
      </c>
      <c r="D184" s="4" t="s">
        <v>1325</v>
      </c>
      <c r="E184" s="4" t="s">
        <v>1326</v>
      </c>
      <c r="F184" s="4" t="s">
        <v>928</v>
      </c>
      <c r="G184" s="2" t="str">
        <f t="shared" si="2"/>
        <v>ANTIOQUIA</v>
      </c>
      <c r="H184" s="4" t="s">
        <v>924</v>
      </c>
      <c r="I184" s="4" t="s">
        <v>951</v>
      </c>
      <c r="J184" s="2" t="s">
        <v>71</v>
      </c>
      <c r="K184" s="2" t="s">
        <v>71</v>
      </c>
      <c r="L184" s="2" t="s">
        <v>71</v>
      </c>
      <c r="M184" s="2" t="s">
        <v>72</v>
      </c>
      <c r="N184" s="2" t="s">
        <v>71</v>
      </c>
      <c r="O184" s="2" t="s">
        <v>72</v>
      </c>
      <c r="P184" s="2" t="s">
        <v>72</v>
      </c>
      <c r="Q184" s="2" t="s">
        <v>72</v>
      </c>
      <c r="R184" s="2" t="s">
        <v>76</v>
      </c>
      <c r="S184" s="2" t="s">
        <v>71</v>
      </c>
      <c r="T184" s="2" t="s">
        <v>71</v>
      </c>
      <c r="U184" s="2" t="s">
        <v>72</v>
      </c>
      <c r="V184" s="2" t="s">
        <v>76</v>
      </c>
      <c r="W184" s="2" t="s">
        <v>76</v>
      </c>
      <c r="X184" s="2" t="s">
        <v>76</v>
      </c>
      <c r="Y184" s="2" t="s">
        <v>71</v>
      </c>
      <c r="Z184" s="2" t="s">
        <v>72</v>
      </c>
      <c r="AA184" s="2" t="s">
        <v>72</v>
      </c>
      <c r="AB184" s="2" t="s">
        <v>71</v>
      </c>
      <c r="AC184" s="2" t="s">
        <v>71</v>
      </c>
      <c r="AD184" s="2" t="s">
        <v>80</v>
      </c>
      <c r="AF184" s="4">
        <v>2</v>
      </c>
    </row>
    <row r="185" spans="1:32" ht="48" x14ac:dyDescent="0.2">
      <c r="A185" s="4">
        <v>70540124</v>
      </c>
      <c r="B185" s="2">
        <f>VLOOKUP(A185,[1]TRATAMIENTI!$A:$B,2,FALSE)</f>
        <v>567</v>
      </c>
      <c r="C185" s="4" t="s">
        <v>1327</v>
      </c>
      <c r="D185" s="4">
        <v>3015017213</v>
      </c>
      <c r="E185" s="4" t="s">
        <v>1328</v>
      </c>
      <c r="F185" s="4" t="s">
        <v>928</v>
      </c>
      <c r="G185" s="2" t="str">
        <f t="shared" si="2"/>
        <v>ANTIOQUIA</v>
      </c>
      <c r="H185" s="4" t="s">
        <v>924</v>
      </c>
      <c r="I185" s="4" t="s">
        <v>941</v>
      </c>
      <c r="J185" s="2" t="s">
        <v>76</v>
      </c>
      <c r="K185" s="2" t="s">
        <v>76</v>
      </c>
      <c r="L185" s="2" t="s">
        <v>71</v>
      </c>
      <c r="M185" s="2" t="s">
        <v>76</v>
      </c>
      <c r="N185" s="2" t="s">
        <v>71</v>
      </c>
      <c r="O185" s="2" t="s">
        <v>72</v>
      </c>
      <c r="P185" s="2" t="s">
        <v>72</v>
      </c>
      <c r="Q185" s="2" t="s">
        <v>72</v>
      </c>
      <c r="R185" s="2" t="s">
        <v>76</v>
      </c>
      <c r="S185" s="2" t="s">
        <v>72</v>
      </c>
      <c r="T185" s="2" t="s">
        <v>72</v>
      </c>
      <c r="U185" s="2" t="s">
        <v>72</v>
      </c>
      <c r="V185" s="2" t="s">
        <v>76</v>
      </c>
      <c r="W185" s="2" t="s">
        <v>76</v>
      </c>
      <c r="X185" s="2" t="s">
        <v>76</v>
      </c>
      <c r="Y185" s="2" t="s">
        <v>72</v>
      </c>
      <c r="Z185" s="2" t="s">
        <v>72</v>
      </c>
      <c r="AA185" s="2" t="s">
        <v>72</v>
      </c>
      <c r="AB185" s="2" t="s">
        <v>72</v>
      </c>
      <c r="AC185" s="2" t="s">
        <v>71</v>
      </c>
      <c r="AD185" s="2" t="s">
        <v>91</v>
      </c>
      <c r="AF185" s="4">
        <v>1</v>
      </c>
    </row>
    <row r="186" spans="1:32" ht="48" x14ac:dyDescent="0.2">
      <c r="A186" s="4">
        <v>70663173</v>
      </c>
      <c r="B186" s="2">
        <f>VLOOKUP(A186,[1]TRATAMIENTI!$A:$B,2,FALSE)</f>
        <v>568</v>
      </c>
      <c r="C186" s="4" t="s">
        <v>1329</v>
      </c>
      <c r="D186" s="4">
        <v>3116440151</v>
      </c>
      <c r="E186" s="4" t="s">
        <v>1330</v>
      </c>
      <c r="F186" s="4" t="s">
        <v>928</v>
      </c>
      <c r="G186" s="2" t="str">
        <f t="shared" si="2"/>
        <v>ANTIOQUIA</v>
      </c>
      <c r="H186" s="4" t="s">
        <v>924</v>
      </c>
      <c r="I186" s="4" t="s">
        <v>936</v>
      </c>
      <c r="J186" s="2" t="s">
        <v>71</v>
      </c>
      <c r="K186" s="2" t="s">
        <v>71</v>
      </c>
      <c r="L186" s="2" t="s">
        <v>71</v>
      </c>
      <c r="M186" s="2" t="s">
        <v>71</v>
      </c>
      <c r="N186" s="2" t="s">
        <v>71</v>
      </c>
      <c r="O186" s="2" t="s">
        <v>72</v>
      </c>
      <c r="P186" s="2" t="s">
        <v>72</v>
      </c>
      <c r="Q186" s="2" t="s">
        <v>72</v>
      </c>
      <c r="R186" s="2" t="s">
        <v>76</v>
      </c>
      <c r="S186" s="2" t="s">
        <v>72</v>
      </c>
      <c r="T186" s="2" t="s">
        <v>71</v>
      </c>
      <c r="U186" s="2" t="s">
        <v>72</v>
      </c>
      <c r="V186" s="2" t="s">
        <v>71</v>
      </c>
      <c r="W186" s="2" t="s">
        <v>71</v>
      </c>
      <c r="X186" s="2" t="s">
        <v>71</v>
      </c>
      <c r="Y186" s="2" t="s">
        <v>71</v>
      </c>
      <c r="Z186" s="2" t="s">
        <v>71</v>
      </c>
      <c r="AA186" s="2" t="s">
        <v>71</v>
      </c>
      <c r="AB186" s="2" t="s">
        <v>71</v>
      </c>
      <c r="AC186" s="2" t="s">
        <v>71</v>
      </c>
      <c r="AD186" s="2" t="s">
        <v>256</v>
      </c>
      <c r="AF186" s="4">
        <v>3</v>
      </c>
    </row>
    <row r="187" spans="1:32" ht="48" x14ac:dyDescent="0.2">
      <c r="A187" s="4">
        <v>70721342</v>
      </c>
      <c r="B187" s="2">
        <f>VLOOKUP(A187,[1]TRATAMIENTI!$A:$B,2,FALSE)</f>
        <v>569</v>
      </c>
      <c r="C187" s="4" t="s">
        <v>1331</v>
      </c>
      <c r="D187" s="4">
        <v>3013326380</v>
      </c>
      <c r="E187" s="4" t="s">
        <v>1332</v>
      </c>
      <c r="F187" s="4" t="s">
        <v>928</v>
      </c>
      <c r="G187" s="2" t="str">
        <f t="shared" si="2"/>
        <v>ANTIOQUIA</v>
      </c>
      <c r="H187" s="4" t="s">
        <v>924</v>
      </c>
      <c r="I187" s="4" t="s">
        <v>936</v>
      </c>
      <c r="J187" s="2" t="s">
        <v>71</v>
      </c>
      <c r="K187" s="2" t="s">
        <v>71</v>
      </c>
      <c r="L187" s="2" t="s">
        <v>72</v>
      </c>
      <c r="M187" s="2" t="s">
        <v>71</v>
      </c>
      <c r="N187" s="2" t="s">
        <v>71</v>
      </c>
      <c r="O187" s="2" t="s">
        <v>72</v>
      </c>
      <c r="P187" s="2" t="s">
        <v>72</v>
      </c>
      <c r="Q187" s="2" t="s">
        <v>72</v>
      </c>
      <c r="R187" s="2" t="s">
        <v>76</v>
      </c>
      <c r="S187" s="2" t="s">
        <v>72</v>
      </c>
      <c r="T187" s="2" t="s">
        <v>72</v>
      </c>
      <c r="U187" s="2" t="s">
        <v>72</v>
      </c>
      <c r="V187" s="2" t="s">
        <v>76</v>
      </c>
      <c r="W187" s="2" t="s">
        <v>76</v>
      </c>
      <c r="X187" s="2" t="s">
        <v>76</v>
      </c>
      <c r="Y187" s="2" t="s">
        <v>72</v>
      </c>
      <c r="Z187" s="2" t="s">
        <v>72</v>
      </c>
      <c r="AA187" s="2" t="s">
        <v>72</v>
      </c>
      <c r="AB187" s="2" t="s">
        <v>72</v>
      </c>
      <c r="AC187" s="2" t="s">
        <v>71</v>
      </c>
      <c r="AD187" s="2" t="s">
        <v>91</v>
      </c>
      <c r="AF187" s="4">
        <v>1</v>
      </c>
    </row>
    <row r="188" spans="1:32" ht="48" x14ac:dyDescent="0.2">
      <c r="A188" s="4">
        <v>71276975</v>
      </c>
      <c r="B188" s="2">
        <f>VLOOKUP(A188,[1]TRATAMIENTI!$A:$B,2,FALSE)</f>
        <v>570</v>
      </c>
      <c r="C188" s="4" t="s">
        <v>1333</v>
      </c>
      <c r="D188" s="4">
        <v>3023471694</v>
      </c>
      <c r="E188" s="4" t="s">
        <v>1334</v>
      </c>
      <c r="F188" s="4" t="s">
        <v>928</v>
      </c>
      <c r="G188" s="2" t="str">
        <f t="shared" si="2"/>
        <v>ANTIOQUIA</v>
      </c>
      <c r="H188" s="4" t="s">
        <v>924</v>
      </c>
      <c r="I188" s="4" t="s">
        <v>944</v>
      </c>
      <c r="J188" s="2" t="s">
        <v>76</v>
      </c>
      <c r="K188" s="2" t="s">
        <v>71</v>
      </c>
      <c r="L188" s="2" t="s">
        <v>71</v>
      </c>
      <c r="M188" s="2" t="s">
        <v>76</v>
      </c>
      <c r="N188" s="2" t="s">
        <v>71</v>
      </c>
      <c r="O188" s="2" t="s">
        <v>71</v>
      </c>
      <c r="P188" s="2" t="s">
        <v>72</v>
      </c>
      <c r="Q188" s="2" t="s">
        <v>72</v>
      </c>
      <c r="R188" s="2" t="s">
        <v>76</v>
      </c>
      <c r="S188" s="2" t="s">
        <v>72</v>
      </c>
      <c r="T188" s="2" t="s">
        <v>76</v>
      </c>
      <c r="U188" s="2" t="s">
        <v>72</v>
      </c>
      <c r="V188" s="2" t="s">
        <v>71</v>
      </c>
      <c r="W188" s="2" t="s">
        <v>71</v>
      </c>
      <c r="X188" s="2" t="s">
        <v>71</v>
      </c>
      <c r="Y188" s="2" t="s">
        <v>71</v>
      </c>
      <c r="Z188" s="2" t="s">
        <v>71</v>
      </c>
      <c r="AA188" s="2" t="s">
        <v>71</v>
      </c>
      <c r="AB188" s="2" t="s">
        <v>71</v>
      </c>
      <c r="AC188" s="2" t="s">
        <v>71</v>
      </c>
      <c r="AD188" s="2" t="s">
        <v>256</v>
      </c>
      <c r="AF188" s="4">
        <v>3</v>
      </c>
    </row>
    <row r="189" spans="1:32" ht="64" x14ac:dyDescent="0.2">
      <c r="A189" s="4">
        <v>71314870</v>
      </c>
      <c r="B189" s="2">
        <f>VLOOKUP(A189,[1]TRATAMIENTI!$A:$B,2,FALSE)</f>
        <v>571</v>
      </c>
      <c r="C189" s="4" t="s">
        <v>1335</v>
      </c>
      <c r="D189" s="4">
        <v>3217998750</v>
      </c>
      <c r="E189" s="4" t="s">
        <v>1336</v>
      </c>
      <c r="F189" s="4" t="s">
        <v>928</v>
      </c>
      <c r="G189" s="2" t="str">
        <f t="shared" si="2"/>
        <v>ANTIOQUIA</v>
      </c>
      <c r="H189" s="4" t="s">
        <v>924</v>
      </c>
      <c r="I189" s="4" t="s">
        <v>936</v>
      </c>
      <c r="J189" s="2" t="s">
        <v>71</v>
      </c>
      <c r="K189" s="2" t="s">
        <v>72</v>
      </c>
      <c r="L189" s="2" t="s">
        <v>71</v>
      </c>
      <c r="M189" s="2" t="s">
        <v>72</v>
      </c>
      <c r="N189" s="2" t="s">
        <v>72</v>
      </c>
      <c r="O189" s="2" t="s">
        <v>72</v>
      </c>
      <c r="P189" s="2" t="s">
        <v>72</v>
      </c>
      <c r="Q189" s="2" t="s">
        <v>72</v>
      </c>
      <c r="R189" s="2" t="s">
        <v>76</v>
      </c>
      <c r="S189" s="2" t="s">
        <v>72</v>
      </c>
      <c r="T189" s="2" t="s">
        <v>72</v>
      </c>
      <c r="U189" s="2" t="s">
        <v>72</v>
      </c>
      <c r="V189" s="2" t="s">
        <v>76</v>
      </c>
      <c r="W189" s="2" t="s">
        <v>76</v>
      </c>
      <c r="X189" s="2" t="s">
        <v>76</v>
      </c>
      <c r="Y189" s="2" t="s">
        <v>72</v>
      </c>
      <c r="Z189" s="2" t="s">
        <v>72</v>
      </c>
      <c r="AA189" s="2" t="s">
        <v>72</v>
      </c>
      <c r="AB189" s="2" t="s">
        <v>72</v>
      </c>
      <c r="AC189" s="2" t="s">
        <v>71</v>
      </c>
      <c r="AD189" s="2" t="s">
        <v>91</v>
      </c>
      <c r="AF189" s="4">
        <v>1</v>
      </c>
    </row>
    <row r="190" spans="1:32" ht="48" x14ac:dyDescent="0.2">
      <c r="A190" s="4">
        <v>71376919</v>
      </c>
      <c r="B190" s="2">
        <f>VLOOKUP(A190,[1]TRATAMIENTI!$A:$B,2,FALSE)</f>
        <v>572</v>
      </c>
      <c r="C190" s="4" t="s">
        <v>1337</v>
      </c>
      <c r="D190" s="4">
        <v>3113268719</v>
      </c>
      <c r="E190" s="4" t="s">
        <v>1338</v>
      </c>
      <c r="F190" s="4" t="s">
        <v>928</v>
      </c>
      <c r="G190" s="2" t="str">
        <f t="shared" si="2"/>
        <v>ANTIOQUIA</v>
      </c>
      <c r="H190" s="4" t="s">
        <v>924</v>
      </c>
      <c r="I190" s="4" t="s">
        <v>948</v>
      </c>
      <c r="J190" s="2" t="s">
        <v>71</v>
      </c>
      <c r="K190" s="2" t="s">
        <v>71</v>
      </c>
      <c r="L190" s="2" t="s">
        <v>71</v>
      </c>
      <c r="M190" s="2" t="s">
        <v>72</v>
      </c>
      <c r="N190" s="2" t="s">
        <v>71</v>
      </c>
      <c r="O190" s="2" t="s">
        <v>71</v>
      </c>
      <c r="P190" s="2" t="s">
        <v>72</v>
      </c>
      <c r="Q190" s="2" t="s">
        <v>72</v>
      </c>
      <c r="R190" s="2" t="s">
        <v>76</v>
      </c>
      <c r="S190" s="2" t="s">
        <v>72</v>
      </c>
      <c r="T190" s="2" t="s">
        <v>71</v>
      </c>
      <c r="U190" s="2" t="s">
        <v>72</v>
      </c>
      <c r="V190" s="2" t="s">
        <v>76</v>
      </c>
      <c r="W190" s="2" t="s">
        <v>76</v>
      </c>
      <c r="X190" s="2" t="s">
        <v>76</v>
      </c>
      <c r="Y190" s="2" t="s">
        <v>71</v>
      </c>
      <c r="Z190" s="2" t="s">
        <v>72</v>
      </c>
      <c r="AA190" s="2" t="s">
        <v>71</v>
      </c>
      <c r="AB190" s="2" t="s">
        <v>71</v>
      </c>
      <c r="AC190" s="2" t="s">
        <v>71</v>
      </c>
      <c r="AD190" s="2" t="s">
        <v>80</v>
      </c>
      <c r="AF190" s="4">
        <v>2</v>
      </c>
    </row>
    <row r="191" spans="1:32" ht="48" x14ac:dyDescent="0.2">
      <c r="A191" s="4">
        <v>71645240</v>
      </c>
      <c r="B191" s="2">
        <f>VLOOKUP(A191,[1]TRATAMIENTI!$A:$B,2,FALSE)</f>
        <v>573</v>
      </c>
      <c r="C191" s="4" t="s">
        <v>1339</v>
      </c>
      <c r="D191" s="4">
        <v>3162962268</v>
      </c>
      <c r="E191" s="4" t="s">
        <v>1340</v>
      </c>
      <c r="F191" s="4" t="s">
        <v>928</v>
      </c>
      <c r="G191" s="2" t="str">
        <f t="shared" si="2"/>
        <v>ANTIOQUIA</v>
      </c>
      <c r="H191" s="4" t="s">
        <v>924</v>
      </c>
      <c r="I191" s="4" t="s">
        <v>944</v>
      </c>
      <c r="J191" s="2" t="s">
        <v>71</v>
      </c>
      <c r="K191" s="2" t="s">
        <v>71</v>
      </c>
      <c r="L191" s="2" t="s">
        <v>71</v>
      </c>
      <c r="M191" s="2" t="s">
        <v>76</v>
      </c>
      <c r="N191" s="2" t="s">
        <v>76</v>
      </c>
      <c r="O191" s="2" t="s">
        <v>72</v>
      </c>
      <c r="P191" s="2" t="s">
        <v>72</v>
      </c>
      <c r="Q191" s="2" t="s">
        <v>72</v>
      </c>
      <c r="R191" s="2" t="s">
        <v>76</v>
      </c>
      <c r="S191" s="2" t="s">
        <v>71</v>
      </c>
      <c r="T191" s="2" t="s">
        <v>71</v>
      </c>
      <c r="U191" s="2" t="s">
        <v>71</v>
      </c>
      <c r="V191" s="2" t="s">
        <v>76</v>
      </c>
      <c r="W191" s="2" t="s">
        <v>76</v>
      </c>
      <c r="X191" s="2" t="s">
        <v>76</v>
      </c>
      <c r="Y191" s="2" t="s">
        <v>71</v>
      </c>
      <c r="Z191" s="2" t="s">
        <v>72</v>
      </c>
      <c r="AA191" s="2" t="s">
        <v>71</v>
      </c>
      <c r="AB191" s="2" t="s">
        <v>71</v>
      </c>
      <c r="AC191" s="2" t="s">
        <v>76</v>
      </c>
      <c r="AD191" s="2" t="s">
        <v>80</v>
      </c>
      <c r="AF191" s="4">
        <v>2</v>
      </c>
    </row>
    <row r="192" spans="1:32" ht="48" x14ac:dyDescent="0.2">
      <c r="A192" s="4">
        <v>71681839</v>
      </c>
      <c r="B192" s="2">
        <f>VLOOKUP(A192,[1]TRATAMIENTI!$A:$B,2,FALSE)</f>
        <v>574</v>
      </c>
      <c r="C192" s="4" t="s">
        <v>1341</v>
      </c>
      <c r="D192" s="4" t="s">
        <v>1342</v>
      </c>
      <c r="E192" s="4" t="s">
        <v>1343</v>
      </c>
      <c r="F192" s="4" t="s">
        <v>928</v>
      </c>
      <c r="G192" s="2" t="str">
        <f t="shared" si="2"/>
        <v>ANTIOQUIA</v>
      </c>
      <c r="H192" s="4" t="s">
        <v>924</v>
      </c>
      <c r="I192" s="4" t="s">
        <v>951</v>
      </c>
      <c r="J192" s="2" t="s">
        <v>76</v>
      </c>
      <c r="K192" s="2" t="s">
        <v>71</v>
      </c>
      <c r="L192" s="2" t="s">
        <v>71</v>
      </c>
      <c r="M192" s="2" t="s">
        <v>72</v>
      </c>
      <c r="N192" s="2" t="s">
        <v>71</v>
      </c>
      <c r="O192" s="2" t="s">
        <v>71</v>
      </c>
      <c r="P192" s="2" t="s">
        <v>76</v>
      </c>
      <c r="Q192" s="2" t="s">
        <v>76</v>
      </c>
      <c r="R192" s="2" t="s">
        <v>76</v>
      </c>
      <c r="S192" s="2" t="s">
        <v>71</v>
      </c>
      <c r="T192" s="2" t="s">
        <v>71</v>
      </c>
      <c r="U192" s="2" t="s">
        <v>72</v>
      </c>
      <c r="V192" s="2" t="s">
        <v>76</v>
      </c>
      <c r="W192" s="2" t="s">
        <v>76</v>
      </c>
      <c r="X192" s="2" t="s">
        <v>76</v>
      </c>
      <c r="Y192" s="2" t="s">
        <v>72</v>
      </c>
      <c r="Z192" s="2" t="s">
        <v>72</v>
      </c>
      <c r="AA192" s="2" t="s">
        <v>72</v>
      </c>
      <c r="AB192" s="2" t="s">
        <v>72</v>
      </c>
      <c r="AC192" s="2" t="s">
        <v>71</v>
      </c>
      <c r="AD192" s="2" t="s">
        <v>80</v>
      </c>
      <c r="AF192" s="4">
        <v>2</v>
      </c>
    </row>
    <row r="193" spans="1:32" ht="48" x14ac:dyDescent="0.2">
      <c r="A193" s="4">
        <v>71728862</v>
      </c>
      <c r="B193" s="2">
        <f>VLOOKUP(A193,[1]TRATAMIENTI!$A:$B,2,FALSE)</f>
        <v>575</v>
      </c>
      <c r="C193" s="4" t="s">
        <v>1344</v>
      </c>
      <c r="D193" s="4">
        <v>3215200163</v>
      </c>
      <c r="E193" s="4" t="s">
        <v>1345</v>
      </c>
      <c r="F193" s="4" t="s">
        <v>928</v>
      </c>
      <c r="G193" s="2" t="str">
        <f t="shared" si="2"/>
        <v>ANTIOQUIA</v>
      </c>
      <c r="H193" s="4" t="s">
        <v>924</v>
      </c>
      <c r="I193" s="4" t="s">
        <v>951</v>
      </c>
      <c r="J193" s="2" t="s">
        <v>71</v>
      </c>
      <c r="K193" s="2" t="s">
        <v>71</v>
      </c>
      <c r="L193" s="2" t="s">
        <v>71</v>
      </c>
      <c r="M193" s="2" t="s">
        <v>71</v>
      </c>
      <c r="N193" s="2" t="s">
        <v>71</v>
      </c>
      <c r="O193" s="2" t="s">
        <v>71</v>
      </c>
      <c r="P193" s="2" t="s">
        <v>71</v>
      </c>
      <c r="Q193" s="2" t="s">
        <v>71</v>
      </c>
      <c r="R193" s="2" t="s">
        <v>71</v>
      </c>
      <c r="S193" s="2" t="s">
        <v>71</v>
      </c>
      <c r="T193" s="2" t="s">
        <v>71</v>
      </c>
      <c r="U193" s="2" t="s">
        <v>71</v>
      </c>
      <c r="V193" s="2" t="s">
        <v>76</v>
      </c>
      <c r="W193" s="2" t="s">
        <v>76</v>
      </c>
      <c r="X193" s="2" t="s">
        <v>76</v>
      </c>
      <c r="Y193" s="2" t="s">
        <v>72</v>
      </c>
      <c r="Z193" s="2" t="s">
        <v>72</v>
      </c>
      <c r="AA193" s="2" t="s">
        <v>72</v>
      </c>
      <c r="AB193" s="2" t="s">
        <v>72</v>
      </c>
      <c r="AC193" s="2" t="s">
        <v>71</v>
      </c>
      <c r="AD193" s="2" t="s">
        <v>179</v>
      </c>
      <c r="AF193" s="4">
        <v>3</v>
      </c>
    </row>
    <row r="194" spans="1:32" ht="48" x14ac:dyDescent="0.2">
      <c r="A194" s="4">
        <v>71763215</v>
      </c>
      <c r="B194" s="2">
        <f>VLOOKUP(A194,[1]TRATAMIENTI!$A:$B,2,FALSE)</f>
        <v>576</v>
      </c>
      <c r="C194" s="4" t="s">
        <v>1346</v>
      </c>
      <c r="D194" s="4">
        <v>3146910990</v>
      </c>
      <c r="E194" s="4" t="s">
        <v>1347</v>
      </c>
      <c r="F194" s="4" t="s">
        <v>928</v>
      </c>
      <c r="G194" s="2" t="str">
        <f t="shared" ref="G194:G257" si="3">IF(H194="CALI","VALLE DEL CAUCA",IF(H194="MEDELLIN","ANTIOQUIA",IF(H194="BARRANQUILLA","ATLANTICO","NO")))</f>
        <v>ANTIOQUIA</v>
      </c>
      <c r="H194" s="4" t="s">
        <v>924</v>
      </c>
      <c r="I194" s="4" t="s">
        <v>931</v>
      </c>
      <c r="J194" s="2" t="s">
        <v>71</v>
      </c>
      <c r="K194" s="2" t="s">
        <v>71</v>
      </c>
      <c r="L194" s="2" t="s">
        <v>71</v>
      </c>
      <c r="M194" s="2" t="s">
        <v>72</v>
      </c>
      <c r="N194" s="2" t="s">
        <v>71</v>
      </c>
      <c r="O194" s="2" t="s">
        <v>72</v>
      </c>
      <c r="P194" s="2" t="s">
        <v>72</v>
      </c>
      <c r="Q194" s="2" t="s">
        <v>72</v>
      </c>
      <c r="R194" s="2" t="s">
        <v>76</v>
      </c>
      <c r="S194" s="2" t="s">
        <v>71</v>
      </c>
      <c r="T194" s="2" t="s">
        <v>71</v>
      </c>
      <c r="U194" s="2" t="s">
        <v>71</v>
      </c>
      <c r="V194" s="2" t="s">
        <v>76</v>
      </c>
      <c r="W194" s="2" t="s">
        <v>76</v>
      </c>
      <c r="X194" s="2" t="s">
        <v>76</v>
      </c>
      <c r="Y194" s="2" t="s">
        <v>72</v>
      </c>
      <c r="Z194" s="2" t="s">
        <v>72</v>
      </c>
      <c r="AA194" s="2" t="s">
        <v>72</v>
      </c>
      <c r="AB194" s="2" t="s">
        <v>72</v>
      </c>
      <c r="AC194" s="2" t="s">
        <v>71</v>
      </c>
      <c r="AD194" s="2" t="s">
        <v>80</v>
      </c>
      <c r="AF194" s="4">
        <v>2</v>
      </c>
    </row>
    <row r="195" spans="1:32" ht="48" x14ac:dyDescent="0.2">
      <c r="A195" s="4">
        <v>761321</v>
      </c>
      <c r="B195" s="2">
        <f>VLOOKUP(A195,[1]TRATAMIENTI!$A:$B,2,FALSE)</f>
        <v>577</v>
      </c>
      <c r="C195" s="4" t="s">
        <v>1348</v>
      </c>
      <c r="D195" s="4">
        <v>0</v>
      </c>
      <c r="E195" s="4">
        <v>0</v>
      </c>
      <c r="F195" s="4" t="s">
        <v>928</v>
      </c>
      <c r="G195" s="2" t="str">
        <f t="shared" si="3"/>
        <v>ANTIOQUIA</v>
      </c>
      <c r="H195" s="4" t="s">
        <v>924</v>
      </c>
      <c r="I195" s="4" t="s">
        <v>936</v>
      </c>
      <c r="J195" s="2" t="s">
        <v>71</v>
      </c>
      <c r="K195" s="2" t="s">
        <v>71</v>
      </c>
      <c r="L195" s="2" t="s">
        <v>71</v>
      </c>
      <c r="M195" s="2" t="s">
        <v>72</v>
      </c>
      <c r="N195" s="2" t="s">
        <v>71</v>
      </c>
      <c r="O195" s="2" t="s">
        <v>72</v>
      </c>
      <c r="P195" s="2" t="s">
        <v>72</v>
      </c>
      <c r="Q195" s="2" t="s">
        <v>72</v>
      </c>
      <c r="R195" s="2" t="s">
        <v>76</v>
      </c>
      <c r="S195" s="2" t="s">
        <v>72</v>
      </c>
      <c r="T195" s="2" t="s">
        <v>71</v>
      </c>
      <c r="U195" s="2" t="s">
        <v>72</v>
      </c>
      <c r="V195" s="2" t="s">
        <v>76</v>
      </c>
      <c r="W195" s="2" t="s">
        <v>76</v>
      </c>
      <c r="X195" s="2" t="s">
        <v>76</v>
      </c>
      <c r="Y195" s="2" t="s">
        <v>71</v>
      </c>
      <c r="Z195" s="2" t="s">
        <v>76</v>
      </c>
      <c r="AA195" s="2" t="s">
        <v>71</v>
      </c>
      <c r="AB195" s="2" t="s">
        <v>71</v>
      </c>
      <c r="AC195" s="2" t="s">
        <v>71</v>
      </c>
      <c r="AD195" s="2" t="s">
        <v>80</v>
      </c>
      <c r="AF195" s="4">
        <v>2</v>
      </c>
    </row>
    <row r="196" spans="1:32" ht="48" x14ac:dyDescent="0.2">
      <c r="A196" s="4">
        <v>98638636</v>
      </c>
      <c r="B196" s="2">
        <f>VLOOKUP(A196,[1]TRATAMIENTI!$A:$B,2,FALSE)</f>
        <v>578</v>
      </c>
      <c r="C196" s="4" t="s">
        <v>1349</v>
      </c>
      <c r="D196" s="4">
        <v>3164113508</v>
      </c>
      <c r="E196" s="4">
        <v>0</v>
      </c>
      <c r="F196" s="4" t="s">
        <v>928</v>
      </c>
      <c r="G196" s="2" t="str">
        <f t="shared" si="3"/>
        <v>ANTIOQUIA</v>
      </c>
      <c r="H196" s="4" t="s">
        <v>924</v>
      </c>
      <c r="I196" s="4" t="s">
        <v>944</v>
      </c>
      <c r="J196" s="2" t="s">
        <v>71</v>
      </c>
      <c r="K196" s="2" t="s">
        <v>71</v>
      </c>
      <c r="L196" s="2" t="s">
        <v>71</v>
      </c>
      <c r="M196" s="2" t="s">
        <v>72</v>
      </c>
      <c r="N196" s="2" t="s">
        <v>71</v>
      </c>
      <c r="O196" s="2" t="s">
        <v>72</v>
      </c>
      <c r="P196" s="2" t="s">
        <v>72</v>
      </c>
      <c r="Q196" s="2" t="s">
        <v>72</v>
      </c>
      <c r="R196" s="2" t="s">
        <v>76</v>
      </c>
      <c r="S196" s="2" t="s">
        <v>72</v>
      </c>
      <c r="T196" s="2" t="s">
        <v>76</v>
      </c>
      <c r="U196" s="2" t="s">
        <v>72</v>
      </c>
      <c r="V196" s="2" t="s">
        <v>76</v>
      </c>
      <c r="W196" s="2" t="s">
        <v>76</v>
      </c>
      <c r="X196" s="2" t="s">
        <v>76</v>
      </c>
      <c r="Y196" s="2" t="s">
        <v>72</v>
      </c>
      <c r="Z196" s="2" t="s">
        <v>72</v>
      </c>
      <c r="AA196" s="2" t="s">
        <v>72</v>
      </c>
      <c r="AB196" s="2" t="s">
        <v>71</v>
      </c>
      <c r="AC196" s="2" t="s">
        <v>71</v>
      </c>
      <c r="AD196" s="2" t="s">
        <v>80</v>
      </c>
      <c r="AF196" s="4">
        <v>2</v>
      </c>
    </row>
    <row r="197" spans="1:32" ht="16" x14ac:dyDescent="0.2">
      <c r="B197" s="2" t="e">
        <f>VLOOKUP(A197,[1]TRATAMIENTI!$A:$B,2,FALSE)</f>
        <v>#N/A</v>
      </c>
      <c r="G197" s="2" t="str">
        <f t="shared" si="3"/>
        <v>NO</v>
      </c>
      <c r="J197" s="2"/>
      <c r="K197" s="2"/>
      <c r="L197" s="2"/>
      <c r="M197" s="2"/>
      <c r="N197" s="2"/>
      <c r="O197" s="2"/>
      <c r="P197" s="2"/>
      <c r="Q197" s="2"/>
      <c r="R197" s="2"/>
      <c r="S197" s="2"/>
      <c r="T197" s="2"/>
      <c r="U197" s="2"/>
      <c r="V197" s="2"/>
      <c r="W197" s="2"/>
      <c r="X197" s="2"/>
      <c r="Y197" s="2"/>
      <c r="Z197" s="2"/>
      <c r="AA197" s="2"/>
      <c r="AB197" s="2"/>
      <c r="AC197" s="2"/>
      <c r="AD197" s="2"/>
    </row>
    <row r="198" spans="1:32" ht="16" x14ac:dyDescent="0.2">
      <c r="B198" s="2" t="e">
        <f>VLOOKUP(A198,[1]TRATAMIENTI!$A:$B,2,FALSE)</f>
        <v>#N/A</v>
      </c>
      <c r="G198" s="2" t="str">
        <f t="shared" si="3"/>
        <v>NO</v>
      </c>
      <c r="J198" s="2"/>
      <c r="K198" s="2"/>
      <c r="L198" s="2"/>
      <c r="M198" s="2"/>
      <c r="N198" s="2"/>
      <c r="O198" s="2"/>
      <c r="P198" s="2"/>
      <c r="Q198" s="2"/>
      <c r="R198" s="2"/>
      <c r="S198" s="2"/>
      <c r="T198" s="2"/>
      <c r="U198" s="2"/>
      <c r="V198" s="2"/>
      <c r="W198" s="2"/>
      <c r="X198" s="2"/>
      <c r="Y198" s="2"/>
      <c r="Z198" s="2"/>
      <c r="AA198" s="2"/>
      <c r="AB198" s="2"/>
      <c r="AC198" s="2"/>
      <c r="AD198" s="2"/>
    </row>
    <row r="199" spans="1:32" ht="16" x14ac:dyDescent="0.2">
      <c r="B199" s="2" t="e">
        <f>VLOOKUP(A199,[1]TRATAMIENTI!$A:$B,2,FALSE)</f>
        <v>#N/A</v>
      </c>
      <c r="G199" s="2" t="str">
        <f t="shared" si="3"/>
        <v>NO</v>
      </c>
      <c r="J199" s="2"/>
      <c r="K199" s="2"/>
      <c r="L199" s="2"/>
      <c r="M199" s="2"/>
      <c r="N199" s="2"/>
      <c r="O199" s="2"/>
      <c r="P199" s="2"/>
      <c r="Q199" s="2"/>
      <c r="R199" s="2"/>
      <c r="S199" s="2"/>
      <c r="T199" s="2"/>
      <c r="U199" s="2"/>
      <c r="V199" s="2"/>
      <c r="W199" s="2"/>
      <c r="X199" s="2"/>
      <c r="Y199" s="2"/>
      <c r="Z199" s="2"/>
      <c r="AA199" s="2"/>
      <c r="AB199" s="2"/>
      <c r="AC199" s="2"/>
      <c r="AD199" s="2"/>
    </row>
    <row r="200" spans="1:32" ht="16" x14ac:dyDescent="0.2">
      <c r="B200" s="2" t="e">
        <f>VLOOKUP(A200,[1]TRATAMIENTI!$A:$B,2,FALSE)</f>
        <v>#N/A</v>
      </c>
      <c r="G200" s="2" t="str">
        <f t="shared" si="3"/>
        <v>NO</v>
      </c>
      <c r="J200" s="2"/>
      <c r="K200" s="2"/>
      <c r="L200" s="2"/>
      <c r="M200" s="2"/>
      <c r="N200" s="2"/>
      <c r="O200" s="2"/>
      <c r="P200" s="2"/>
      <c r="Q200" s="2"/>
      <c r="R200" s="2"/>
      <c r="S200" s="2"/>
      <c r="T200" s="2"/>
      <c r="U200" s="2"/>
      <c r="V200" s="2"/>
      <c r="W200" s="2"/>
      <c r="X200" s="2"/>
      <c r="Y200" s="2"/>
      <c r="Z200" s="2"/>
      <c r="AA200" s="2"/>
      <c r="AB200" s="2"/>
      <c r="AC200" s="2"/>
      <c r="AD200" s="2"/>
    </row>
    <row r="201" spans="1:32" ht="16" x14ac:dyDescent="0.2">
      <c r="B201" s="2" t="e">
        <f>VLOOKUP(A201,[1]TRATAMIENTI!$A:$B,2,FALSE)</f>
        <v>#N/A</v>
      </c>
      <c r="G201" s="2" t="str">
        <f t="shared" si="3"/>
        <v>NO</v>
      </c>
      <c r="J201" s="2"/>
      <c r="K201" s="2"/>
      <c r="L201" s="2"/>
      <c r="M201" s="2"/>
      <c r="N201" s="2"/>
      <c r="O201" s="2"/>
      <c r="P201" s="2"/>
      <c r="Q201" s="2"/>
      <c r="R201" s="2"/>
      <c r="S201" s="2"/>
      <c r="T201" s="2"/>
      <c r="U201" s="2"/>
      <c r="V201" s="2"/>
      <c r="W201" s="2"/>
      <c r="X201" s="2"/>
      <c r="Y201" s="2"/>
      <c r="Z201" s="2"/>
      <c r="AA201" s="2"/>
      <c r="AB201" s="2"/>
      <c r="AC201" s="2"/>
      <c r="AD201" s="2"/>
    </row>
    <row r="202" spans="1:32" ht="16" x14ac:dyDescent="0.2">
      <c r="B202" s="2" t="e">
        <f>VLOOKUP(A202,[1]TRATAMIENTI!$A:$B,2,FALSE)</f>
        <v>#N/A</v>
      </c>
      <c r="G202" s="2" t="str">
        <f t="shared" si="3"/>
        <v>NO</v>
      </c>
      <c r="J202" s="2"/>
      <c r="K202" s="2"/>
      <c r="L202" s="2"/>
      <c r="M202" s="2"/>
      <c r="N202" s="2"/>
      <c r="O202" s="2"/>
      <c r="P202" s="2"/>
      <c r="Q202" s="2"/>
      <c r="R202" s="2"/>
      <c r="S202" s="2"/>
      <c r="T202" s="2"/>
      <c r="U202" s="2"/>
      <c r="V202" s="2"/>
      <c r="W202" s="2"/>
      <c r="X202" s="2"/>
      <c r="Y202" s="2"/>
      <c r="Z202" s="2"/>
      <c r="AA202" s="2"/>
      <c r="AB202" s="2"/>
      <c r="AC202" s="2"/>
      <c r="AD202" s="2"/>
    </row>
    <row r="203" spans="1:32" ht="16" x14ac:dyDescent="0.2">
      <c r="B203" s="2" t="e">
        <f>VLOOKUP(A203,[1]TRATAMIENTI!$A:$B,2,FALSE)</f>
        <v>#N/A</v>
      </c>
      <c r="G203" s="2" t="str">
        <f t="shared" si="3"/>
        <v>NO</v>
      </c>
      <c r="J203" s="2"/>
      <c r="K203" s="2"/>
      <c r="L203" s="2"/>
      <c r="M203" s="2"/>
      <c r="N203" s="2"/>
      <c r="O203" s="2"/>
      <c r="P203" s="2"/>
      <c r="Q203" s="2"/>
      <c r="R203" s="2"/>
      <c r="S203" s="2"/>
      <c r="T203" s="2"/>
      <c r="U203" s="2"/>
      <c r="V203" s="2"/>
      <c r="W203" s="2"/>
      <c r="X203" s="2"/>
      <c r="Y203" s="2"/>
      <c r="Z203" s="2"/>
      <c r="AA203" s="2"/>
      <c r="AB203" s="2"/>
      <c r="AC203" s="2"/>
      <c r="AD203" s="2"/>
    </row>
    <row r="204" spans="1:32" ht="16" x14ac:dyDescent="0.2">
      <c r="B204" s="2" t="e">
        <f>VLOOKUP(A204,[1]TRATAMIENTI!$A:$B,2,FALSE)</f>
        <v>#N/A</v>
      </c>
      <c r="G204" s="2" t="str">
        <f t="shared" si="3"/>
        <v>NO</v>
      </c>
      <c r="J204" s="2"/>
      <c r="K204" s="2"/>
      <c r="L204" s="2"/>
      <c r="M204" s="2"/>
      <c r="N204" s="2"/>
      <c r="O204" s="2"/>
      <c r="P204" s="2"/>
      <c r="Q204" s="2"/>
      <c r="R204" s="2"/>
      <c r="S204" s="2"/>
      <c r="T204" s="2"/>
      <c r="U204" s="2"/>
      <c r="V204" s="2"/>
      <c r="W204" s="2"/>
      <c r="X204" s="2"/>
      <c r="Y204" s="2"/>
      <c r="Z204" s="2"/>
      <c r="AA204" s="2"/>
      <c r="AB204" s="2"/>
      <c r="AC204" s="2"/>
      <c r="AD204" s="2"/>
    </row>
    <row r="205" spans="1:32" ht="16" x14ac:dyDescent="0.2">
      <c r="B205" s="2" t="e">
        <f>VLOOKUP(A205,[1]TRATAMIENTI!$A:$B,2,FALSE)</f>
        <v>#N/A</v>
      </c>
      <c r="G205" s="2" t="str">
        <f t="shared" si="3"/>
        <v>NO</v>
      </c>
      <c r="J205" s="2"/>
      <c r="K205" s="2"/>
      <c r="L205" s="2"/>
      <c r="M205" s="2"/>
      <c r="N205" s="2"/>
      <c r="O205" s="2"/>
      <c r="P205" s="2"/>
      <c r="Q205" s="2"/>
      <c r="R205" s="2"/>
      <c r="S205" s="2"/>
      <c r="T205" s="2"/>
      <c r="U205" s="2"/>
      <c r="V205" s="2"/>
      <c r="W205" s="2"/>
      <c r="X205" s="2"/>
      <c r="Y205" s="2"/>
      <c r="Z205" s="2"/>
      <c r="AA205" s="2"/>
      <c r="AB205" s="2"/>
      <c r="AC205" s="2"/>
      <c r="AD205" s="2"/>
    </row>
    <row r="206" spans="1:32" ht="16" x14ac:dyDescent="0.2">
      <c r="B206" s="2" t="e">
        <f>VLOOKUP(A206,[1]TRATAMIENTI!$A:$B,2,FALSE)</f>
        <v>#N/A</v>
      </c>
      <c r="G206" s="2" t="str">
        <f t="shared" si="3"/>
        <v>NO</v>
      </c>
      <c r="J206" s="2"/>
      <c r="K206" s="2"/>
      <c r="L206" s="2"/>
      <c r="M206" s="2"/>
      <c r="N206" s="2"/>
      <c r="O206" s="2"/>
      <c r="P206" s="2"/>
      <c r="Q206" s="2"/>
      <c r="R206" s="2"/>
      <c r="S206" s="2"/>
      <c r="T206" s="2"/>
      <c r="U206" s="2"/>
      <c r="V206" s="2"/>
      <c r="W206" s="2"/>
      <c r="X206" s="2"/>
      <c r="Y206" s="2"/>
      <c r="Z206" s="2"/>
      <c r="AA206" s="2"/>
      <c r="AB206" s="2"/>
      <c r="AC206" s="2"/>
      <c r="AD206" s="2"/>
    </row>
    <row r="207" spans="1:32" ht="16" x14ac:dyDescent="0.2">
      <c r="B207" s="2" t="e">
        <f>VLOOKUP(A207,[1]TRATAMIENTI!$A:$B,2,FALSE)</f>
        <v>#N/A</v>
      </c>
      <c r="G207" s="2" t="str">
        <f t="shared" si="3"/>
        <v>NO</v>
      </c>
      <c r="J207" s="2"/>
      <c r="K207" s="2"/>
      <c r="L207" s="2"/>
      <c r="M207" s="2"/>
      <c r="N207" s="2"/>
      <c r="O207" s="2"/>
      <c r="P207" s="2"/>
      <c r="Q207" s="2"/>
      <c r="R207" s="2"/>
      <c r="S207" s="2"/>
      <c r="T207" s="2"/>
      <c r="U207" s="2"/>
      <c r="V207" s="2"/>
      <c r="W207" s="2"/>
      <c r="X207" s="2"/>
      <c r="Y207" s="2"/>
      <c r="Z207" s="2"/>
      <c r="AA207" s="2"/>
      <c r="AB207" s="2"/>
      <c r="AC207" s="2"/>
      <c r="AD207" s="2"/>
    </row>
    <row r="208" spans="1:32" ht="16" x14ac:dyDescent="0.2">
      <c r="B208" s="2" t="e">
        <f>VLOOKUP(A208,[1]TRATAMIENTI!$A:$B,2,FALSE)</f>
        <v>#N/A</v>
      </c>
      <c r="G208" s="2" t="str">
        <f t="shared" si="3"/>
        <v>NO</v>
      </c>
      <c r="J208" s="2"/>
      <c r="K208" s="2"/>
      <c r="L208" s="2"/>
      <c r="M208" s="2"/>
      <c r="N208" s="2"/>
      <c r="O208" s="2"/>
      <c r="P208" s="2"/>
      <c r="Q208" s="2"/>
      <c r="R208" s="2"/>
      <c r="S208" s="2"/>
      <c r="T208" s="2"/>
      <c r="U208" s="2"/>
      <c r="V208" s="2"/>
      <c r="W208" s="2"/>
      <c r="X208" s="2"/>
      <c r="Y208" s="2"/>
      <c r="Z208" s="2"/>
      <c r="AA208" s="2"/>
      <c r="AB208" s="2"/>
      <c r="AC208" s="2"/>
      <c r="AD208" s="2"/>
    </row>
    <row r="209" spans="2:30" ht="16" x14ac:dyDescent="0.2">
      <c r="B209" s="2" t="e">
        <f>VLOOKUP(A209,[1]TRATAMIENTI!$A:$B,2,FALSE)</f>
        <v>#N/A</v>
      </c>
      <c r="G209" s="2" t="str">
        <f t="shared" si="3"/>
        <v>NO</v>
      </c>
      <c r="J209" s="2"/>
      <c r="K209" s="2"/>
      <c r="L209" s="2"/>
      <c r="M209" s="2"/>
      <c r="N209" s="2"/>
      <c r="O209" s="2"/>
      <c r="P209" s="2"/>
      <c r="Q209" s="2"/>
      <c r="R209" s="2"/>
      <c r="S209" s="2"/>
      <c r="T209" s="2"/>
      <c r="U209" s="2"/>
      <c r="V209" s="2"/>
      <c r="W209" s="2"/>
      <c r="X209" s="2"/>
      <c r="Y209" s="2"/>
      <c r="Z209" s="2"/>
      <c r="AA209" s="2"/>
      <c r="AB209" s="2"/>
      <c r="AC209" s="2"/>
      <c r="AD209" s="2"/>
    </row>
    <row r="210" spans="2:30" ht="16" x14ac:dyDescent="0.2">
      <c r="B210" s="2" t="e">
        <f>VLOOKUP(A210,[1]TRATAMIENTI!$A:$B,2,FALSE)</f>
        <v>#N/A</v>
      </c>
      <c r="G210" s="2" t="str">
        <f t="shared" si="3"/>
        <v>NO</v>
      </c>
      <c r="J210" s="2"/>
      <c r="K210" s="2"/>
      <c r="L210" s="2"/>
      <c r="M210" s="2"/>
      <c r="N210" s="2"/>
      <c r="O210" s="2"/>
      <c r="P210" s="2"/>
      <c r="Q210" s="2"/>
      <c r="R210" s="2"/>
      <c r="S210" s="2"/>
      <c r="T210" s="2"/>
      <c r="U210" s="2"/>
      <c r="V210" s="2"/>
      <c r="W210" s="2"/>
      <c r="X210" s="2"/>
      <c r="Y210" s="2"/>
      <c r="Z210" s="2"/>
      <c r="AA210" s="2"/>
      <c r="AB210" s="2"/>
      <c r="AC210" s="2"/>
      <c r="AD210" s="2"/>
    </row>
    <row r="211" spans="2:30" ht="16" x14ac:dyDescent="0.2">
      <c r="B211" s="2" t="e">
        <f>VLOOKUP(A211,[1]TRATAMIENTI!$A:$B,2,FALSE)</f>
        <v>#N/A</v>
      </c>
      <c r="G211" s="2" t="str">
        <f t="shared" si="3"/>
        <v>NO</v>
      </c>
      <c r="J211" s="2"/>
      <c r="K211" s="2"/>
      <c r="L211" s="2"/>
      <c r="M211" s="2"/>
      <c r="N211" s="2"/>
      <c r="O211" s="2"/>
      <c r="P211" s="2"/>
      <c r="Q211" s="2"/>
      <c r="R211" s="2"/>
      <c r="S211" s="2"/>
      <c r="T211" s="2"/>
      <c r="U211" s="2"/>
      <c r="V211" s="2"/>
      <c r="W211" s="2"/>
      <c r="X211" s="2"/>
      <c r="Y211" s="2"/>
      <c r="Z211" s="2"/>
      <c r="AA211" s="2"/>
      <c r="AB211" s="2"/>
      <c r="AC211" s="2"/>
      <c r="AD211" s="2"/>
    </row>
    <row r="212" spans="2:30" ht="16" x14ac:dyDescent="0.2">
      <c r="B212" s="2" t="e">
        <f>VLOOKUP(A212,[1]TRATAMIENTI!$A:$B,2,FALSE)</f>
        <v>#N/A</v>
      </c>
      <c r="G212" s="2" t="str">
        <f t="shared" si="3"/>
        <v>NO</v>
      </c>
      <c r="J212" s="2"/>
      <c r="K212" s="2"/>
      <c r="L212" s="2"/>
      <c r="M212" s="2"/>
      <c r="N212" s="2"/>
      <c r="O212" s="2"/>
      <c r="P212" s="2"/>
      <c r="Q212" s="2"/>
      <c r="R212" s="2"/>
      <c r="S212" s="2"/>
      <c r="T212" s="2"/>
      <c r="U212" s="2"/>
      <c r="V212" s="2"/>
      <c r="W212" s="2"/>
      <c r="X212" s="2"/>
      <c r="Y212" s="2"/>
      <c r="Z212" s="2"/>
      <c r="AA212" s="2"/>
      <c r="AB212" s="2"/>
      <c r="AC212" s="2"/>
      <c r="AD212" s="2"/>
    </row>
    <row r="213" spans="2:30" ht="16" x14ac:dyDescent="0.2">
      <c r="B213" s="2" t="e">
        <f>VLOOKUP(A213,[1]TRATAMIENTI!$A:$B,2,FALSE)</f>
        <v>#N/A</v>
      </c>
      <c r="G213" s="2" t="str">
        <f t="shared" si="3"/>
        <v>NO</v>
      </c>
      <c r="J213" s="2"/>
      <c r="K213" s="2"/>
      <c r="L213" s="2"/>
      <c r="M213" s="2"/>
      <c r="N213" s="2"/>
      <c r="O213" s="2"/>
      <c r="P213" s="2"/>
      <c r="Q213" s="2"/>
      <c r="R213" s="2"/>
      <c r="S213" s="2"/>
      <c r="T213" s="2"/>
      <c r="U213" s="2"/>
      <c r="V213" s="2"/>
      <c r="W213" s="2"/>
      <c r="X213" s="2"/>
      <c r="Y213" s="2"/>
      <c r="Z213" s="2"/>
      <c r="AA213" s="2"/>
      <c r="AB213" s="2"/>
      <c r="AC213" s="2"/>
      <c r="AD213" s="2"/>
    </row>
    <row r="214" spans="2:30" ht="16" x14ac:dyDescent="0.2">
      <c r="B214" s="2" t="e">
        <f>VLOOKUP(A214,[1]TRATAMIENTI!$A:$B,2,FALSE)</f>
        <v>#N/A</v>
      </c>
      <c r="G214" s="2" t="str">
        <f t="shared" si="3"/>
        <v>NO</v>
      </c>
      <c r="J214" s="2"/>
      <c r="K214" s="2"/>
      <c r="L214" s="2"/>
      <c r="M214" s="2"/>
      <c r="N214" s="2"/>
      <c r="O214" s="2"/>
      <c r="P214" s="2"/>
      <c r="Q214" s="2"/>
      <c r="R214" s="2"/>
      <c r="S214" s="2"/>
      <c r="T214" s="2"/>
      <c r="U214" s="2"/>
      <c r="V214" s="2"/>
      <c r="W214" s="2"/>
      <c r="X214" s="2"/>
      <c r="Y214" s="2"/>
      <c r="Z214" s="2"/>
      <c r="AA214" s="2"/>
      <c r="AB214" s="2"/>
      <c r="AC214" s="2"/>
      <c r="AD214" s="2"/>
    </row>
    <row r="215" spans="2:30" ht="16" x14ac:dyDescent="0.2">
      <c r="B215" s="2" t="e">
        <f>VLOOKUP(A215,[1]TRATAMIENTI!$A:$B,2,FALSE)</f>
        <v>#N/A</v>
      </c>
      <c r="G215" s="2" t="str">
        <f t="shared" si="3"/>
        <v>NO</v>
      </c>
      <c r="J215" s="2"/>
      <c r="K215" s="2"/>
      <c r="L215" s="2"/>
      <c r="M215" s="2"/>
      <c r="N215" s="2"/>
      <c r="O215" s="2"/>
      <c r="P215" s="2"/>
      <c r="Q215" s="2"/>
      <c r="R215" s="2"/>
      <c r="S215" s="2"/>
      <c r="T215" s="2"/>
      <c r="U215" s="2"/>
      <c r="V215" s="2"/>
      <c r="W215" s="2"/>
      <c r="X215" s="2"/>
      <c r="Y215" s="2"/>
      <c r="Z215" s="2"/>
      <c r="AA215" s="2"/>
      <c r="AB215" s="2"/>
      <c r="AC215" s="2"/>
      <c r="AD215" s="2"/>
    </row>
    <row r="216" spans="2:30" ht="16" x14ac:dyDescent="0.2">
      <c r="B216" s="2" t="e">
        <f>VLOOKUP(A216,[1]TRATAMIENTI!$A:$B,2,FALSE)</f>
        <v>#N/A</v>
      </c>
      <c r="G216" s="2" t="str">
        <f t="shared" si="3"/>
        <v>NO</v>
      </c>
      <c r="J216" s="2"/>
      <c r="K216" s="2"/>
      <c r="L216" s="2"/>
      <c r="M216" s="2"/>
      <c r="N216" s="2"/>
      <c r="O216" s="2"/>
      <c r="P216" s="2"/>
      <c r="Q216" s="2"/>
      <c r="R216" s="2"/>
      <c r="S216" s="2"/>
      <c r="T216" s="2"/>
      <c r="U216" s="2"/>
      <c r="V216" s="2"/>
      <c r="W216" s="2"/>
      <c r="X216" s="2"/>
      <c r="Y216" s="2"/>
      <c r="Z216" s="2"/>
      <c r="AA216" s="2"/>
      <c r="AB216" s="2"/>
      <c r="AC216" s="2"/>
      <c r="AD216" s="2"/>
    </row>
    <row r="217" spans="2:30" ht="16" x14ac:dyDescent="0.2">
      <c r="B217" s="2" t="e">
        <f>VLOOKUP(A217,[1]TRATAMIENTI!$A:$B,2,FALSE)</f>
        <v>#N/A</v>
      </c>
      <c r="G217" s="2" t="str">
        <f t="shared" si="3"/>
        <v>NO</v>
      </c>
      <c r="J217" s="2"/>
      <c r="K217" s="2"/>
      <c r="L217" s="2"/>
      <c r="M217" s="2"/>
      <c r="N217" s="2"/>
      <c r="O217" s="2"/>
      <c r="P217" s="2"/>
      <c r="Q217" s="2"/>
      <c r="R217" s="2"/>
      <c r="S217" s="2"/>
      <c r="T217" s="2"/>
      <c r="U217" s="2"/>
      <c r="V217" s="2"/>
      <c r="W217" s="2"/>
      <c r="X217" s="2"/>
      <c r="Y217" s="2"/>
      <c r="Z217" s="2"/>
      <c r="AA217" s="2"/>
      <c r="AB217" s="2"/>
      <c r="AC217" s="2"/>
      <c r="AD217" s="2"/>
    </row>
    <row r="218" spans="2:30" ht="16" x14ac:dyDescent="0.2">
      <c r="B218" s="2" t="e">
        <f>VLOOKUP(A218,[1]TRATAMIENTI!$A:$B,2,FALSE)</f>
        <v>#N/A</v>
      </c>
      <c r="G218" s="2" t="str">
        <f t="shared" si="3"/>
        <v>NO</v>
      </c>
      <c r="J218" s="2"/>
      <c r="K218" s="2"/>
      <c r="L218" s="2"/>
      <c r="M218" s="2"/>
      <c r="N218" s="2"/>
      <c r="O218" s="2"/>
      <c r="P218" s="2"/>
      <c r="Q218" s="2"/>
      <c r="R218" s="2"/>
      <c r="S218" s="2"/>
      <c r="T218" s="2"/>
      <c r="U218" s="2"/>
      <c r="V218" s="2"/>
      <c r="W218" s="2"/>
      <c r="X218" s="2"/>
      <c r="Y218" s="2"/>
      <c r="Z218" s="2"/>
      <c r="AA218" s="2"/>
      <c r="AB218" s="2"/>
      <c r="AC218" s="2"/>
      <c r="AD218" s="2"/>
    </row>
    <row r="219" spans="2:30" ht="16" x14ac:dyDescent="0.2">
      <c r="B219" s="2" t="e">
        <f>VLOOKUP(A219,[1]TRATAMIENTI!$A:$B,2,FALSE)</f>
        <v>#N/A</v>
      </c>
      <c r="G219" s="2" t="str">
        <f t="shared" si="3"/>
        <v>NO</v>
      </c>
      <c r="J219" s="2"/>
      <c r="K219" s="2"/>
      <c r="L219" s="2"/>
      <c r="M219" s="2"/>
      <c r="N219" s="2"/>
      <c r="O219" s="2"/>
      <c r="P219" s="2"/>
      <c r="Q219" s="2"/>
      <c r="R219" s="2"/>
      <c r="S219" s="2"/>
      <c r="T219" s="2"/>
      <c r="U219" s="2"/>
      <c r="V219" s="2"/>
      <c r="W219" s="2"/>
      <c r="X219" s="2"/>
      <c r="Y219" s="2"/>
      <c r="Z219" s="2"/>
      <c r="AA219" s="2"/>
      <c r="AB219" s="2"/>
      <c r="AC219" s="2"/>
      <c r="AD219" s="2"/>
    </row>
    <row r="220" spans="2:30" ht="16" x14ac:dyDescent="0.2">
      <c r="B220" s="2" t="e">
        <f>VLOOKUP(A220,[1]TRATAMIENTI!$A:$B,2,FALSE)</f>
        <v>#N/A</v>
      </c>
      <c r="G220" s="2" t="str">
        <f t="shared" si="3"/>
        <v>NO</v>
      </c>
      <c r="J220" s="2"/>
      <c r="K220" s="2"/>
      <c r="L220" s="2"/>
      <c r="M220" s="2"/>
      <c r="N220" s="2"/>
      <c r="O220" s="2"/>
      <c r="P220" s="2"/>
      <c r="Q220" s="2"/>
      <c r="R220" s="2"/>
      <c r="S220" s="2"/>
      <c r="T220" s="2"/>
      <c r="U220" s="2"/>
      <c r="V220" s="2"/>
      <c r="W220" s="2"/>
      <c r="X220" s="2"/>
      <c r="Y220" s="2"/>
      <c r="Z220" s="2"/>
      <c r="AA220" s="2"/>
      <c r="AB220" s="2"/>
      <c r="AC220" s="2"/>
      <c r="AD220" s="2"/>
    </row>
    <row r="221" spans="2:30" ht="16" x14ac:dyDescent="0.2">
      <c r="B221" s="2" t="e">
        <f>VLOOKUP(A221,[1]TRATAMIENTI!$A:$B,2,FALSE)</f>
        <v>#N/A</v>
      </c>
      <c r="G221" s="2" t="str">
        <f t="shared" si="3"/>
        <v>NO</v>
      </c>
      <c r="J221" s="2"/>
      <c r="K221" s="2"/>
      <c r="L221" s="2"/>
      <c r="M221" s="2"/>
      <c r="N221" s="2"/>
      <c r="O221" s="2"/>
      <c r="P221" s="2"/>
      <c r="Q221" s="2"/>
      <c r="R221" s="2"/>
      <c r="S221" s="2"/>
      <c r="T221" s="2"/>
      <c r="U221" s="2"/>
      <c r="V221" s="2"/>
      <c r="W221" s="2"/>
      <c r="X221" s="2"/>
      <c r="Y221" s="2"/>
      <c r="Z221" s="2"/>
      <c r="AA221" s="2"/>
      <c r="AB221" s="2"/>
      <c r="AC221" s="2"/>
      <c r="AD221" s="2"/>
    </row>
    <row r="222" spans="2:30" ht="16" x14ac:dyDescent="0.2">
      <c r="B222" s="2" t="e">
        <f>VLOOKUP(A222,[1]TRATAMIENTI!$A:$B,2,FALSE)</f>
        <v>#N/A</v>
      </c>
      <c r="G222" s="2" t="str">
        <f t="shared" si="3"/>
        <v>NO</v>
      </c>
      <c r="J222" s="2"/>
      <c r="K222" s="2"/>
      <c r="L222" s="2"/>
      <c r="M222" s="2"/>
      <c r="N222" s="2"/>
      <c r="O222" s="2"/>
      <c r="P222" s="2"/>
      <c r="Q222" s="2"/>
      <c r="R222" s="2"/>
      <c r="S222" s="2"/>
      <c r="T222" s="2"/>
      <c r="U222" s="2"/>
      <c r="V222" s="2"/>
      <c r="W222" s="2"/>
      <c r="X222" s="2"/>
      <c r="Y222" s="2"/>
      <c r="Z222" s="2"/>
      <c r="AA222" s="2"/>
      <c r="AB222" s="2"/>
      <c r="AC222" s="2"/>
      <c r="AD222" s="2"/>
    </row>
    <row r="223" spans="2:30" ht="16" x14ac:dyDescent="0.2">
      <c r="B223" s="2" t="e">
        <f>VLOOKUP(A223,[1]TRATAMIENTI!$A:$B,2,FALSE)</f>
        <v>#N/A</v>
      </c>
      <c r="G223" s="2" t="str">
        <f t="shared" si="3"/>
        <v>NO</v>
      </c>
      <c r="J223" s="2"/>
      <c r="K223" s="2"/>
      <c r="L223" s="2"/>
      <c r="M223" s="2"/>
      <c r="N223" s="2"/>
      <c r="O223" s="2"/>
      <c r="P223" s="2"/>
      <c r="Q223" s="2"/>
      <c r="R223" s="2"/>
      <c r="S223" s="2"/>
      <c r="T223" s="2"/>
      <c r="U223" s="2"/>
      <c r="V223" s="2"/>
      <c r="W223" s="2"/>
      <c r="X223" s="2"/>
      <c r="Y223" s="2"/>
      <c r="Z223" s="2"/>
      <c r="AA223" s="2"/>
      <c r="AB223" s="2"/>
      <c r="AC223" s="2"/>
      <c r="AD223" s="2"/>
    </row>
    <row r="224" spans="2:30" ht="16" x14ac:dyDescent="0.2">
      <c r="B224" s="2" t="e">
        <f>VLOOKUP(A224,[1]TRATAMIENTI!$A:$B,2,FALSE)</f>
        <v>#N/A</v>
      </c>
      <c r="G224" s="2" t="str">
        <f t="shared" si="3"/>
        <v>NO</v>
      </c>
      <c r="J224" s="2"/>
      <c r="K224" s="2"/>
      <c r="L224" s="2"/>
      <c r="M224" s="2"/>
      <c r="N224" s="2"/>
      <c r="O224" s="2"/>
      <c r="P224" s="2"/>
      <c r="Q224" s="2"/>
      <c r="R224" s="2"/>
      <c r="S224" s="2"/>
      <c r="T224" s="2"/>
      <c r="U224" s="2"/>
      <c r="V224" s="2"/>
      <c r="W224" s="2"/>
      <c r="X224" s="2"/>
      <c r="Y224" s="2"/>
      <c r="Z224" s="2"/>
      <c r="AA224" s="2"/>
      <c r="AB224" s="2"/>
      <c r="AC224" s="2"/>
      <c r="AD224" s="2"/>
    </row>
    <row r="225" spans="2:30" ht="16" x14ac:dyDescent="0.2">
      <c r="B225" s="2" t="e">
        <f>VLOOKUP(A225,[1]TRATAMIENTI!$A:$B,2,FALSE)</f>
        <v>#N/A</v>
      </c>
      <c r="G225" s="2" t="str">
        <f t="shared" si="3"/>
        <v>NO</v>
      </c>
      <c r="J225" s="2"/>
      <c r="K225" s="2"/>
      <c r="L225" s="2"/>
      <c r="M225" s="2"/>
      <c r="N225" s="2"/>
      <c r="O225" s="2"/>
      <c r="P225" s="2"/>
      <c r="Q225" s="2"/>
      <c r="R225" s="2"/>
      <c r="S225" s="2"/>
      <c r="T225" s="2"/>
      <c r="U225" s="2"/>
      <c r="V225" s="2"/>
      <c r="W225" s="2"/>
      <c r="X225" s="2"/>
      <c r="Y225" s="2"/>
      <c r="Z225" s="2"/>
      <c r="AA225" s="2"/>
      <c r="AB225" s="2"/>
      <c r="AC225" s="2"/>
      <c r="AD225" s="2"/>
    </row>
    <row r="226" spans="2:30" ht="16" x14ac:dyDescent="0.2">
      <c r="B226" s="2" t="e">
        <f>VLOOKUP(A226,[1]TRATAMIENTI!$A:$B,2,FALSE)</f>
        <v>#N/A</v>
      </c>
      <c r="G226" s="2" t="str">
        <f t="shared" si="3"/>
        <v>NO</v>
      </c>
      <c r="J226" s="2"/>
      <c r="K226" s="2"/>
      <c r="L226" s="2"/>
      <c r="M226" s="2"/>
      <c r="N226" s="2"/>
      <c r="O226" s="2"/>
      <c r="P226" s="2"/>
      <c r="Q226" s="2"/>
      <c r="R226" s="2"/>
      <c r="S226" s="2"/>
      <c r="T226" s="2"/>
      <c r="U226" s="2"/>
      <c r="V226" s="2"/>
      <c r="W226" s="2"/>
      <c r="X226" s="2"/>
      <c r="Y226" s="2"/>
      <c r="Z226" s="2"/>
      <c r="AA226" s="2"/>
      <c r="AB226" s="2"/>
      <c r="AC226" s="2"/>
      <c r="AD226" s="2"/>
    </row>
    <row r="227" spans="2:30" ht="16" x14ac:dyDescent="0.2">
      <c r="B227" s="2" t="e">
        <f>VLOOKUP(A227,[1]TRATAMIENTI!$A:$B,2,FALSE)</f>
        <v>#N/A</v>
      </c>
      <c r="G227" s="2" t="str">
        <f t="shared" si="3"/>
        <v>NO</v>
      </c>
      <c r="J227" s="2"/>
      <c r="K227" s="2"/>
      <c r="L227" s="2"/>
      <c r="M227" s="2"/>
      <c r="N227" s="2"/>
      <c r="O227" s="2"/>
      <c r="P227" s="2"/>
      <c r="Q227" s="2"/>
      <c r="R227" s="2"/>
      <c r="S227" s="2"/>
      <c r="T227" s="2"/>
      <c r="U227" s="2"/>
      <c r="V227" s="2"/>
      <c r="W227" s="2"/>
      <c r="X227" s="2"/>
      <c r="Y227" s="2"/>
      <c r="Z227" s="2"/>
      <c r="AA227" s="2"/>
      <c r="AB227" s="2"/>
      <c r="AC227" s="2"/>
      <c r="AD227" s="2"/>
    </row>
    <row r="228" spans="2:30" ht="16" x14ac:dyDescent="0.2">
      <c r="B228" s="2" t="e">
        <f>VLOOKUP(A228,[1]TRATAMIENTI!$A:$B,2,FALSE)</f>
        <v>#N/A</v>
      </c>
      <c r="G228" s="2" t="str">
        <f t="shared" si="3"/>
        <v>NO</v>
      </c>
      <c r="J228" s="2"/>
      <c r="K228" s="2"/>
      <c r="L228" s="2"/>
      <c r="M228" s="2"/>
      <c r="N228" s="2"/>
      <c r="O228" s="2"/>
      <c r="P228" s="2"/>
      <c r="Q228" s="2"/>
      <c r="R228" s="2"/>
      <c r="S228" s="2"/>
      <c r="T228" s="2"/>
      <c r="U228" s="2"/>
      <c r="V228" s="2"/>
      <c r="W228" s="2"/>
      <c r="X228" s="2"/>
      <c r="Y228" s="2"/>
      <c r="Z228" s="2"/>
      <c r="AA228" s="2"/>
      <c r="AB228" s="2"/>
      <c r="AC228" s="2"/>
      <c r="AD228" s="2"/>
    </row>
    <row r="229" spans="2:30" ht="16" x14ac:dyDescent="0.2">
      <c r="B229" s="2" t="e">
        <f>VLOOKUP(A229,[1]TRATAMIENTI!$A:$B,2,FALSE)</f>
        <v>#N/A</v>
      </c>
      <c r="G229" s="2" t="str">
        <f t="shared" si="3"/>
        <v>NO</v>
      </c>
      <c r="J229" s="2"/>
      <c r="K229" s="2"/>
      <c r="L229" s="2"/>
      <c r="M229" s="2"/>
      <c r="N229" s="2"/>
      <c r="O229" s="2"/>
      <c r="P229" s="2"/>
      <c r="Q229" s="2"/>
      <c r="R229" s="2"/>
      <c r="S229" s="2"/>
      <c r="T229" s="2"/>
      <c r="U229" s="2"/>
      <c r="V229" s="2"/>
      <c r="W229" s="2"/>
      <c r="X229" s="2"/>
      <c r="Y229" s="2"/>
      <c r="Z229" s="2"/>
      <c r="AA229" s="2"/>
      <c r="AB229" s="2"/>
      <c r="AC229" s="2"/>
      <c r="AD229" s="2"/>
    </row>
    <row r="230" spans="2:30" ht="16" x14ac:dyDescent="0.2">
      <c r="B230" s="2" t="e">
        <f>VLOOKUP(A230,[1]TRATAMIENTI!$A:$B,2,FALSE)</f>
        <v>#N/A</v>
      </c>
      <c r="G230" s="2" t="str">
        <f t="shared" si="3"/>
        <v>NO</v>
      </c>
      <c r="J230" s="2"/>
      <c r="K230" s="2"/>
      <c r="L230" s="2"/>
      <c r="M230" s="2"/>
      <c r="N230" s="2"/>
      <c r="O230" s="2"/>
      <c r="P230" s="2"/>
      <c r="Q230" s="2"/>
      <c r="R230" s="2"/>
      <c r="S230" s="2"/>
      <c r="T230" s="2"/>
      <c r="U230" s="2"/>
      <c r="V230" s="2"/>
      <c r="W230" s="2"/>
      <c r="X230" s="2"/>
      <c r="Y230" s="2"/>
      <c r="Z230" s="2"/>
      <c r="AA230" s="2"/>
      <c r="AB230" s="2"/>
      <c r="AC230" s="2"/>
      <c r="AD230" s="2"/>
    </row>
    <row r="231" spans="2:30" ht="16" x14ac:dyDescent="0.2">
      <c r="B231" s="2" t="e">
        <f>VLOOKUP(A231,[1]TRATAMIENTI!$A:$B,2,FALSE)</f>
        <v>#N/A</v>
      </c>
      <c r="G231" s="2" t="str">
        <f t="shared" si="3"/>
        <v>NO</v>
      </c>
      <c r="J231" s="2"/>
      <c r="K231" s="2"/>
      <c r="L231" s="2"/>
      <c r="M231" s="2"/>
      <c r="N231" s="2"/>
      <c r="O231" s="2"/>
      <c r="P231" s="2"/>
      <c r="Q231" s="2"/>
      <c r="R231" s="2"/>
      <c r="S231" s="2"/>
      <c r="T231" s="2"/>
      <c r="U231" s="2"/>
      <c r="V231" s="2"/>
      <c r="W231" s="2"/>
      <c r="X231" s="2"/>
      <c r="Y231" s="2"/>
      <c r="Z231" s="2"/>
      <c r="AA231" s="2"/>
      <c r="AB231" s="2"/>
      <c r="AC231" s="2"/>
      <c r="AD231" s="2"/>
    </row>
    <row r="232" spans="2:30" ht="16" x14ac:dyDescent="0.2">
      <c r="B232" s="2" t="e">
        <f>VLOOKUP(A232,[1]TRATAMIENTI!$A:$B,2,FALSE)</f>
        <v>#N/A</v>
      </c>
      <c r="G232" s="2" t="str">
        <f t="shared" si="3"/>
        <v>NO</v>
      </c>
      <c r="J232" s="2"/>
      <c r="K232" s="2"/>
      <c r="L232" s="2"/>
      <c r="M232" s="2"/>
      <c r="N232" s="2"/>
      <c r="O232" s="2"/>
      <c r="P232" s="2"/>
      <c r="Q232" s="2"/>
      <c r="R232" s="2"/>
      <c r="S232" s="2"/>
      <c r="T232" s="2"/>
      <c r="U232" s="2"/>
      <c r="V232" s="2"/>
      <c r="W232" s="2"/>
      <c r="X232" s="2"/>
      <c r="Y232" s="2"/>
      <c r="Z232" s="2"/>
      <c r="AA232" s="2"/>
      <c r="AB232" s="2"/>
      <c r="AC232" s="2"/>
      <c r="AD232" s="2"/>
    </row>
    <row r="233" spans="2:30" ht="16" x14ac:dyDescent="0.2">
      <c r="B233" s="2" t="e">
        <f>VLOOKUP(A233,[1]TRATAMIENTI!$A:$B,2,FALSE)</f>
        <v>#N/A</v>
      </c>
      <c r="G233" s="2" t="str">
        <f t="shared" si="3"/>
        <v>NO</v>
      </c>
      <c r="J233" s="2"/>
      <c r="K233" s="2"/>
      <c r="L233" s="2"/>
      <c r="M233" s="2"/>
      <c r="N233" s="2"/>
      <c r="O233" s="2"/>
      <c r="P233" s="2"/>
      <c r="Q233" s="2"/>
      <c r="R233" s="2"/>
      <c r="S233" s="2"/>
      <c r="T233" s="2"/>
      <c r="U233" s="2"/>
      <c r="V233" s="2"/>
      <c r="W233" s="2"/>
      <c r="X233" s="2"/>
      <c r="Y233" s="2"/>
      <c r="Z233" s="2"/>
      <c r="AA233" s="2"/>
      <c r="AB233" s="2"/>
      <c r="AC233" s="2"/>
      <c r="AD233" s="2"/>
    </row>
    <row r="234" spans="2:30" ht="16" x14ac:dyDescent="0.2">
      <c r="B234" s="2" t="e">
        <f>VLOOKUP(A234,[1]TRATAMIENTI!$A:$B,2,FALSE)</f>
        <v>#N/A</v>
      </c>
      <c r="G234" s="2" t="str">
        <f t="shared" si="3"/>
        <v>NO</v>
      </c>
      <c r="J234" s="2"/>
      <c r="K234" s="2"/>
      <c r="L234" s="2"/>
      <c r="M234" s="2"/>
      <c r="N234" s="2"/>
      <c r="O234" s="2"/>
      <c r="P234" s="2"/>
      <c r="Q234" s="2"/>
      <c r="R234" s="2"/>
      <c r="S234" s="2"/>
      <c r="T234" s="2"/>
      <c r="U234" s="2"/>
      <c r="V234" s="2"/>
      <c r="W234" s="2"/>
      <c r="X234" s="2"/>
      <c r="Y234" s="2"/>
      <c r="Z234" s="2"/>
      <c r="AA234" s="2"/>
      <c r="AB234" s="2"/>
      <c r="AC234" s="2"/>
      <c r="AD234" s="2"/>
    </row>
    <row r="235" spans="2:30" ht="16" x14ac:dyDescent="0.2">
      <c r="B235" s="2" t="e">
        <f>VLOOKUP(A235,[1]TRATAMIENTI!$A:$B,2,FALSE)</f>
        <v>#N/A</v>
      </c>
      <c r="G235" s="2" t="str">
        <f t="shared" si="3"/>
        <v>NO</v>
      </c>
      <c r="J235" s="2"/>
      <c r="K235" s="2"/>
      <c r="L235" s="2"/>
      <c r="M235" s="2"/>
      <c r="N235" s="2"/>
      <c r="O235" s="2"/>
      <c r="P235" s="2"/>
      <c r="Q235" s="2"/>
      <c r="R235" s="2"/>
      <c r="S235" s="2"/>
      <c r="T235" s="2"/>
      <c r="U235" s="2"/>
      <c r="V235" s="2"/>
      <c r="W235" s="2"/>
      <c r="X235" s="2"/>
      <c r="Y235" s="2"/>
      <c r="Z235" s="2"/>
      <c r="AA235" s="2"/>
      <c r="AB235" s="2"/>
      <c r="AC235" s="2"/>
      <c r="AD235" s="2"/>
    </row>
    <row r="236" spans="2:30" ht="16" x14ac:dyDescent="0.2">
      <c r="B236" s="2" t="e">
        <f>VLOOKUP(A236,[1]TRATAMIENTI!$A:$B,2,FALSE)</f>
        <v>#N/A</v>
      </c>
      <c r="G236" s="2" t="str">
        <f t="shared" si="3"/>
        <v>NO</v>
      </c>
      <c r="J236" s="2"/>
      <c r="K236" s="2"/>
      <c r="L236" s="2"/>
      <c r="M236" s="2"/>
      <c r="N236" s="2"/>
      <c r="O236" s="2"/>
      <c r="P236" s="2"/>
      <c r="Q236" s="2"/>
      <c r="R236" s="2"/>
      <c r="S236" s="2"/>
      <c r="T236" s="2"/>
      <c r="U236" s="2"/>
      <c r="V236" s="2"/>
      <c r="W236" s="2"/>
      <c r="X236" s="2"/>
      <c r="Y236" s="2"/>
      <c r="Z236" s="2"/>
      <c r="AA236" s="2"/>
      <c r="AB236" s="2"/>
      <c r="AC236" s="2"/>
      <c r="AD236" s="2"/>
    </row>
    <row r="237" spans="2:30" ht="16" x14ac:dyDescent="0.2">
      <c r="B237" s="2" t="e">
        <f>VLOOKUP(A237,[1]TRATAMIENTI!$A:$B,2,FALSE)</f>
        <v>#N/A</v>
      </c>
      <c r="G237" s="2" t="str">
        <f t="shared" si="3"/>
        <v>NO</v>
      </c>
      <c r="J237" s="2"/>
      <c r="K237" s="2"/>
      <c r="L237" s="2"/>
      <c r="M237" s="2"/>
      <c r="N237" s="2"/>
      <c r="O237" s="2"/>
      <c r="P237" s="2"/>
      <c r="Q237" s="2"/>
      <c r="R237" s="2"/>
      <c r="S237" s="2"/>
      <c r="T237" s="2"/>
      <c r="U237" s="2"/>
      <c r="V237" s="2"/>
      <c r="W237" s="2"/>
      <c r="X237" s="2"/>
      <c r="Y237" s="2"/>
      <c r="Z237" s="2"/>
      <c r="AA237" s="2"/>
      <c r="AB237" s="2"/>
      <c r="AC237" s="2"/>
      <c r="AD237" s="2"/>
    </row>
    <row r="238" spans="2:30" ht="16" x14ac:dyDescent="0.2">
      <c r="B238" s="2" t="e">
        <f>VLOOKUP(A238,[1]TRATAMIENTI!$A:$B,2,FALSE)</f>
        <v>#N/A</v>
      </c>
      <c r="G238" s="2" t="str">
        <f t="shared" si="3"/>
        <v>NO</v>
      </c>
      <c r="J238" s="2"/>
      <c r="K238" s="2"/>
      <c r="L238" s="2"/>
      <c r="M238" s="2"/>
      <c r="N238" s="2"/>
      <c r="O238" s="2"/>
      <c r="P238" s="2"/>
      <c r="Q238" s="2"/>
      <c r="R238" s="2"/>
      <c r="S238" s="2"/>
      <c r="T238" s="2"/>
      <c r="U238" s="2"/>
      <c r="V238" s="2"/>
      <c r="W238" s="2"/>
      <c r="X238" s="2"/>
      <c r="Y238" s="2"/>
      <c r="Z238" s="2"/>
      <c r="AA238" s="2"/>
      <c r="AB238" s="2"/>
      <c r="AC238" s="2"/>
      <c r="AD238" s="2"/>
    </row>
    <row r="239" spans="2:30" ht="16" x14ac:dyDescent="0.2">
      <c r="B239" s="2" t="e">
        <f>VLOOKUP(A239,[1]TRATAMIENTI!$A:$B,2,FALSE)</f>
        <v>#N/A</v>
      </c>
      <c r="G239" s="2" t="str">
        <f t="shared" si="3"/>
        <v>NO</v>
      </c>
      <c r="J239" s="2"/>
      <c r="K239" s="2"/>
      <c r="L239" s="2"/>
      <c r="M239" s="2"/>
      <c r="N239" s="2"/>
      <c r="O239" s="2"/>
      <c r="P239" s="2"/>
      <c r="Q239" s="2"/>
      <c r="R239" s="2"/>
      <c r="S239" s="2"/>
      <c r="T239" s="2"/>
      <c r="U239" s="2"/>
      <c r="V239" s="2"/>
      <c r="W239" s="2"/>
      <c r="X239" s="2"/>
      <c r="Y239" s="2"/>
      <c r="Z239" s="2"/>
      <c r="AA239" s="2"/>
      <c r="AB239" s="2"/>
      <c r="AC239" s="2"/>
      <c r="AD239" s="2"/>
    </row>
    <row r="240" spans="2:30" ht="16" x14ac:dyDescent="0.2">
      <c r="B240" s="2" t="e">
        <f>VLOOKUP(A240,[1]TRATAMIENTI!$A:$B,2,FALSE)</f>
        <v>#N/A</v>
      </c>
      <c r="G240" s="2" t="str">
        <f t="shared" si="3"/>
        <v>NO</v>
      </c>
      <c r="J240" s="2"/>
      <c r="K240" s="2"/>
      <c r="L240" s="2"/>
      <c r="M240" s="2"/>
      <c r="N240" s="2"/>
      <c r="O240" s="2"/>
      <c r="P240" s="2"/>
      <c r="Q240" s="2"/>
      <c r="R240" s="2"/>
      <c r="S240" s="2"/>
      <c r="T240" s="2"/>
      <c r="U240" s="2"/>
      <c r="V240" s="2"/>
      <c r="W240" s="2"/>
      <c r="X240" s="2"/>
      <c r="Y240" s="2"/>
      <c r="Z240" s="2"/>
      <c r="AA240" s="2"/>
      <c r="AB240" s="2"/>
      <c r="AC240" s="2"/>
      <c r="AD240" s="2"/>
    </row>
    <row r="241" spans="2:30" ht="16" x14ac:dyDescent="0.2">
      <c r="B241" s="2" t="e">
        <f>VLOOKUP(A241,[1]TRATAMIENTI!$A:$B,2,FALSE)</f>
        <v>#N/A</v>
      </c>
      <c r="G241" s="2" t="str">
        <f t="shared" si="3"/>
        <v>NO</v>
      </c>
      <c r="J241" s="2"/>
      <c r="K241" s="2"/>
      <c r="L241" s="2"/>
      <c r="M241" s="2"/>
      <c r="N241" s="2"/>
      <c r="O241" s="2"/>
      <c r="P241" s="2"/>
      <c r="Q241" s="2"/>
      <c r="R241" s="2"/>
      <c r="S241" s="2"/>
      <c r="T241" s="2"/>
      <c r="U241" s="2"/>
      <c r="V241" s="2"/>
      <c r="W241" s="2"/>
      <c r="X241" s="2"/>
      <c r="Y241" s="2"/>
      <c r="Z241" s="2"/>
      <c r="AA241" s="2"/>
      <c r="AB241" s="2"/>
      <c r="AC241" s="2"/>
      <c r="AD241" s="2"/>
    </row>
    <row r="242" spans="2:30" ht="16" x14ac:dyDescent="0.2">
      <c r="B242" s="2" t="e">
        <f>VLOOKUP(A242,[1]TRATAMIENTI!$A:$B,2,FALSE)</f>
        <v>#N/A</v>
      </c>
      <c r="G242" s="2" t="str">
        <f t="shared" si="3"/>
        <v>NO</v>
      </c>
      <c r="J242" s="2"/>
      <c r="K242" s="2"/>
      <c r="L242" s="2"/>
      <c r="M242" s="2"/>
      <c r="N242" s="2"/>
      <c r="O242" s="2"/>
      <c r="P242" s="2"/>
      <c r="Q242" s="2"/>
      <c r="R242" s="2"/>
      <c r="S242" s="2"/>
      <c r="T242" s="2"/>
      <c r="U242" s="2"/>
      <c r="V242" s="2"/>
      <c r="W242" s="2"/>
      <c r="X242" s="2"/>
      <c r="Y242" s="2"/>
      <c r="Z242" s="2"/>
      <c r="AA242" s="2"/>
      <c r="AB242" s="2"/>
      <c r="AC242" s="2"/>
      <c r="AD242" s="2"/>
    </row>
    <row r="243" spans="2:30" ht="16" x14ac:dyDescent="0.2">
      <c r="B243" s="2" t="e">
        <f>VLOOKUP(A243,[1]TRATAMIENTI!$A:$B,2,FALSE)</f>
        <v>#N/A</v>
      </c>
      <c r="G243" s="2" t="str">
        <f t="shared" si="3"/>
        <v>NO</v>
      </c>
      <c r="J243" s="2"/>
      <c r="K243" s="2"/>
      <c r="L243" s="2"/>
      <c r="M243" s="2"/>
      <c r="N243" s="2"/>
      <c r="O243" s="2"/>
      <c r="P243" s="2"/>
      <c r="Q243" s="2"/>
      <c r="R243" s="2"/>
      <c r="S243" s="2"/>
      <c r="T243" s="2"/>
      <c r="U243" s="2"/>
      <c r="V243" s="2"/>
      <c r="W243" s="2"/>
      <c r="X243" s="2"/>
      <c r="Y243" s="2"/>
      <c r="Z243" s="2"/>
      <c r="AA243" s="2"/>
      <c r="AB243" s="2"/>
      <c r="AC243" s="2"/>
      <c r="AD243" s="2"/>
    </row>
    <row r="244" spans="2:30" ht="16" x14ac:dyDescent="0.2">
      <c r="B244" s="2" t="e">
        <f>VLOOKUP(A244,[1]TRATAMIENTI!$A:$B,2,FALSE)</f>
        <v>#N/A</v>
      </c>
      <c r="G244" s="2" t="str">
        <f t="shared" si="3"/>
        <v>NO</v>
      </c>
      <c r="J244" s="2"/>
      <c r="K244" s="2"/>
      <c r="L244" s="2"/>
      <c r="M244" s="2"/>
      <c r="N244" s="2"/>
      <c r="O244" s="2"/>
      <c r="P244" s="2"/>
      <c r="Q244" s="2"/>
      <c r="R244" s="2"/>
      <c r="S244" s="2"/>
      <c r="T244" s="2"/>
      <c r="U244" s="2"/>
      <c r="V244" s="2"/>
      <c r="W244" s="2"/>
      <c r="X244" s="2"/>
      <c r="Y244" s="2"/>
      <c r="Z244" s="2"/>
      <c r="AA244" s="2"/>
      <c r="AB244" s="2"/>
      <c r="AC244" s="2"/>
      <c r="AD244" s="2"/>
    </row>
    <row r="245" spans="2:30" ht="16" x14ac:dyDescent="0.2">
      <c r="B245" s="2" t="e">
        <f>VLOOKUP(A245,[1]TRATAMIENTI!$A:$B,2,FALSE)</f>
        <v>#N/A</v>
      </c>
      <c r="G245" s="2" t="str">
        <f t="shared" si="3"/>
        <v>NO</v>
      </c>
      <c r="J245" s="2"/>
      <c r="K245" s="2"/>
      <c r="L245" s="2"/>
      <c r="M245" s="2"/>
      <c r="N245" s="2"/>
      <c r="O245" s="2"/>
      <c r="P245" s="2"/>
      <c r="Q245" s="2"/>
      <c r="R245" s="2"/>
      <c r="S245" s="2"/>
      <c r="T245" s="2"/>
      <c r="U245" s="2"/>
      <c r="V245" s="2"/>
      <c r="W245" s="2"/>
      <c r="X245" s="2"/>
      <c r="Y245" s="2"/>
      <c r="Z245" s="2"/>
      <c r="AA245" s="2"/>
      <c r="AB245" s="2"/>
      <c r="AC245" s="2"/>
      <c r="AD245" s="2"/>
    </row>
    <row r="246" spans="2:30" ht="16" x14ac:dyDescent="0.2">
      <c r="B246" s="2" t="e">
        <f>VLOOKUP(A246,[1]TRATAMIENTI!$A:$B,2,FALSE)</f>
        <v>#N/A</v>
      </c>
      <c r="G246" s="2" t="str">
        <f t="shared" si="3"/>
        <v>NO</v>
      </c>
      <c r="J246" s="2"/>
      <c r="K246" s="2"/>
      <c r="L246" s="2"/>
      <c r="M246" s="2"/>
      <c r="N246" s="2"/>
      <c r="O246" s="2"/>
      <c r="P246" s="2"/>
      <c r="Q246" s="2"/>
      <c r="R246" s="2"/>
      <c r="S246" s="2"/>
      <c r="T246" s="2"/>
      <c r="U246" s="2"/>
      <c r="V246" s="2"/>
      <c r="W246" s="2"/>
      <c r="X246" s="2"/>
      <c r="Y246" s="2"/>
      <c r="Z246" s="2"/>
      <c r="AA246" s="2"/>
      <c r="AB246" s="2"/>
      <c r="AC246" s="2"/>
      <c r="AD246" s="2"/>
    </row>
    <row r="247" spans="2:30" ht="16" x14ac:dyDescent="0.2">
      <c r="B247" s="2" t="e">
        <f>VLOOKUP(A247,[1]TRATAMIENTI!$A:$B,2,FALSE)</f>
        <v>#N/A</v>
      </c>
      <c r="G247" s="2" t="str">
        <f t="shared" si="3"/>
        <v>NO</v>
      </c>
      <c r="J247" s="2"/>
      <c r="K247" s="2"/>
      <c r="L247" s="2"/>
      <c r="M247" s="2"/>
      <c r="N247" s="2"/>
      <c r="O247" s="2"/>
      <c r="P247" s="2"/>
      <c r="Q247" s="2"/>
      <c r="R247" s="2"/>
      <c r="S247" s="2"/>
      <c r="T247" s="2"/>
      <c r="U247" s="2"/>
      <c r="V247" s="2"/>
      <c r="W247" s="2"/>
      <c r="X247" s="2"/>
      <c r="Y247" s="2"/>
      <c r="Z247" s="2"/>
      <c r="AA247" s="2"/>
      <c r="AB247" s="2"/>
      <c r="AC247" s="2"/>
      <c r="AD247" s="2"/>
    </row>
    <row r="248" spans="2:30" ht="16" x14ac:dyDescent="0.2">
      <c r="B248" s="2" t="e">
        <f>VLOOKUP(A248,[1]TRATAMIENTI!$A:$B,2,FALSE)</f>
        <v>#N/A</v>
      </c>
      <c r="G248" s="2" t="str">
        <f t="shared" si="3"/>
        <v>NO</v>
      </c>
      <c r="J248" s="2"/>
      <c r="K248" s="2"/>
      <c r="L248" s="2"/>
      <c r="M248" s="2"/>
      <c r="N248" s="2"/>
      <c r="O248" s="2"/>
      <c r="P248" s="2"/>
      <c r="Q248" s="2"/>
      <c r="R248" s="2"/>
      <c r="S248" s="2"/>
      <c r="T248" s="2"/>
      <c r="U248" s="2"/>
      <c r="V248" s="2"/>
      <c r="W248" s="2"/>
      <c r="X248" s="2"/>
      <c r="Y248" s="2"/>
      <c r="Z248" s="2"/>
      <c r="AA248" s="2"/>
      <c r="AB248" s="2"/>
      <c r="AC248" s="2"/>
      <c r="AD248" s="2"/>
    </row>
    <row r="249" spans="2:30" ht="16" x14ac:dyDescent="0.2">
      <c r="B249" s="2" t="e">
        <f>VLOOKUP(A249,[1]TRATAMIENTI!$A:$B,2,FALSE)</f>
        <v>#N/A</v>
      </c>
      <c r="G249" s="2" t="str">
        <f t="shared" si="3"/>
        <v>NO</v>
      </c>
      <c r="J249" s="2"/>
      <c r="K249" s="2"/>
      <c r="L249" s="2"/>
      <c r="M249" s="2"/>
      <c r="N249" s="2"/>
      <c r="O249" s="2"/>
      <c r="P249" s="2"/>
      <c r="Q249" s="2"/>
      <c r="R249" s="2"/>
      <c r="S249" s="2"/>
      <c r="T249" s="2"/>
      <c r="U249" s="2"/>
      <c r="V249" s="2"/>
      <c r="W249" s="2"/>
      <c r="X249" s="2"/>
      <c r="Y249" s="2"/>
      <c r="Z249" s="2"/>
      <c r="AA249" s="2"/>
      <c r="AB249" s="2"/>
      <c r="AC249" s="2"/>
      <c r="AD249" s="2"/>
    </row>
    <row r="250" spans="2:30" ht="16" x14ac:dyDescent="0.2">
      <c r="B250" s="2" t="e">
        <f>VLOOKUP(A250,[1]TRATAMIENTI!$A:$B,2,FALSE)</f>
        <v>#N/A</v>
      </c>
      <c r="G250" s="2" t="str">
        <f t="shared" si="3"/>
        <v>NO</v>
      </c>
      <c r="J250" s="2"/>
      <c r="K250" s="2"/>
      <c r="L250" s="2"/>
      <c r="M250" s="2"/>
      <c r="N250" s="2"/>
      <c r="O250" s="2"/>
      <c r="P250" s="2"/>
      <c r="Q250" s="2"/>
      <c r="R250" s="2"/>
      <c r="S250" s="2"/>
      <c r="T250" s="2"/>
      <c r="U250" s="2"/>
      <c r="V250" s="2"/>
      <c r="W250" s="2"/>
      <c r="X250" s="2"/>
      <c r="Y250" s="2"/>
      <c r="Z250" s="2"/>
      <c r="AA250" s="2"/>
      <c r="AB250" s="2"/>
      <c r="AC250" s="2"/>
      <c r="AD250" s="2"/>
    </row>
    <row r="251" spans="2:30" ht="16" x14ac:dyDescent="0.2">
      <c r="B251" s="2" t="e">
        <f>VLOOKUP(A251,[1]TRATAMIENTI!$A:$B,2,FALSE)</f>
        <v>#N/A</v>
      </c>
      <c r="G251" s="2" t="str">
        <f t="shared" si="3"/>
        <v>NO</v>
      </c>
      <c r="J251" s="2"/>
      <c r="K251" s="2"/>
      <c r="L251" s="2"/>
      <c r="M251" s="2"/>
      <c r="N251" s="2"/>
      <c r="O251" s="2"/>
      <c r="P251" s="2"/>
      <c r="Q251" s="2"/>
      <c r="R251" s="2"/>
      <c r="S251" s="2"/>
      <c r="T251" s="2"/>
      <c r="U251" s="2"/>
      <c r="V251" s="2"/>
      <c r="W251" s="2"/>
      <c r="X251" s="2"/>
      <c r="Y251" s="2"/>
      <c r="Z251" s="2"/>
      <c r="AA251" s="2"/>
      <c r="AB251" s="2"/>
      <c r="AC251" s="2"/>
      <c r="AD251" s="2"/>
    </row>
    <row r="252" spans="2:30" ht="16" x14ac:dyDescent="0.2">
      <c r="B252" s="2" t="e">
        <f>VLOOKUP(A252,[1]TRATAMIENTI!$A:$B,2,FALSE)</f>
        <v>#N/A</v>
      </c>
      <c r="G252" s="2" t="str">
        <f t="shared" si="3"/>
        <v>NO</v>
      </c>
      <c r="J252" s="2"/>
      <c r="K252" s="2"/>
      <c r="L252" s="2"/>
      <c r="M252" s="2"/>
      <c r="N252" s="2"/>
      <c r="O252" s="2"/>
      <c r="P252" s="2"/>
      <c r="Q252" s="2"/>
      <c r="R252" s="2"/>
      <c r="S252" s="2"/>
      <c r="T252" s="2"/>
      <c r="U252" s="2"/>
      <c r="V252" s="2"/>
      <c r="W252" s="2"/>
      <c r="X252" s="2"/>
      <c r="Y252" s="2"/>
      <c r="Z252" s="2"/>
      <c r="AA252" s="2"/>
      <c r="AB252" s="2"/>
      <c r="AC252" s="2"/>
      <c r="AD252" s="2"/>
    </row>
    <row r="253" spans="2:30" ht="16" x14ac:dyDescent="0.2">
      <c r="B253" s="2" t="e">
        <f>VLOOKUP(A253,[1]TRATAMIENTI!$A:$B,2,FALSE)</f>
        <v>#N/A</v>
      </c>
      <c r="G253" s="2" t="str">
        <f t="shared" si="3"/>
        <v>NO</v>
      </c>
      <c r="J253" s="2"/>
      <c r="K253" s="2"/>
      <c r="L253" s="2"/>
      <c r="M253" s="2"/>
      <c r="N253" s="2"/>
      <c r="O253" s="2"/>
      <c r="P253" s="2"/>
      <c r="Q253" s="2"/>
      <c r="R253" s="2"/>
      <c r="S253" s="2"/>
      <c r="T253" s="2"/>
      <c r="U253" s="2"/>
      <c r="V253" s="2"/>
      <c r="W253" s="2"/>
      <c r="X253" s="2"/>
      <c r="Y253" s="2"/>
      <c r="Z253" s="2"/>
      <c r="AA253" s="2"/>
      <c r="AB253" s="2"/>
      <c r="AC253" s="2"/>
      <c r="AD253" s="2"/>
    </row>
    <row r="254" spans="2:30" ht="16" x14ac:dyDescent="0.2">
      <c r="B254" s="2" t="e">
        <f>VLOOKUP(A254,[1]TRATAMIENTI!$A:$B,2,FALSE)</f>
        <v>#N/A</v>
      </c>
      <c r="G254" s="2" t="str">
        <f t="shared" si="3"/>
        <v>NO</v>
      </c>
      <c r="J254" s="2"/>
      <c r="K254" s="2"/>
      <c r="L254" s="2"/>
      <c r="M254" s="2"/>
      <c r="N254" s="2"/>
      <c r="O254" s="2"/>
      <c r="P254" s="2"/>
      <c r="Q254" s="2"/>
      <c r="R254" s="2"/>
      <c r="S254" s="2"/>
      <c r="T254" s="2"/>
      <c r="U254" s="2"/>
      <c r="V254" s="2"/>
      <c r="W254" s="2"/>
      <c r="X254" s="2"/>
      <c r="Y254" s="2"/>
      <c r="Z254" s="2"/>
      <c r="AA254" s="2"/>
      <c r="AB254" s="2"/>
      <c r="AC254" s="2"/>
      <c r="AD254" s="2"/>
    </row>
    <row r="255" spans="2:30" ht="16" x14ac:dyDescent="0.2">
      <c r="B255" s="2" t="e">
        <f>VLOOKUP(A255,[1]TRATAMIENTI!$A:$B,2,FALSE)</f>
        <v>#N/A</v>
      </c>
      <c r="G255" s="2" t="str">
        <f t="shared" si="3"/>
        <v>NO</v>
      </c>
      <c r="J255" s="2"/>
      <c r="K255" s="2"/>
      <c r="L255" s="2"/>
      <c r="M255" s="2"/>
      <c r="N255" s="2"/>
      <c r="O255" s="2"/>
      <c r="P255" s="2"/>
      <c r="Q255" s="2"/>
      <c r="R255" s="2"/>
      <c r="S255" s="2"/>
      <c r="T255" s="2"/>
      <c r="U255" s="2"/>
      <c r="V255" s="2"/>
      <c r="W255" s="2"/>
      <c r="X255" s="2"/>
      <c r="Y255" s="2"/>
      <c r="Z255" s="2"/>
      <c r="AA255" s="2"/>
      <c r="AB255" s="2"/>
      <c r="AC255" s="2"/>
      <c r="AD255" s="2"/>
    </row>
    <row r="256" spans="2:30" ht="16" x14ac:dyDescent="0.2">
      <c r="B256" s="2" t="e">
        <f>VLOOKUP(A256,[1]TRATAMIENTI!$A:$B,2,FALSE)</f>
        <v>#N/A</v>
      </c>
      <c r="G256" s="2" t="str">
        <f t="shared" si="3"/>
        <v>NO</v>
      </c>
      <c r="J256" s="2"/>
      <c r="K256" s="2"/>
      <c r="L256" s="2"/>
      <c r="M256" s="2"/>
      <c r="N256" s="2"/>
      <c r="O256" s="2"/>
      <c r="P256" s="2"/>
      <c r="Q256" s="2"/>
      <c r="R256" s="2"/>
      <c r="S256" s="2"/>
      <c r="T256" s="2"/>
      <c r="U256" s="2"/>
      <c r="V256" s="2"/>
      <c r="W256" s="2"/>
      <c r="X256" s="2"/>
      <c r="Y256" s="2"/>
      <c r="Z256" s="2"/>
      <c r="AA256" s="2"/>
      <c r="AB256" s="2"/>
      <c r="AC256" s="2"/>
      <c r="AD256" s="2"/>
    </row>
    <row r="257" spans="2:30" ht="16" x14ac:dyDescent="0.2">
      <c r="B257" s="2" t="e">
        <f>VLOOKUP(A257,[1]TRATAMIENTI!$A:$B,2,FALSE)</f>
        <v>#N/A</v>
      </c>
      <c r="G257" s="2" t="str">
        <f t="shared" si="3"/>
        <v>NO</v>
      </c>
      <c r="J257" s="2"/>
      <c r="K257" s="2"/>
      <c r="L257" s="2"/>
      <c r="M257" s="2"/>
      <c r="N257" s="2"/>
      <c r="O257" s="2"/>
      <c r="P257" s="2"/>
      <c r="Q257" s="2"/>
      <c r="R257" s="2"/>
      <c r="S257" s="2"/>
      <c r="T257" s="2"/>
      <c r="U257" s="2"/>
      <c r="V257" s="2"/>
      <c r="W257" s="2"/>
      <c r="X257" s="2"/>
      <c r="Y257" s="2"/>
      <c r="Z257" s="2"/>
      <c r="AA257" s="2"/>
      <c r="AB257" s="2"/>
      <c r="AC257" s="2"/>
      <c r="AD257" s="2"/>
    </row>
    <row r="258" spans="2:30" ht="16" x14ac:dyDescent="0.2">
      <c r="B258" s="2" t="e">
        <f>VLOOKUP(A258,[1]TRATAMIENTI!$A:$B,2,FALSE)</f>
        <v>#N/A</v>
      </c>
      <c r="G258" s="2" t="str">
        <f t="shared" ref="G258:G287" si="4">IF(H258="CALI","VALLE DEL CAUCA",IF(H258="MEDELLIN","ANTIOQUIA",IF(H258="BARRANQUILLA","ATLANTICO","NO")))</f>
        <v>NO</v>
      </c>
      <c r="J258" s="2"/>
      <c r="K258" s="2"/>
      <c r="L258" s="2"/>
      <c r="M258" s="2"/>
      <c r="N258" s="2"/>
      <c r="O258" s="2"/>
      <c r="P258" s="2"/>
      <c r="Q258" s="2"/>
      <c r="R258" s="2"/>
      <c r="S258" s="2"/>
      <c r="T258" s="2"/>
      <c r="U258" s="2"/>
      <c r="V258" s="2"/>
      <c r="W258" s="2"/>
      <c r="X258" s="2"/>
      <c r="Y258" s="2"/>
      <c r="Z258" s="2"/>
      <c r="AA258" s="2"/>
      <c r="AB258" s="2"/>
      <c r="AC258" s="2"/>
      <c r="AD258" s="2"/>
    </row>
    <row r="259" spans="2:30" ht="16" x14ac:dyDescent="0.2">
      <c r="B259" s="2" t="e">
        <f>VLOOKUP(A259,[1]TRATAMIENTI!$A:$B,2,FALSE)</f>
        <v>#N/A</v>
      </c>
      <c r="G259" s="2" t="str">
        <f t="shared" si="4"/>
        <v>NO</v>
      </c>
      <c r="J259" s="2"/>
      <c r="K259" s="2"/>
      <c r="L259" s="2"/>
      <c r="M259" s="2"/>
      <c r="N259" s="2"/>
      <c r="O259" s="2"/>
      <c r="P259" s="2"/>
      <c r="Q259" s="2"/>
      <c r="R259" s="2"/>
      <c r="S259" s="2"/>
      <c r="T259" s="2"/>
      <c r="U259" s="2"/>
      <c r="V259" s="2"/>
      <c r="W259" s="2"/>
      <c r="X259" s="2"/>
      <c r="Y259" s="2"/>
      <c r="Z259" s="2"/>
      <c r="AA259" s="2"/>
      <c r="AB259" s="2"/>
      <c r="AC259" s="2"/>
      <c r="AD259" s="2"/>
    </row>
    <row r="260" spans="2:30" ht="16" x14ac:dyDescent="0.2">
      <c r="B260" s="2" t="e">
        <f>VLOOKUP(A260,[1]TRATAMIENTI!$A:$B,2,FALSE)</f>
        <v>#N/A</v>
      </c>
      <c r="G260" s="2" t="str">
        <f t="shared" si="4"/>
        <v>NO</v>
      </c>
      <c r="J260" s="2"/>
      <c r="K260" s="2"/>
      <c r="L260" s="2"/>
      <c r="M260" s="2"/>
      <c r="N260" s="2"/>
      <c r="O260" s="2"/>
      <c r="P260" s="2"/>
      <c r="Q260" s="2"/>
      <c r="R260" s="2"/>
      <c r="S260" s="2"/>
      <c r="T260" s="2"/>
      <c r="U260" s="2"/>
      <c r="V260" s="2"/>
      <c r="W260" s="2"/>
      <c r="X260" s="2"/>
      <c r="Y260" s="2"/>
      <c r="Z260" s="2"/>
      <c r="AA260" s="2"/>
      <c r="AB260" s="2"/>
      <c r="AC260" s="2"/>
      <c r="AD260" s="2"/>
    </row>
    <row r="261" spans="2:30" ht="16" x14ac:dyDescent="0.2">
      <c r="B261" s="2" t="e">
        <f>VLOOKUP(A261,[1]TRATAMIENTI!$A:$B,2,FALSE)</f>
        <v>#N/A</v>
      </c>
      <c r="G261" s="2" t="str">
        <f t="shared" si="4"/>
        <v>NO</v>
      </c>
      <c r="J261" s="2"/>
      <c r="K261" s="2"/>
      <c r="L261" s="2"/>
      <c r="M261" s="2"/>
      <c r="N261" s="2"/>
      <c r="O261" s="2"/>
      <c r="P261" s="2"/>
      <c r="Q261" s="2"/>
      <c r="R261" s="2"/>
      <c r="S261" s="2"/>
      <c r="T261" s="2"/>
      <c r="U261" s="2"/>
      <c r="V261" s="2"/>
      <c r="W261" s="2"/>
      <c r="X261" s="2"/>
      <c r="Y261" s="2"/>
      <c r="Z261" s="2"/>
      <c r="AA261" s="2"/>
      <c r="AB261" s="2"/>
      <c r="AC261" s="2"/>
      <c r="AD261" s="2"/>
    </row>
    <row r="262" spans="2:30" ht="16" x14ac:dyDescent="0.2">
      <c r="B262" s="2" t="e">
        <f>VLOOKUP(A262,[1]TRATAMIENTI!$A:$B,2,FALSE)</f>
        <v>#N/A</v>
      </c>
      <c r="G262" s="2" t="str">
        <f t="shared" si="4"/>
        <v>NO</v>
      </c>
      <c r="J262" s="2"/>
      <c r="K262" s="2"/>
      <c r="L262" s="2"/>
      <c r="M262" s="2"/>
      <c r="N262" s="2"/>
      <c r="O262" s="2"/>
      <c r="P262" s="2"/>
      <c r="Q262" s="2"/>
      <c r="R262" s="2"/>
      <c r="S262" s="2"/>
      <c r="T262" s="2"/>
      <c r="U262" s="2"/>
      <c r="V262" s="2"/>
      <c r="W262" s="2"/>
      <c r="X262" s="2"/>
      <c r="Y262" s="2"/>
      <c r="Z262" s="2"/>
      <c r="AA262" s="2"/>
      <c r="AB262" s="2"/>
      <c r="AC262" s="2"/>
      <c r="AD262" s="2"/>
    </row>
    <row r="263" spans="2:30" ht="16" x14ac:dyDescent="0.2">
      <c r="B263" s="2" t="e">
        <f>VLOOKUP(A263,[1]TRATAMIENTI!$A:$B,2,FALSE)</f>
        <v>#N/A</v>
      </c>
      <c r="G263" s="2" t="str">
        <f t="shared" si="4"/>
        <v>NO</v>
      </c>
      <c r="J263" s="2"/>
      <c r="K263" s="2"/>
      <c r="L263" s="2"/>
      <c r="M263" s="2"/>
      <c r="N263" s="2"/>
      <c r="O263" s="2"/>
      <c r="P263" s="2"/>
      <c r="Q263" s="2"/>
      <c r="R263" s="2"/>
      <c r="S263" s="2"/>
      <c r="T263" s="2"/>
      <c r="U263" s="2"/>
      <c r="V263" s="2"/>
      <c r="W263" s="2"/>
      <c r="X263" s="2"/>
      <c r="Y263" s="2"/>
      <c r="Z263" s="2"/>
      <c r="AA263" s="2"/>
      <c r="AB263" s="2"/>
      <c r="AC263" s="2"/>
      <c r="AD263" s="2"/>
    </row>
    <row r="264" spans="2:30" ht="16" x14ac:dyDescent="0.2">
      <c r="B264" s="2" t="e">
        <f>VLOOKUP(A264,[1]TRATAMIENTI!$A:$B,2,FALSE)</f>
        <v>#N/A</v>
      </c>
      <c r="G264" s="2" t="str">
        <f t="shared" si="4"/>
        <v>NO</v>
      </c>
      <c r="J264" s="2"/>
      <c r="K264" s="2"/>
      <c r="L264" s="2"/>
      <c r="M264" s="2"/>
      <c r="N264" s="2"/>
      <c r="O264" s="2"/>
      <c r="P264" s="2"/>
      <c r="Q264" s="2"/>
      <c r="R264" s="2"/>
      <c r="S264" s="2"/>
      <c r="T264" s="2"/>
      <c r="U264" s="2"/>
      <c r="V264" s="2"/>
      <c r="W264" s="2"/>
      <c r="X264" s="2"/>
      <c r="Y264" s="2"/>
      <c r="Z264" s="2"/>
      <c r="AA264" s="2"/>
      <c r="AB264" s="2"/>
      <c r="AC264" s="2"/>
      <c r="AD264" s="2"/>
    </row>
    <row r="265" spans="2:30" ht="16" x14ac:dyDescent="0.2">
      <c r="B265" s="2" t="e">
        <f>VLOOKUP(A265,[1]TRATAMIENTI!$A:$B,2,FALSE)</f>
        <v>#N/A</v>
      </c>
      <c r="G265" s="2" t="str">
        <f t="shared" si="4"/>
        <v>NO</v>
      </c>
      <c r="J265" s="2"/>
      <c r="K265" s="2"/>
      <c r="L265" s="2"/>
      <c r="M265" s="2"/>
      <c r="N265" s="2"/>
      <c r="O265" s="2"/>
      <c r="P265" s="2"/>
      <c r="Q265" s="2"/>
      <c r="R265" s="2"/>
      <c r="S265" s="2"/>
      <c r="T265" s="2"/>
      <c r="U265" s="2"/>
      <c r="V265" s="2"/>
      <c r="W265" s="2"/>
      <c r="X265" s="2"/>
      <c r="Y265" s="2"/>
      <c r="Z265" s="2"/>
      <c r="AA265" s="2"/>
      <c r="AB265" s="2"/>
      <c r="AC265" s="2"/>
      <c r="AD265" s="2"/>
    </row>
    <row r="266" spans="2:30" ht="16" x14ac:dyDescent="0.2">
      <c r="B266" s="2" t="e">
        <f>VLOOKUP(A266,[1]TRATAMIENTI!$A:$B,2,FALSE)</f>
        <v>#N/A</v>
      </c>
      <c r="G266" s="2" t="str">
        <f t="shared" si="4"/>
        <v>NO</v>
      </c>
      <c r="J266" s="2"/>
      <c r="K266" s="2"/>
      <c r="L266" s="2"/>
      <c r="M266" s="2"/>
      <c r="N266" s="2"/>
      <c r="O266" s="2"/>
      <c r="P266" s="2"/>
      <c r="Q266" s="2"/>
      <c r="R266" s="2"/>
      <c r="S266" s="2"/>
      <c r="T266" s="2"/>
      <c r="U266" s="2"/>
      <c r="V266" s="2"/>
      <c r="W266" s="2"/>
      <c r="X266" s="2"/>
      <c r="Y266" s="2"/>
      <c r="Z266" s="2"/>
      <c r="AA266" s="2"/>
      <c r="AB266" s="2"/>
      <c r="AC266" s="2"/>
      <c r="AD266" s="2"/>
    </row>
    <row r="267" spans="2:30" ht="16" x14ac:dyDescent="0.2">
      <c r="B267" s="2" t="e">
        <f>VLOOKUP(A267,[1]TRATAMIENTI!$A:$B,2,FALSE)</f>
        <v>#N/A</v>
      </c>
      <c r="G267" s="2" t="str">
        <f t="shared" si="4"/>
        <v>NO</v>
      </c>
      <c r="J267" s="2"/>
      <c r="K267" s="2"/>
      <c r="L267" s="2"/>
      <c r="M267" s="2"/>
      <c r="N267" s="2"/>
      <c r="O267" s="2"/>
      <c r="P267" s="2"/>
      <c r="Q267" s="2"/>
      <c r="R267" s="2"/>
      <c r="S267" s="2"/>
      <c r="T267" s="2"/>
      <c r="U267" s="2"/>
      <c r="V267" s="2"/>
      <c r="W267" s="2"/>
      <c r="X267" s="2"/>
      <c r="Y267" s="2"/>
      <c r="Z267" s="2"/>
      <c r="AA267" s="2"/>
      <c r="AB267" s="2"/>
      <c r="AC267" s="2"/>
      <c r="AD267" s="2"/>
    </row>
    <row r="268" spans="2:30" ht="16" x14ac:dyDescent="0.2">
      <c r="B268" s="2" t="e">
        <f>VLOOKUP(A268,[1]TRATAMIENTI!$A:$B,2,FALSE)</f>
        <v>#N/A</v>
      </c>
      <c r="G268" s="2" t="str">
        <f t="shared" si="4"/>
        <v>NO</v>
      </c>
      <c r="J268" s="2"/>
      <c r="K268" s="2"/>
      <c r="L268" s="2"/>
      <c r="M268" s="2"/>
      <c r="N268" s="2"/>
      <c r="O268" s="2"/>
      <c r="P268" s="2"/>
      <c r="Q268" s="2"/>
      <c r="R268" s="2"/>
      <c r="S268" s="2"/>
      <c r="T268" s="2"/>
      <c r="U268" s="2"/>
      <c r="V268" s="2"/>
      <c r="W268" s="2"/>
      <c r="X268" s="2"/>
      <c r="Y268" s="2"/>
      <c r="Z268" s="2"/>
      <c r="AA268" s="2"/>
      <c r="AB268" s="2"/>
      <c r="AC268" s="2"/>
      <c r="AD268" s="2"/>
    </row>
    <row r="269" spans="2:30" ht="16" x14ac:dyDescent="0.2">
      <c r="B269" s="2" t="e">
        <f>VLOOKUP(A269,[1]TRATAMIENTI!$A:$B,2,FALSE)</f>
        <v>#N/A</v>
      </c>
      <c r="G269" s="2" t="str">
        <f t="shared" si="4"/>
        <v>NO</v>
      </c>
      <c r="J269" s="2"/>
      <c r="K269" s="2"/>
      <c r="L269" s="2"/>
      <c r="M269" s="2"/>
      <c r="N269" s="2"/>
      <c r="O269" s="2"/>
      <c r="P269" s="2"/>
      <c r="Q269" s="2"/>
      <c r="R269" s="2"/>
      <c r="S269" s="2"/>
      <c r="T269" s="2"/>
      <c r="U269" s="2"/>
      <c r="V269" s="2"/>
      <c r="W269" s="2"/>
      <c r="X269" s="2"/>
      <c r="Y269" s="2"/>
      <c r="Z269" s="2"/>
      <c r="AA269" s="2"/>
      <c r="AB269" s="2"/>
      <c r="AC269" s="2"/>
      <c r="AD269" s="2"/>
    </row>
    <row r="270" spans="2:30" ht="16" x14ac:dyDescent="0.2">
      <c r="B270" s="2" t="e">
        <f>VLOOKUP(A270,[1]TRATAMIENTI!$A:$B,2,FALSE)</f>
        <v>#N/A</v>
      </c>
      <c r="G270" s="2" t="str">
        <f t="shared" si="4"/>
        <v>NO</v>
      </c>
      <c r="J270" s="2"/>
      <c r="K270" s="2"/>
      <c r="L270" s="2"/>
      <c r="M270" s="2"/>
      <c r="N270" s="2"/>
      <c r="O270" s="2"/>
      <c r="P270" s="2"/>
      <c r="Q270" s="2"/>
      <c r="R270" s="2"/>
      <c r="S270" s="2"/>
      <c r="T270" s="2"/>
      <c r="U270" s="2"/>
      <c r="V270" s="2"/>
      <c r="W270" s="2"/>
      <c r="X270" s="2"/>
      <c r="Y270" s="2"/>
      <c r="Z270" s="2"/>
      <c r="AA270" s="2"/>
      <c r="AB270" s="2"/>
      <c r="AC270" s="2"/>
      <c r="AD270" s="2"/>
    </row>
    <row r="271" spans="2:30" ht="16" x14ac:dyDescent="0.2">
      <c r="B271" s="2" t="e">
        <f>VLOOKUP(A271,[1]TRATAMIENTI!$A:$B,2,FALSE)</f>
        <v>#N/A</v>
      </c>
      <c r="G271" s="2" t="str">
        <f t="shared" si="4"/>
        <v>NO</v>
      </c>
      <c r="J271" s="2"/>
      <c r="K271" s="2"/>
      <c r="L271" s="2"/>
      <c r="M271" s="2"/>
      <c r="N271" s="2"/>
      <c r="O271" s="2"/>
      <c r="P271" s="2"/>
      <c r="Q271" s="2"/>
      <c r="R271" s="2"/>
      <c r="S271" s="2"/>
      <c r="T271" s="2"/>
      <c r="U271" s="2"/>
      <c r="V271" s="2"/>
      <c r="W271" s="2"/>
      <c r="X271" s="2"/>
      <c r="Y271" s="2"/>
      <c r="Z271" s="2"/>
      <c r="AA271" s="2"/>
      <c r="AB271" s="2"/>
      <c r="AC271" s="2"/>
      <c r="AD271" s="2"/>
    </row>
    <row r="272" spans="2:30" ht="16" x14ac:dyDescent="0.2">
      <c r="B272" s="2" t="e">
        <f>VLOOKUP(A272,[1]TRATAMIENTI!$A:$B,2,FALSE)</f>
        <v>#N/A</v>
      </c>
      <c r="G272" s="2" t="str">
        <f t="shared" si="4"/>
        <v>NO</v>
      </c>
      <c r="J272" s="2"/>
      <c r="K272" s="2"/>
      <c r="L272" s="2"/>
      <c r="M272" s="2"/>
      <c r="N272" s="2"/>
      <c r="O272" s="2"/>
      <c r="P272" s="2"/>
      <c r="Q272" s="2"/>
      <c r="R272" s="2"/>
      <c r="S272" s="2"/>
      <c r="T272" s="2"/>
      <c r="U272" s="2"/>
      <c r="V272" s="2"/>
      <c r="W272" s="2"/>
      <c r="X272" s="2"/>
      <c r="Y272" s="2"/>
      <c r="Z272" s="2"/>
      <c r="AA272" s="2"/>
      <c r="AB272" s="2"/>
      <c r="AC272" s="2"/>
      <c r="AD272" s="2"/>
    </row>
    <row r="273" spans="2:30" ht="16" x14ac:dyDescent="0.2">
      <c r="B273" s="2" t="e">
        <f>VLOOKUP(A273,[1]TRATAMIENTI!$A:$B,2,FALSE)</f>
        <v>#N/A</v>
      </c>
      <c r="G273" s="2" t="str">
        <f t="shared" si="4"/>
        <v>NO</v>
      </c>
      <c r="J273" s="2"/>
      <c r="K273" s="2"/>
      <c r="L273" s="2"/>
      <c r="M273" s="2"/>
      <c r="N273" s="2"/>
      <c r="O273" s="2"/>
      <c r="P273" s="2"/>
      <c r="Q273" s="2"/>
      <c r="R273" s="2"/>
      <c r="S273" s="2"/>
      <c r="T273" s="2"/>
      <c r="U273" s="2"/>
      <c r="V273" s="2"/>
      <c r="W273" s="2"/>
      <c r="X273" s="2"/>
      <c r="Y273" s="2"/>
      <c r="Z273" s="2"/>
      <c r="AA273" s="2"/>
      <c r="AB273" s="2"/>
      <c r="AC273" s="2"/>
      <c r="AD273" s="2"/>
    </row>
    <row r="274" spans="2:30" ht="16" x14ac:dyDescent="0.2">
      <c r="B274" s="2" t="e">
        <f>VLOOKUP(A274,[1]TRATAMIENTI!$A:$B,2,FALSE)</f>
        <v>#N/A</v>
      </c>
      <c r="G274" s="2" t="str">
        <f t="shared" si="4"/>
        <v>NO</v>
      </c>
      <c r="J274" s="2"/>
      <c r="K274" s="2"/>
      <c r="L274" s="2"/>
      <c r="M274" s="2"/>
      <c r="N274" s="2"/>
      <c r="O274" s="2"/>
      <c r="P274" s="2"/>
      <c r="Q274" s="2"/>
      <c r="R274" s="2"/>
      <c r="S274" s="2"/>
      <c r="T274" s="2"/>
      <c r="U274" s="2"/>
      <c r="V274" s="2"/>
      <c r="W274" s="2"/>
      <c r="X274" s="2"/>
      <c r="Y274" s="2"/>
      <c r="Z274" s="2"/>
      <c r="AA274" s="2"/>
      <c r="AB274" s="2"/>
      <c r="AC274" s="2"/>
      <c r="AD274" s="2"/>
    </row>
    <row r="275" spans="2:30" ht="16" x14ac:dyDescent="0.2">
      <c r="B275" s="2" t="e">
        <f>VLOOKUP(A275,[1]TRATAMIENTI!$A:$B,2,FALSE)</f>
        <v>#N/A</v>
      </c>
      <c r="G275" s="2" t="str">
        <f t="shared" si="4"/>
        <v>NO</v>
      </c>
      <c r="J275" s="2"/>
      <c r="K275" s="2"/>
      <c r="L275" s="2"/>
      <c r="M275" s="2"/>
      <c r="N275" s="2"/>
      <c r="O275" s="2"/>
      <c r="P275" s="2"/>
      <c r="Q275" s="2"/>
      <c r="R275" s="2"/>
      <c r="S275" s="2"/>
      <c r="T275" s="2"/>
      <c r="U275" s="2"/>
      <c r="V275" s="2"/>
      <c r="W275" s="2"/>
      <c r="X275" s="2"/>
      <c r="Y275" s="2"/>
      <c r="Z275" s="2"/>
      <c r="AA275" s="2"/>
      <c r="AB275" s="2"/>
      <c r="AC275" s="2"/>
      <c r="AD275" s="2"/>
    </row>
    <row r="276" spans="2:30" ht="16" x14ac:dyDescent="0.2">
      <c r="B276" s="2" t="e">
        <f>VLOOKUP(A276,[1]TRATAMIENTI!$A:$B,2,FALSE)</f>
        <v>#N/A</v>
      </c>
      <c r="G276" s="2" t="str">
        <f t="shared" si="4"/>
        <v>NO</v>
      </c>
      <c r="J276" s="2"/>
      <c r="K276" s="2"/>
      <c r="L276" s="2"/>
      <c r="M276" s="2"/>
      <c r="N276" s="2"/>
      <c r="O276" s="2"/>
      <c r="P276" s="2"/>
      <c r="Q276" s="2"/>
      <c r="R276" s="2"/>
      <c r="S276" s="2"/>
      <c r="T276" s="2"/>
      <c r="U276" s="2"/>
      <c r="V276" s="2"/>
      <c r="W276" s="2"/>
      <c r="X276" s="2"/>
      <c r="Y276" s="2"/>
      <c r="Z276" s="2"/>
      <c r="AA276" s="2"/>
      <c r="AB276" s="2"/>
      <c r="AC276" s="2"/>
      <c r="AD276" s="2"/>
    </row>
    <row r="277" spans="2:30" ht="16" x14ac:dyDescent="0.2">
      <c r="B277" s="2" t="e">
        <f>VLOOKUP(A277,[1]TRATAMIENTI!$A:$B,2,FALSE)</f>
        <v>#N/A</v>
      </c>
      <c r="G277" s="2" t="str">
        <f t="shared" si="4"/>
        <v>NO</v>
      </c>
      <c r="J277" s="2"/>
      <c r="K277" s="2"/>
      <c r="L277" s="2"/>
      <c r="M277" s="2"/>
      <c r="N277" s="2"/>
      <c r="O277" s="2"/>
      <c r="P277" s="2"/>
      <c r="Q277" s="2"/>
      <c r="R277" s="2"/>
      <c r="S277" s="2"/>
      <c r="T277" s="2"/>
      <c r="U277" s="2"/>
      <c r="V277" s="2"/>
      <c r="W277" s="2"/>
      <c r="X277" s="2"/>
      <c r="Y277" s="2"/>
      <c r="Z277" s="2"/>
      <c r="AA277" s="2"/>
      <c r="AB277" s="2"/>
      <c r="AC277" s="2"/>
      <c r="AD277" s="2"/>
    </row>
    <row r="278" spans="2:30" ht="16" x14ac:dyDescent="0.2">
      <c r="B278" s="2" t="e">
        <f>VLOOKUP(A278,[1]TRATAMIENTI!$A:$B,2,FALSE)</f>
        <v>#N/A</v>
      </c>
      <c r="G278" s="2" t="str">
        <f t="shared" si="4"/>
        <v>NO</v>
      </c>
      <c r="J278" s="2"/>
      <c r="K278" s="2"/>
      <c r="L278" s="2"/>
      <c r="M278" s="2"/>
      <c r="N278" s="2"/>
      <c r="O278" s="2"/>
      <c r="P278" s="2"/>
      <c r="Q278" s="2"/>
      <c r="R278" s="2"/>
      <c r="S278" s="2"/>
      <c r="T278" s="2"/>
      <c r="U278" s="2"/>
      <c r="V278" s="2"/>
      <c r="W278" s="2"/>
      <c r="X278" s="2"/>
      <c r="Y278" s="2"/>
      <c r="Z278" s="2"/>
      <c r="AA278" s="2"/>
      <c r="AB278" s="2"/>
      <c r="AC278" s="2"/>
      <c r="AD278" s="2"/>
    </row>
    <row r="279" spans="2:30" ht="16" x14ac:dyDescent="0.2">
      <c r="B279" s="2" t="e">
        <f>VLOOKUP(A279,[1]TRATAMIENTI!$A:$B,2,FALSE)</f>
        <v>#N/A</v>
      </c>
      <c r="G279" s="2" t="str">
        <f t="shared" si="4"/>
        <v>NO</v>
      </c>
      <c r="J279" s="2"/>
      <c r="K279" s="2"/>
      <c r="L279" s="2"/>
      <c r="M279" s="2"/>
      <c r="N279" s="2"/>
      <c r="O279" s="2"/>
      <c r="P279" s="2"/>
      <c r="Q279" s="2"/>
      <c r="R279" s="2"/>
      <c r="S279" s="2"/>
      <c r="T279" s="2"/>
      <c r="U279" s="2"/>
      <c r="V279" s="2"/>
      <c r="W279" s="2"/>
      <c r="X279" s="2"/>
      <c r="Y279" s="2"/>
      <c r="Z279" s="2"/>
      <c r="AA279" s="2"/>
      <c r="AB279" s="2"/>
      <c r="AC279" s="2"/>
      <c r="AD279" s="2"/>
    </row>
    <row r="280" spans="2:30" ht="16" x14ac:dyDescent="0.2">
      <c r="B280" s="2" t="e">
        <f>VLOOKUP(A280,[1]TRATAMIENTI!$A:$B,2,FALSE)</f>
        <v>#N/A</v>
      </c>
      <c r="G280" s="2" t="str">
        <f t="shared" si="4"/>
        <v>NO</v>
      </c>
      <c r="J280" s="2"/>
      <c r="K280" s="2"/>
      <c r="L280" s="2"/>
      <c r="M280" s="2"/>
      <c r="N280" s="2"/>
      <c r="O280" s="2"/>
      <c r="P280" s="2"/>
      <c r="Q280" s="2"/>
      <c r="R280" s="2"/>
      <c r="S280" s="2"/>
      <c r="T280" s="2"/>
      <c r="U280" s="2"/>
      <c r="V280" s="2"/>
      <c r="W280" s="2"/>
      <c r="X280" s="2"/>
      <c r="Y280" s="2"/>
      <c r="Z280" s="2"/>
      <c r="AA280" s="2"/>
      <c r="AB280" s="2"/>
      <c r="AC280" s="2"/>
      <c r="AD280" s="2"/>
    </row>
    <row r="281" spans="2:30" ht="16" x14ac:dyDescent="0.2">
      <c r="B281" s="2" t="e">
        <f>VLOOKUP(A281,[1]TRATAMIENTI!$A:$B,2,FALSE)</f>
        <v>#N/A</v>
      </c>
      <c r="G281" s="2" t="str">
        <f t="shared" si="4"/>
        <v>NO</v>
      </c>
      <c r="J281" s="2"/>
      <c r="K281" s="2"/>
      <c r="L281" s="2"/>
      <c r="M281" s="2"/>
      <c r="N281" s="2"/>
      <c r="O281" s="2"/>
      <c r="P281" s="2"/>
      <c r="Q281" s="2"/>
      <c r="R281" s="2"/>
      <c r="S281" s="2"/>
      <c r="T281" s="2"/>
      <c r="U281" s="2"/>
      <c r="V281" s="2"/>
      <c r="W281" s="2"/>
      <c r="X281" s="2"/>
      <c r="Y281" s="2"/>
      <c r="Z281" s="2"/>
      <c r="AA281" s="2"/>
      <c r="AB281" s="2"/>
      <c r="AC281" s="2"/>
      <c r="AD281" s="2"/>
    </row>
    <row r="282" spans="2:30" ht="16" x14ac:dyDescent="0.2">
      <c r="B282" s="2" t="e">
        <f>VLOOKUP(A282,[1]TRATAMIENTI!$A:$B,2,FALSE)</f>
        <v>#N/A</v>
      </c>
      <c r="G282" s="2" t="str">
        <f t="shared" si="4"/>
        <v>NO</v>
      </c>
      <c r="J282" s="2"/>
      <c r="K282" s="2"/>
      <c r="L282" s="2"/>
      <c r="M282" s="2"/>
      <c r="N282" s="2"/>
      <c r="O282" s="2"/>
      <c r="P282" s="2"/>
      <c r="Q282" s="2"/>
      <c r="R282" s="2"/>
      <c r="S282" s="2"/>
      <c r="T282" s="2"/>
      <c r="U282" s="2"/>
      <c r="V282" s="2"/>
      <c r="W282" s="2"/>
      <c r="X282" s="2"/>
      <c r="Y282" s="2"/>
      <c r="Z282" s="2"/>
      <c r="AA282" s="2"/>
      <c r="AB282" s="2"/>
      <c r="AC282" s="2"/>
      <c r="AD282" s="2"/>
    </row>
    <row r="283" spans="2:30" ht="16" x14ac:dyDescent="0.2">
      <c r="B283" s="2" t="e">
        <f>VLOOKUP(A283,[1]TRATAMIENTI!$A:$B,2,FALSE)</f>
        <v>#N/A</v>
      </c>
      <c r="G283" s="2" t="str">
        <f t="shared" si="4"/>
        <v>NO</v>
      </c>
      <c r="J283" s="2"/>
      <c r="K283" s="2"/>
      <c r="L283" s="2"/>
      <c r="M283" s="2"/>
      <c r="N283" s="2"/>
      <c r="O283" s="2"/>
      <c r="P283" s="2"/>
      <c r="Q283" s="2"/>
      <c r="R283" s="2"/>
      <c r="S283" s="2"/>
      <c r="T283" s="2"/>
      <c r="U283" s="2"/>
      <c r="V283" s="2"/>
      <c r="W283" s="2"/>
      <c r="X283" s="2"/>
      <c r="Y283" s="2"/>
      <c r="Z283" s="2"/>
      <c r="AA283" s="2"/>
      <c r="AB283" s="2"/>
      <c r="AC283" s="2"/>
      <c r="AD283" s="2"/>
    </row>
    <row r="284" spans="2:30" ht="16" x14ac:dyDescent="0.2">
      <c r="B284" s="2" t="e">
        <f>VLOOKUP(A284,[1]TRATAMIENTI!$A:$B,2,FALSE)</f>
        <v>#N/A</v>
      </c>
      <c r="G284" s="2" t="str">
        <f t="shared" si="4"/>
        <v>NO</v>
      </c>
      <c r="J284" s="2"/>
      <c r="K284" s="2"/>
      <c r="L284" s="2"/>
      <c r="M284" s="2"/>
      <c r="N284" s="2"/>
      <c r="O284" s="2"/>
      <c r="P284" s="2"/>
      <c r="Q284" s="2"/>
      <c r="R284" s="2"/>
      <c r="S284" s="2"/>
      <c r="T284" s="2"/>
      <c r="U284" s="2"/>
      <c r="V284" s="2"/>
      <c r="W284" s="2"/>
      <c r="X284" s="2"/>
      <c r="Y284" s="2"/>
      <c r="Z284" s="2"/>
      <c r="AA284" s="2"/>
      <c r="AB284" s="2"/>
      <c r="AC284" s="2"/>
      <c r="AD284" s="2"/>
    </row>
    <row r="285" spans="2:30" ht="16" x14ac:dyDescent="0.2">
      <c r="B285" s="2" t="e">
        <f>VLOOKUP(A285,[1]TRATAMIENTI!$A:$B,2,FALSE)</f>
        <v>#N/A</v>
      </c>
      <c r="G285" s="2" t="str">
        <f t="shared" si="4"/>
        <v>NO</v>
      </c>
      <c r="J285" s="2"/>
      <c r="K285" s="2"/>
      <c r="L285" s="2"/>
      <c r="M285" s="2"/>
      <c r="N285" s="2"/>
      <c r="O285" s="2"/>
      <c r="P285" s="2"/>
      <c r="Q285" s="2"/>
      <c r="R285" s="2"/>
      <c r="S285" s="2"/>
      <c r="T285" s="2"/>
      <c r="U285" s="2"/>
      <c r="V285" s="2"/>
      <c r="W285" s="2"/>
      <c r="X285" s="2"/>
      <c r="Y285" s="2"/>
      <c r="Z285" s="2"/>
      <c r="AA285" s="2"/>
      <c r="AB285" s="2"/>
      <c r="AC285" s="2"/>
      <c r="AD285" s="2"/>
    </row>
    <row r="286" spans="2:30" ht="16" x14ac:dyDescent="0.2">
      <c r="B286" s="2" t="e">
        <f>VLOOKUP(A286,[1]TRATAMIENTI!$A:$B,2,FALSE)</f>
        <v>#N/A</v>
      </c>
      <c r="G286" s="2" t="str">
        <f t="shared" si="4"/>
        <v>NO</v>
      </c>
      <c r="J286" s="2"/>
      <c r="K286" s="2"/>
      <c r="L286" s="2"/>
      <c r="M286" s="2"/>
      <c r="N286" s="2"/>
      <c r="O286" s="2"/>
      <c r="P286" s="2"/>
      <c r="Q286" s="2"/>
      <c r="R286" s="2"/>
      <c r="S286" s="2"/>
      <c r="T286" s="2"/>
      <c r="U286" s="2"/>
      <c r="V286" s="2"/>
      <c r="W286" s="2"/>
      <c r="X286" s="2"/>
      <c r="Y286" s="2"/>
      <c r="Z286" s="2"/>
      <c r="AA286" s="2"/>
      <c r="AB286" s="2"/>
      <c r="AC286" s="2"/>
      <c r="AD286" s="2"/>
    </row>
    <row r="287" spans="2:30" ht="16" x14ac:dyDescent="0.2">
      <c r="B287" s="2" t="e">
        <f>VLOOKUP(A287,[1]TRATAMIENTI!$A:$B,2,FALSE)</f>
        <v>#N/A</v>
      </c>
      <c r="G287" s="2" t="str">
        <f t="shared" si="4"/>
        <v>NO</v>
      </c>
      <c r="J287" s="2"/>
      <c r="K287" s="2"/>
      <c r="L287" s="2"/>
      <c r="M287" s="2"/>
      <c r="N287" s="2"/>
      <c r="O287" s="2"/>
      <c r="P287" s="2"/>
      <c r="Q287" s="2"/>
      <c r="R287" s="2"/>
      <c r="S287" s="2"/>
      <c r="T287" s="2"/>
      <c r="U287" s="2"/>
      <c r="V287" s="2"/>
      <c r="W287" s="2"/>
      <c r="X287" s="2"/>
      <c r="Y287" s="2"/>
      <c r="Z287" s="2"/>
      <c r="AA287" s="2"/>
      <c r="AB287" s="2"/>
      <c r="AC287" s="2"/>
      <c r="AD287" s="2"/>
    </row>
    <row r="288" spans="2:30" x14ac:dyDescent="0.2">
      <c r="B288" s="2" t="e">
        <f>VLOOKUP(A288,[1]TRATAMIENTI!$A:$B,2,FALSE)</f>
        <v>#N/A</v>
      </c>
      <c r="J288" s="2"/>
      <c r="K288" s="2"/>
      <c r="L288" s="2"/>
      <c r="M288" s="2"/>
      <c r="N288" s="2"/>
      <c r="O288" s="2"/>
      <c r="P288" s="2"/>
      <c r="Q288" s="2"/>
      <c r="R288" s="2"/>
      <c r="S288" s="2"/>
      <c r="T288" s="2"/>
      <c r="U288" s="2"/>
      <c r="V288" s="2"/>
      <c r="W288" s="2"/>
      <c r="X288" s="2"/>
      <c r="Y288" s="2"/>
      <c r="Z288" s="2"/>
      <c r="AA288" s="2"/>
      <c r="AB288" s="2"/>
      <c r="AC288" s="2"/>
      <c r="AD288" s="2"/>
    </row>
    <row r="289" spans="2:30" x14ac:dyDescent="0.2">
      <c r="B289" s="2" t="e">
        <f>VLOOKUP(A289,[1]TRATAMIENTI!$A:$B,2,FALSE)</f>
        <v>#N/A</v>
      </c>
      <c r="J289" s="2"/>
      <c r="K289" s="2"/>
      <c r="L289" s="2"/>
      <c r="M289" s="2"/>
      <c r="N289" s="2"/>
      <c r="O289" s="2"/>
      <c r="P289" s="2"/>
      <c r="Q289" s="2"/>
      <c r="R289" s="2"/>
      <c r="S289" s="2"/>
      <c r="T289" s="2"/>
      <c r="U289" s="2"/>
      <c r="V289" s="2"/>
      <c r="W289" s="2"/>
      <c r="X289" s="2"/>
      <c r="Y289" s="2"/>
      <c r="Z289" s="2"/>
      <c r="AA289" s="2"/>
      <c r="AB289" s="2"/>
      <c r="AC289" s="2"/>
      <c r="AD289" s="2"/>
    </row>
    <row r="290" spans="2:30" x14ac:dyDescent="0.2">
      <c r="B290" s="2" t="e">
        <f>VLOOKUP(A290,[1]TRATAMIENTI!$A:$B,2,FALSE)</f>
        <v>#N/A</v>
      </c>
      <c r="J290" s="2"/>
      <c r="K290" s="2"/>
      <c r="L290" s="2"/>
      <c r="M290" s="2"/>
      <c r="N290" s="2"/>
      <c r="O290" s="2"/>
      <c r="P290" s="2"/>
      <c r="Q290" s="2"/>
      <c r="R290" s="2"/>
      <c r="S290" s="2"/>
      <c r="T290" s="2"/>
      <c r="U290" s="2"/>
      <c r="V290" s="2"/>
      <c r="W290" s="2"/>
      <c r="X290" s="2"/>
      <c r="Y290" s="2"/>
      <c r="Z290" s="2"/>
      <c r="AA290" s="2"/>
      <c r="AB290" s="2"/>
      <c r="AC290" s="2"/>
      <c r="AD290" s="2"/>
    </row>
    <row r="291" spans="2:30" x14ac:dyDescent="0.2">
      <c r="B291" s="2" t="e">
        <f>VLOOKUP(A291,[1]TRATAMIENTI!$A:$B,2,FALSE)</f>
        <v>#N/A</v>
      </c>
      <c r="J291" s="2"/>
      <c r="K291" s="2"/>
      <c r="L291" s="2"/>
      <c r="M291" s="2"/>
      <c r="N291" s="2"/>
      <c r="O291" s="2"/>
      <c r="P291" s="2"/>
      <c r="Q291" s="2"/>
      <c r="R291" s="2"/>
      <c r="S291" s="2"/>
      <c r="T291" s="2"/>
      <c r="U291" s="2"/>
      <c r="V291" s="2"/>
      <c r="W291" s="2"/>
      <c r="X291" s="2"/>
      <c r="Y291" s="2"/>
      <c r="Z291" s="2"/>
      <c r="AA291" s="2"/>
      <c r="AB291" s="2"/>
      <c r="AC291" s="2"/>
      <c r="AD291" s="2"/>
    </row>
    <row r="292" spans="2:30" x14ac:dyDescent="0.2">
      <c r="B292" s="2" t="e">
        <f>VLOOKUP(A292,[1]TRATAMIENTI!$A:$B,2,FALSE)</f>
        <v>#N/A</v>
      </c>
      <c r="J292" s="2"/>
      <c r="K292" s="2"/>
      <c r="L292" s="2"/>
      <c r="M292" s="2"/>
      <c r="N292" s="2"/>
      <c r="O292" s="2"/>
      <c r="P292" s="2"/>
      <c r="Q292" s="2"/>
      <c r="R292" s="2"/>
      <c r="S292" s="2"/>
      <c r="T292" s="2"/>
      <c r="U292" s="2"/>
      <c r="V292" s="2"/>
      <c r="W292" s="2"/>
      <c r="X292" s="2"/>
      <c r="Y292" s="2"/>
      <c r="Z292" s="2"/>
      <c r="AA292" s="2"/>
      <c r="AB292" s="2"/>
      <c r="AC292" s="2"/>
      <c r="AD292" s="2"/>
    </row>
    <row r="293" spans="2:30" x14ac:dyDescent="0.2">
      <c r="B293" s="2" t="e">
        <f>VLOOKUP(A293,[1]TRATAMIENTI!$A:$B,2,FALSE)</f>
        <v>#N/A</v>
      </c>
      <c r="J293" s="2"/>
      <c r="K293" s="2"/>
      <c r="L293" s="2"/>
      <c r="M293" s="2"/>
      <c r="N293" s="2"/>
      <c r="O293" s="2"/>
      <c r="P293" s="2"/>
      <c r="Q293" s="2"/>
      <c r="R293" s="2"/>
      <c r="S293" s="2"/>
      <c r="T293" s="2"/>
      <c r="U293" s="2"/>
      <c r="V293" s="2"/>
      <c r="W293" s="2"/>
      <c r="X293" s="2"/>
      <c r="Y293" s="2"/>
      <c r="Z293" s="2"/>
      <c r="AA293" s="2"/>
      <c r="AB293" s="2"/>
      <c r="AC293" s="2"/>
      <c r="AD293" s="2"/>
    </row>
    <row r="294" spans="2:30" x14ac:dyDescent="0.2">
      <c r="B294" s="2" t="e">
        <f>VLOOKUP(A294,[1]TRATAMIENTI!$A:$B,2,FALSE)</f>
        <v>#N/A</v>
      </c>
      <c r="J294" s="2"/>
      <c r="K294" s="2"/>
      <c r="L294" s="2"/>
      <c r="M294" s="2"/>
      <c r="N294" s="2"/>
      <c r="O294" s="2"/>
      <c r="P294" s="2"/>
      <c r="Q294" s="2"/>
      <c r="R294" s="2"/>
      <c r="S294" s="2"/>
      <c r="T294" s="2"/>
      <c r="U294" s="2"/>
      <c r="V294" s="2"/>
      <c r="W294" s="2"/>
      <c r="X294" s="2"/>
      <c r="Y294" s="2"/>
      <c r="Z294" s="2"/>
      <c r="AA294" s="2"/>
      <c r="AB294" s="2"/>
      <c r="AC294" s="2"/>
      <c r="AD294" s="2"/>
    </row>
    <row r="295" spans="2:30" x14ac:dyDescent="0.2">
      <c r="B295" s="2" t="e">
        <f>VLOOKUP(A295,[1]TRATAMIENTI!$A:$B,2,FALSE)</f>
        <v>#N/A</v>
      </c>
      <c r="J295" s="2"/>
      <c r="K295" s="2"/>
      <c r="L295" s="2"/>
      <c r="M295" s="2"/>
      <c r="N295" s="2"/>
      <c r="O295" s="2"/>
      <c r="P295" s="2"/>
      <c r="Q295" s="2"/>
      <c r="R295" s="2"/>
      <c r="S295" s="2"/>
      <c r="T295" s="2"/>
      <c r="U295" s="2"/>
      <c r="V295" s="2"/>
      <c r="W295" s="2"/>
      <c r="X295" s="2"/>
      <c r="Y295" s="2"/>
      <c r="Z295" s="2"/>
      <c r="AA295" s="2"/>
      <c r="AB295" s="2"/>
      <c r="AC295" s="2"/>
      <c r="AD295" s="2"/>
    </row>
    <row r="296" spans="2:30" x14ac:dyDescent="0.2">
      <c r="B296" s="2" t="e">
        <f>VLOOKUP(A296,[1]TRATAMIENTI!$A:$B,2,FALSE)</f>
        <v>#N/A</v>
      </c>
      <c r="J296" s="2"/>
      <c r="K296" s="2"/>
      <c r="L296" s="2"/>
      <c r="M296" s="2"/>
      <c r="N296" s="2"/>
      <c r="O296" s="2"/>
      <c r="P296" s="2"/>
      <c r="Q296" s="2"/>
      <c r="R296" s="2"/>
      <c r="S296" s="2"/>
      <c r="T296" s="2"/>
      <c r="U296" s="2"/>
      <c r="V296" s="2"/>
      <c r="W296" s="2"/>
      <c r="X296" s="2"/>
      <c r="Y296" s="2"/>
      <c r="Z296" s="2"/>
      <c r="AA296" s="2"/>
      <c r="AB296" s="2"/>
      <c r="AC296" s="2"/>
      <c r="AD296" s="2"/>
    </row>
    <row r="297" spans="2:30" x14ac:dyDescent="0.2">
      <c r="B297" s="2" t="e">
        <f>VLOOKUP(A297,[1]TRATAMIENTI!$A:$B,2,FALSE)</f>
        <v>#N/A</v>
      </c>
      <c r="J297" s="2"/>
      <c r="K297" s="2"/>
      <c r="L297" s="2"/>
      <c r="M297" s="2"/>
      <c r="N297" s="2"/>
      <c r="O297" s="2"/>
      <c r="P297" s="2"/>
      <c r="Q297" s="2"/>
      <c r="R297" s="2"/>
      <c r="S297" s="2"/>
      <c r="T297" s="2"/>
      <c r="U297" s="2"/>
      <c r="V297" s="2"/>
      <c r="W297" s="2"/>
      <c r="X297" s="2"/>
      <c r="Y297" s="2"/>
      <c r="Z297" s="2"/>
      <c r="AA297" s="2"/>
      <c r="AB297" s="2"/>
      <c r="AC297" s="2"/>
      <c r="AD297" s="2"/>
    </row>
    <row r="298" spans="2:30" x14ac:dyDescent="0.2">
      <c r="J298" s="2"/>
      <c r="K298" s="2"/>
      <c r="L298" s="2"/>
      <c r="M298" s="2"/>
      <c r="N298" s="2"/>
      <c r="O298" s="2"/>
      <c r="P298" s="2"/>
      <c r="Q298" s="2"/>
      <c r="R298" s="2"/>
      <c r="S298" s="2"/>
      <c r="T298" s="2"/>
      <c r="U298" s="2"/>
      <c r="V298" s="2"/>
      <c r="W298" s="2"/>
      <c r="X298" s="2"/>
      <c r="Y298" s="2"/>
      <c r="Z298" s="2"/>
      <c r="AA298" s="2"/>
      <c r="AB298" s="2"/>
      <c r="AC298" s="2"/>
      <c r="AD298" s="2"/>
    </row>
    <row r="299" spans="2:30" x14ac:dyDescent="0.2">
      <c r="J299" s="2"/>
      <c r="K299" s="2"/>
      <c r="L299" s="2"/>
      <c r="M299" s="2"/>
      <c r="N299" s="2"/>
      <c r="O299" s="2"/>
      <c r="P299" s="2"/>
      <c r="Q299" s="2"/>
      <c r="R299" s="2"/>
      <c r="S299" s="2"/>
      <c r="T299" s="2"/>
      <c r="U299" s="2"/>
      <c r="V299" s="2"/>
      <c r="W299" s="2"/>
      <c r="X299" s="2"/>
      <c r="Y299" s="2"/>
      <c r="Z299" s="2"/>
      <c r="AA299" s="2"/>
      <c r="AB299" s="2"/>
      <c r="AC299" s="2"/>
      <c r="AD299" s="2"/>
    </row>
    <row r="300" spans="2:30" x14ac:dyDescent="0.2">
      <c r="J300" s="2"/>
      <c r="K300" s="2"/>
      <c r="L300" s="2"/>
      <c r="M300" s="2"/>
      <c r="N300" s="2"/>
      <c r="O300" s="2"/>
      <c r="P300" s="2"/>
      <c r="Q300" s="2"/>
      <c r="R300" s="2"/>
      <c r="S300" s="2"/>
      <c r="T300" s="2"/>
      <c r="U300" s="2"/>
      <c r="V300" s="2"/>
      <c r="W300" s="2"/>
      <c r="X300" s="2"/>
      <c r="Y300" s="2"/>
      <c r="Z300" s="2"/>
      <c r="AA300" s="2"/>
      <c r="AB300" s="2"/>
      <c r="AC300" s="2"/>
      <c r="AD300" s="2"/>
    </row>
    <row r="301" spans="2:30" x14ac:dyDescent="0.2">
      <c r="J301" s="2"/>
      <c r="K301" s="2"/>
      <c r="L301" s="2"/>
      <c r="M301" s="2"/>
      <c r="N301" s="2"/>
      <c r="O301" s="2"/>
      <c r="P301" s="2"/>
      <c r="Q301" s="2"/>
      <c r="R301" s="2"/>
      <c r="S301" s="2"/>
      <c r="T301" s="2"/>
      <c r="U301" s="2"/>
      <c r="V301" s="2"/>
      <c r="W301" s="2"/>
      <c r="X301" s="2"/>
      <c r="Y301" s="2"/>
      <c r="Z301" s="2"/>
      <c r="AA301" s="2"/>
      <c r="AB301" s="2"/>
      <c r="AC301" s="2"/>
      <c r="AD301" s="2"/>
    </row>
    <row r="302" spans="2:30" x14ac:dyDescent="0.2">
      <c r="J302" s="2"/>
      <c r="K302" s="2"/>
      <c r="L302" s="2"/>
      <c r="M302" s="2"/>
      <c r="N302" s="2"/>
      <c r="O302" s="2"/>
      <c r="P302" s="2"/>
      <c r="Q302" s="2"/>
      <c r="R302" s="2"/>
      <c r="S302" s="2"/>
      <c r="T302" s="2"/>
      <c r="U302" s="2"/>
      <c r="V302" s="2"/>
      <c r="W302" s="2"/>
      <c r="X302" s="2"/>
      <c r="Y302" s="2"/>
      <c r="Z302" s="2"/>
      <c r="AA302" s="2"/>
      <c r="AB302" s="2"/>
      <c r="AC302" s="2"/>
      <c r="AD302" s="2"/>
    </row>
    <row r="303" spans="2:30" x14ac:dyDescent="0.2">
      <c r="J303" s="2"/>
      <c r="K303" s="2"/>
      <c r="L303" s="2"/>
      <c r="M303" s="2"/>
      <c r="N303" s="2"/>
      <c r="O303" s="2"/>
      <c r="P303" s="2"/>
      <c r="Q303" s="2"/>
      <c r="R303" s="2"/>
      <c r="S303" s="2"/>
      <c r="T303" s="2"/>
      <c r="U303" s="2"/>
      <c r="V303" s="2"/>
      <c r="W303" s="2"/>
      <c r="X303" s="2"/>
      <c r="Y303" s="2"/>
      <c r="Z303" s="2"/>
      <c r="AA303" s="2"/>
      <c r="AB303" s="2"/>
      <c r="AC303" s="2"/>
      <c r="AD303" s="2"/>
    </row>
    <row r="304" spans="2:30" x14ac:dyDescent="0.2">
      <c r="J304" s="2"/>
      <c r="K304" s="2"/>
      <c r="L304" s="2"/>
      <c r="M304" s="2"/>
      <c r="N304" s="2"/>
      <c r="O304" s="2"/>
      <c r="P304" s="2"/>
      <c r="Q304" s="2"/>
      <c r="R304" s="2"/>
      <c r="S304" s="2"/>
      <c r="T304" s="2"/>
      <c r="U304" s="2"/>
      <c r="V304" s="2"/>
      <c r="W304" s="2"/>
      <c r="X304" s="2"/>
      <c r="Y304" s="2"/>
      <c r="Z304" s="2"/>
      <c r="AA304" s="2"/>
      <c r="AB304" s="2"/>
      <c r="AC304" s="2"/>
      <c r="AD304" s="2"/>
    </row>
    <row r="305" spans="10:30" x14ac:dyDescent="0.2">
      <c r="J305" s="2"/>
      <c r="K305" s="2"/>
      <c r="L305" s="2"/>
      <c r="M305" s="2"/>
      <c r="N305" s="2"/>
      <c r="O305" s="2"/>
      <c r="P305" s="2"/>
      <c r="Q305" s="2"/>
      <c r="R305" s="2"/>
      <c r="S305" s="2"/>
      <c r="T305" s="2"/>
      <c r="U305" s="2"/>
      <c r="V305" s="2"/>
      <c r="W305" s="2"/>
      <c r="X305" s="2"/>
      <c r="Y305" s="2"/>
      <c r="Z305" s="2"/>
      <c r="AA305" s="2"/>
      <c r="AB305" s="2"/>
      <c r="AC305" s="2"/>
      <c r="AD305" s="2"/>
    </row>
    <row r="306" spans="10:30" x14ac:dyDescent="0.2">
      <c r="J306" s="2"/>
      <c r="K306" s="2"/>
      <c r="L306" s="2"/>
      <c r="M306" s="2"/>
      <c r="N306" s="2"/>
      <c r="O306" s="2"/>
      <c r="P306" s="2"/>
      <c r="Q306" s="2"/>
      <c r="R306" s="2"/>
      <c r="S306" s="2"/>
      <c r="T306" s="2"/>
      <c r="U306" s="2"/>
      <c r="V306" s="2"/>
      <c r="W306" s="2"/>
      <c r="X306" s="2"/>
      <c r="Y306" s="2"/>
      <c r="Z306" s="2"/>
      <c r="AA306" s="2"/>
      <c r="AB306" s="2"/>
      <c r="AC306" s="2"/>
      <c r="AD306" s="2"/>
    </row>
    <row r="307" spans="10:30" x14ac:dyDescent="0.2">
      <c r="J307" s="2"/>
      <c r="K307" s="2"/>
      <c r="L307" s="2"/>
      <c r="M307" s="2"/>
      <c r="N307" s="2"/>
      <c r="O307" s="2"/>
      <c r="P307" s="2"/>
      <c r="Q307" s="2"/>
      <c r="R307" s="2"/>
      <c r="S307" s="2"/>
      <c r="T307" s="2"/>
      <c r="U307" s="2"/>
      <c r="V307" s="2"/>
      <c r="W307" s="2"/>
      <c r="X307" s="2"/>
      <c r="Y307" s="2"/>
      <c r="Z307" s="2"/>
      <c r="AA307" s="2"/>
      <c r="AB307" s="2"/>
      <c r="AC307" s="2"/>
      <c r="AD307" s="2"/>
    </row>
    <row r="308" spans="10:30" x14ac:dyDescent="0.2">
      <c r="J308" s="2"/>
      <c r="K308" s="2"/>
      <c r="L308" s="2"/>
      <c r="M308" s="2"/>
      <c r="N308" s="2"/>
      <c r="O308" s="2"/>
      <c r="P308" s="2"/>
      <c r="Q308" s="2"/>
      <c r="R308" s="2"/>
      <c r="S308" s="2"/>
      <c r="T308" s="2"/>
      <c r="U308" s="2"/>
      <c r="V308" s="2"/>
      <c r="W308" s="2"/>
      <c r="X308" s="2"/>
      <c r="Y308" s="2"/>
      <c r="Z308" s="2"/>
      <c r="AA308" s="2"/>
      <c r="AB308" s="2"/>
      <c r="AC308" s="2"/>
      <c r="AD308" s="2"/>
    </row>
    <row r="309" spans="10:30" x14ac:dyDescent="0.2">
      <c r="J309" s="2"/>
      <c r="K309" s="2"/>
      <c r="L309" s="2"/>
      <c r="M309" s="2"/>
      <c r="N309" s="2"/>
      <c r="O309" s="2"/>
      <c r="P309" s="2"/>
      <c r="Q309" s="2"/>
      <c r="R309" s="2"/>
      <c r="S309" s="2"/>
      <c r="T309" s="2"/>
      <c r="U309" s="2"/>
      <c r="V309" s="2"/>
      <c r="W309" s="2"/>
      <c r="X309" s="2"/>
      <c r="Y309" s="2"/>
      <c r="Z309" s="2"/>
      <c r="AA309" s="2"/>
      <c r="AB309" s="2"/>
      <c r="AC309" s="2"/>
      <c r="AD309" s="2"/>
    </row>
    <row r="310" spans="10:30" x14ac:dyDescent="0.2">
      <c r="J310" s="2"/>
      <c r="K310" s="2"/>
      <c r="L310" s="2"/>
      <c r="M310" s="2"/>
      <c r="N310" s="2"/>
      <c r="O310" s="2"/>
      <c r="P310" s="2"/>
      <c r="Q310" s="2"/>
      <c r="R310" s="2"/>
      <c r="S310" s="2"/>
      <c r="T310" s="2"/>
      <c r="U310" s="2"/>
      <c r="V310" s="2"/>
      <c r="W310" s="2"/>
      <c r="X310" s="2"/>
      <c r="Y310" s="2"/>
      <c r="Z310" s="2"/>
      <c r="AA310" s="2"/>
      <c r="AB310" s="2"/>
      <c r="AC310" s="2"/>
      <c r="AD310" s="2"/>
    </row>
    <row r="311" spans="10:30" x14ac:dyDescent="0.2">
      <c r="J311" s="2"/>
      <c r="K311" s="2"/>
      <c r="L311" s="2"/>
      <c r="M311" s="2"/>
      <c r="N311" s="2"/>
      <c r="O311" s="2"/>
      <c r="P311" s="2"/>
      <c r="Q311" s="2"/>
      <c r="R311" s="2"/>
      <c r="S311" s="2"/>
      <c r="T311" s="2"/>
      <c r="U311" s="2"/>
      <c r="V311" s="2"/>
      <c r="W311" s="2"/>
      <c r="X311" s="2"/>
      <c r="Y311" s="2"/>
      <c r="Z311" s="2"/>
      <c r="AA311" s="2"/>
      <c r="AB311" s="2"/>
      <c r="AC311" s="2"/>
      <c r="AD311" s="2"/>
    </row>
    <row r="312" spans="10:30" x14ac:dyDescent="0.2">
      <c r="J312" s="2"/>
      <c r="K312" s="2"/>
      <c r="L312" s="2"/>
      <c r="M312" s="2"/>
      <c r="N312" s="2"/>
      <c r="O312" s="2"/>
      <c r="P312" s="2"/>
      <c r="Q312" s="2"/>
      <c r="R312" s="2"/>
      <c r="S312" s="2"/>
      <c r="T312" s="2"/>
      <c r="U312" s="2"/>
      <c r="V312" s="2"/>
      <c r="W312" s="2"/>
      <c r="X312" s="2"/>
      <c r="Y312" s="2"/>
      <c r="Z312" s="2"/>
      <c r="AA312" s="2"/>
      <c r="AB312" s="2"/>
      <c r="AC312" s="2"/>
      <c r="AD312" s="2"/>
    </row>
    <row r="313" spans="10:30" x14ac:dyDescent="0.2">
      <c r="J313" s="2"/>
      <c r="K313" s="2"/>
      <c r="L313" s="2"/>
      <c r="M313" s="2"/>
      <c r="N313" s="2"/>
      <c r="O313" s="2"/>
      <c r="P313" s="2"/>
      <c r="Q313" s="2"/>
      <c r="R313" s="2"/>
      <c r="S313" s="2"/>
      <c r="T313" s="2"/>
      <c r="U313" s="2"/>
      <c r="V313" s="2"/>
      <c r="W313" s="2"/>
      <c r="X313" s="2"/>
      <c r="Y313" s="2"/>
      <c r="Z313" s="2"/>
      <c r="AA313" s="2"/>
      <c r="AB313" s="2"/>
      <c r="AC313" s="2"/>
      <c r="AD313" s="2"/>
    </row>
    <row r="314" spans="10:30" x14ac:dyDescent="0.2">
      <c r="J314" s="2"/>
      <c r="K314" s="2"/>
      <c r="L314" s="2"/>
      <c r="M314" s="2"/>
      <c r="N314" s="2"/>
      <c r="O314" s="2"/>
      <c r="P314" s="2"/>
      <c r="Q314" s="2"/>
      <c r="R314" s="2"/>
      <c r="S314" s="2"/>
      <c r="T314" s="2"/>
      <c r="U314" s="2"/>
      <c r="V314" s="2"/>
      <c r="W314" s="2"/>
      <c r="X314" s="2"/>
      <c r="Y314" s="2"/>
      <c r="Z314" s="2"/>
      <c r="AA314" s="2"/>
      <c r="AB314" s="2"/>
      <c r="AC314" s="2"/>
      <c r="AD314" s="2"/>
    </row>
    <row r="315" spans="10:30" x14ac:dyDescent="0.2">
      <c r="J315" s="2"/>
      <c r="K315" s="2"/>
      <c r="L315" s="2"/>
      <c r="M315" s="2"/>
      <c r="N315" s="2"/>
      <c r="O315" s="2"/>
      <c r="P315" s="2"/>
      <c r="Q315" s="2"/>
      <c r="R315" s="2"/>
      <c r="S315" s="2"/>
      <c r="T315" s="2"/>
      <c r="U315" s="2"/>
      <c r="V315" s="2"/>
      <c r="W315" s="2"/>
      <c r="X315" s="2"/>
      <c r="Y315" s="2"/>
      <c r="Z315" s="2"/>
      <c r="AA315" s="2"/>
      <c r="AB315" s="2"/>
      <c r="AC315" s="2"/>
      <c r="AD315" s="2"/>
    </row>
    <row r="316" spans="10:30" x14ac:dyDescent="0.2">
      <c r="J316" s="2"/>
      <c r="K316" s="2"/>
      <c r="L316" s="2"/>
      <c r="M316" s="2"/>
      <c r="N316" s="2"/>
      <c r="O316" s="2"/>
      <c r="P316" s="2"/>
      <c r="Q316" s="2"/>
      <c r="R316" s="2"/>
      <c r="S316" s="2"/>
      <c r="T316" s="2"/>
      <c r="U316" s="2"/>
      <c r="V316" s="2"/>
      <c r="W316" s="2"/>
      <c r="X316" s="2"/>
      <c r="Y316" s="2"/>
      <c r="Z316" s="2"/>
      <c r="AA316" s="2"/>
      <c r="AB316" s="2"/>
      <c r="AC316" s="2"/>
      <c r="AD316" s="2"/>
    </row>
    <row r="317" spans="10:30" x14ac:dyDescent="0.2">
      <c r="J317" s="2"/>
      <c r="K317" s="2"/>
      <c r="L317" s="2"/>
      <c r="M317" s="2"/>
      <c r="N317" s="2"/>
      <c r="O317" s="2"/>
      <c r="P317" s="2"/>
      <c r="Q317" s="2"/>
      <c r="R317" s="2"/>
      <c r="S317" s="2"/>
      <c r="T317" s="2"/>
      <c r="U317" s="2"/>
      <c r="V317" s="2"/>
      <c r="W317" s="2"/>
      <c r="X317" s="2"/>
      <c r="Y317" s="2"/>
      <c r="Z317" s="2"/>
      <c r="AA317" s="2"/>
      <c r="AB317" s="2"/>
      <c r="AC317" s="2"/>
      <c r="AD317" s="2"/>
    </row>
    <row r="318" spans="10:30" x14ac:dyDescent="0.2">
      <c r="J318" s="2"/>
      <c r="K318" s="2"/>
      <c r="L318" s="2"/>
      <c r="M318" s="2"/>
      <c r="N318" s="2"/>
      <c r="O318" s="2"/>
      <c r="P318" s="2"/>
      <c r="Q318" s="2"/>
      <c r="R318" s="2"/>
      <c r="S318" s="2"/>
      <c r="T318" s="2"/>
      <c r="U318" s="2"/>
      <c r="V318" s="2"/>
      <c r="W318" s="2"/>
      <c r="X318" s="2"/>
      <c r="Y318" s="2"/>
      <c r="Z318" s="2"/>
      <c r="AA318" s="2"/>
      <c r="AB318" s="2"/>
      <c r="AC318" s="2"/>
      <c r="AD318" s="2"/>
    </row>
    <row r="319" spans="10:30" x14ac:dyDescent="0.2">
      <c r="J319" s="2"/>
      <c r="K319" s="2"/>
      <c r="L319" s="2"/>
      <c r="M319" s="2"/>
      <c r="N319" s="2"/>
      <c r="O319" s="2"/>
      <c r="P319" s="2"/>
      <c r="Q319" s="2"/>
      <c r="R319" s="2"/>
      <c r="S319" s="2"/>
      <c r="T319" s="2"/>
      <c r="U319" s="2"/>
      <c r="V319" s="2"/>
      <c r="W319" s="2"/>
      <c r="X319" s="2"/>
      <c r="Y319" s="2"/>
      <c r="Z319" s="2"/>
      <c r="AA319" s="2"/>
      <c r="AB319" s="2"/>
      <c r="AC319" s="2"/>
      <c r="AD319" s="2"/>
    </row>
    <row r="320" spans="10:30" x14ac:dyDescent="0.2">
      <c r="J320" s="2"/>
      <c r="K320" s="2"/>
      <c r="L320" s="2"/>
      <c r="M320" s="2"/>
      <c r="N320" s="2"/>
      <c r="O320" s="2"/>
      <c r="P320" s="2"/>
      <c r="Q320" s="2"/>
      <c r="R320" s="2"/>
      <c r="S320" s="2"/>
      <c r="T320" s="2"/>
      <c r="U320" s="2"/>
      <c r="V320" s="2"/>
      <c r="W320" s="2"/>
      <c r="X320" s="2"/>
      <c r="Y320" s="2"/>
      <c r="Z320" s="2"/>
      <c r="AA320" s="2"/>
      <c r="AB320" s="2"/>
      <c r="AC320" s="2"/>
      <c r="AD320" s="2"/>
    </row>
    <row r="321" spans="10:30" x14ac:dyDescent="0.2">
      <c r="J321" s="2"/>
      <c r="K321" s="2"/>
      <c r="L321" s="2"/>
      <c r="M321" s="2"/>
      <c r="N321" s="2"/>
      <c r="O321" s="2"/>
      <c r="P321" s="2"/>
      <c r="Q321" s="2"/>
      <c r="R321" s="2"/>
      <c r="S321" s="2"/>
      <c r="T321" s="2"/>
      <c r="U321" s="2"/>
      <c r="V321" s="2"/>
      <c r="W321" s="2"/>
      <c r="X321" s="2"/>
      <c r="Y321" s="2"/>
      <c r="Z321" s="2"/>
      <c r="AA321" s="2"/>
      <c r="AB321" s="2"/>
      <c r="AC321" s="2"/>
      <c r="AD321" s="2"/>
    </row>
    <row r="322" spans="10:30" x14ac:dyDescent="0.2">
      <c r="J322" s="2"/>
      <c r="K322" s="2"/>
      <c r="L322" s="2"/>
      <c r="M322" s="2"/>
      <c r="N322" s="2"/>
      <c r="O322" s="2"/>
      <c r="P322" s="2"/>
      <c r="Q322" s="2"/>
      <c r="R322" s="2"/>
      <c r="S322" s="2"/>
      <c r="T322" s="2"/>
      <c r="U322" s="2"/>
      <c r="V322" s="2"/>
      <c r="W322" s="2"/>
      <c r="X322" s="2"/>
      <c r="Y322" s="2"/>
      <c r="Z322" s="2"/>
      <c r="AA322" s="2"/>
      <c r="AB322" s="2"/>
      <c r="AC322" s="2"/>
      <c r="AD322" s="2"/>
    </row>
    <row r="323" spans="10:30" x14ac:dyDescent="0.2">
      <c r="J323" s="2"/>
      <c r="K323" s="2"/>
      <c r="L323" s="2"/>
      <c r="M323" s="2"/>
      <c r="N323" s="2"/>
      <c r="O323" s="2"/>
      <c r="P323" s="2"/>
      <c r="Q323" s="2"/>
      <c r="R323" s="2"/>
      <c r="S323" s="2"/>
      <c r="T323" s="2"/>
      <c r="U323" s="2"/>
      <c r="V323" s="2"/>
      <c r="W323" s="2"/>
      <c r="X323" s="2"/>
      <c r="Y323" s="2"/>
      <c r="Z323" s="2"/>
      <c r="AA323" s="2"/>
      <c r="AB323" s="2"/>
      <c r="AC323" s="2"/>
      <c r="AD323" s="2"/>
    </row>
    <row r="324" spans="10:30" x14ac:dyDescent="0.2">
      <c r="J324" s="2"/>
      <c r="K324" s="2"/>
      <c r="L324" s="2"/>
      <c r="M324" s="2"/>
      <c r="N324" s="2"/>
      <c r="O324" s="2"/>
      <c r="P324" s="2"/>
      <c r="Q324" s="2"/>
      <c r="R324" s="2"/>
      <c r="S324" s="2"/>
      <c r="T324" s="2"/>
      <c r="U324" s="2"/>
      <c r="V324" s="2"/>
      <c r="W324" s="2"/>
      <c r="X324" s="2"/>
      <c r="Y324" s="2"/>
      <c r="Z324" s="2"/>
      <c r="AA324" s="2"/>
      <c r="AB324" s="2"/>
      <c r="AC324" s="2"/>
      <c r="AD324" s="2"/>
    </row>
    <row r="325" spans="10:30" x14ac:dyDescent="0.2">
      <c r="J325" s="2"/>
      <c r="K325" s="2"/>
      <c r="L325" s="2"/>
      <c r="M325" s="2"/>
      <c r="N325" s="2"/>
      <c r="O325" s="2"/>
      <c r="P325" s="2"/>
      <c r="Q325" s="2"/>
      <c r="R325" s="2"/>
      <c r="S325" s="2"/>
      <c r="T325" s="2"/>
      <c r="U325" s="2"/>
      <c r="V325" s="2"/>
      <c r="W325" s="2"/>
      <c r="X325" s="2"/>
      <c r="Y325" s="2"/>
      <c r="Z325" s="2"/>
      <c r="AA325" s="2"/>
      <c r="AB325" s="2"/>
      <c r="AC325" s="2"/>
      <c r="AD325" s="2"/>
    </row>
    <row r="326" spans="10:30" x14ac:dyDescent="0.2">
      <c r="J326" s="2"/>
      <c r="K326" s="2"/>
      <c r="L326" s="2"/>
      <c r="M326" s="2"/>
      <c r="N326" s="2"/>
      <c r="O326" s="2"/>
      <c r="P326" s="2"/>
      <c r="Q326" s="2"/>
      <c r="R326" s="2"/>
      <c r="S326" s="2"/>
      <c r="T326" s="2"/>
      <c r="U326" s="2"/>
      <c r="V326" s="2"/>
      <c r="W326" s="2"/>
      <c r="X326" s="2"/>
      <c r="Y326" s="2"/>
      <c r="Z326" s="2"/>
      <c r="AA326" s="2"/>
      <c r="AB326" s="2"/>
      <c r="AC326" s="2"/>
      <c r="AD326" s="2"/>
    </row>
    <row r="327" spans="10:30" x14ac:dyDescent="0.2">
      <c r="J327" s="2"/>
      <c r="K327" s="2"/>
      <c r="L327" s="2"/>
      <c r="M327" s="2"/>
      <c r="N327" s="2"/>
      <c r="O327" s="2"/>
      <c r="P327" s="2"/>
      <c r="Q327" s="2"/>
      <c r="R327" s="2"/>
      <c r="S327" s="2"/>
      <c r="T327" s="2"/>
      <c r="U327" s="2"/>
      <c r="V327" s="2"/>
      <c r="W327" s="2"/>
      <c r="X327" s="2"/>
      <c r="Y327" s="2"/>
      <c r="Z327" s="2"/>
      <c r="AA327" s="2"/>
      <c r="AB327" s="2"/>
      <c r="AC327" s="2"/>
      <c r="AD327" s="2"/>
    </row>
    <row r="328" spans="10:30" x14ac:dyDescent="0.2">
      <c r="J328" s="2"/>
      <c r="K328" s="2"/>
      <c r="L328" s="2"/>
      <c r="M328" s="2"/>
      <c r="N328" s="2"/>
      <c r="O328" s="2"/>
      <c r="P328" s="2"/>
      <c r="Q328" s="2"/>
      <c r="R328" s="2"/>
      <c r="S328" s="2"/>
      <c r="T328" s="2"/>
      <c r="U328" s="2"/>
      <c r="V328" s="2"/>
      <c r="W328" s="2"/>
      <c r="X328" s="2"/>
      <c r="Y328" s="2"/>
      <c r="Z328" s="2"/>
      <c r="AA328" s="2"/>
      <c r="AB328" s="2"/>
      <c r="AC328" s="2"/>
      <c r="AD328" s="2"/>
    </row>
    <row r="329" spans="10:30" x14ac:dyDescent="0.2">
      <c r="J329" s="2"/>
      <c r="K329" s="2"/>
      <c r="L329" s="2"/>
      <c r="M329" s="2"/>
      <c r="N329" s="2"/>
      <c r="O329" s="2"/>
      <c r="P329" s="2"/>
      <c r="Q329" s="2"/>
      <c r="R329" s="2"/>
      <c r="S329" s="2"/>
      <c r="T329" s="2"/>
      <c r="U329" s="2"/>
      <c r="V329" s="2"/>
      <c r="W329" s="2"/>
      <c r="X329" s="2"/>
      <c r="Y329" s="2"/>
      <c r="Z329" s="2"/>
      <c r="AA329" s="2"/>
      <c r="AB329" s="2"/>
      <c r="AC329" s="2"/>
      <c r="AD329" s="2"/>
    </row>
    <row r="330" spans="10:30" x14ac:dyDescent="0.2">
      <c r="J330" s="2"/>
      <c r="K330" s="2"/>
      <c r="L330" s="2"/>
      <c r="M330" s="2"/>
      <c r="N330" s="2"/>
      <c r="O330" s="2"/>
      <c r="P330" s="2"/>
      <c r="Q330" s="2"/>
      <c r="R330" s="2"/>
      <c r="S330" s="2"/>
      <c r="T330" s="2"/>
      <c r="U330" s="2"/>
      <c r="V330" s="2"/>
      <c r="W330" s="2"/>
      <c r="X330" s="2"/>
      <c r="Y330" s="2"/>
      <c r="Z330" s="2"/>
      <c r="AA330" s="2"/>
      <c r="AB330" s="2"/>
      <c r="AC330" s="2"/>
      <c r="AD330" s="2"/>
    </row>
    <row r="331" spans="10:30" x14ac:dyDescent="0.2">
      <c r="J331" s="2"/>
      <c r="K331" s="2"/>
      <c r="L331" s="2"/>
      <c r="M331" s="2"/>
      <c r="N331" s="2"/>
      <c r="O331" s="2"/>
      <c r="P331" s="2"/>
      <c r="Q331" s="2"/>
      <c r="R331" s="2"/>
      <c r="S331" s="2"/>
      <c r="T331" s="2"/>
      <c r="U331" s="2"/>
      <c r="V331" s="2"/>
      <c r="W331" s="2"/>
      <c r="X331" s="2"/>
      <c r="Y331" s="2"/>
      <c r="Z331" s="2"/>
      <c r="AA331" s="2"/>
      <c r="AB331" s="2"/>
      <c r="AC331" s="2"/>
      <c r="AD331" s="2"/>
    </row>
    <row r="332" spans="10:30" x14ac:dyDescent="0.2">
      <c r="J332" s="2"/>
      <c r="K332" s="2"/>
      <c r="L332" s="2"/>
      <c r="M332" s="2"/>
      <c r="N332" s="2"/>
      <c r="O332" s="2"/>
      <c r="P332" s="2"/>
      <c r="Q332" s="2"/>
      <c r="R332" s="2"/>
      <c r="S332" s="2"/>
      <c r="T332" s="2"/>
      <c r="U332" s="2"/>
      <c r="V332" s="2"/>
      <c r="W332" s="2"/>
      <c r="X332" s="2"/>
      <c r="Y332" s="2"/>
      <c r="Z332" s="2"/>
      <c r="AA332" s="2"/>
      <c r="AB332" s="2"/>
      <c r="AC332" s="2"/>
      <c r="AD332" s="2"/>
    </row>
    <row r="333" spans="10:30" x14ac:dyDescent="0.2">
      <c r="J333" s="2"/>
      <c r="K333" s="2"/>
      <c r="L333" s="2"/>
      <c r="M333" s="2"/>
      <c r="N333" s="2"/>
      <c r="O333" s="2"/>
      <c r="P333" s="2"/>
      <c r="Q333" s="2"/>
      <c r="R333" s="2"/>
      <c r="S333" s="2"/>
      <c r="T333" s="2"/>
      <c r="U333" s="2"/>
      <c r="V333" s="2"/>
      <c r="W333" s="2"/>
      <c r="X333" s="2"/>
      <c r="Y333" s="2"/>
      <c r="Z333" s="2"/>
      <c r="AA333" s="2"/>
      <c r="AB333" s="2"/>
      <c r="AC333" s="2"/>
      <c r="AD333" s="2"/>
    </row>
    <row r="334" spans="10:30" x14ac:dyDescent="0.2">
      <c r="J334" s="2"/>
      <c r="K334" s="2"/>
      <c r="L334" s="2"/>
      <c r="M334" s="2"/>
      <c r="N334" s="2"/>
      <c r="O334" s="2"/>
      <c r="P334" s="2"/>
      <c r="Q334" s="2"/>
      <c r="R334" s="2"/>
      <c r="S334" s="2"/>
      <c r="T334" s="2"/>
      <c r="U334" s="2"/>
      <c r="V334" s="2"/>
      <c r="W334" s="2"/>
      <c r="X334" s="2"/>
      <c r="Y334" s="2"/>
      <c r="Z334" s="2"/>
      <c r="AA334" s="2"/>
      <c r="AB334" s="2"/>
      <c r="AC334" s="2"/>
      <c r="AD334" s="2"/>
    </row>
    <row r="335" spans="10:30" x14ac:dyDescent="0.2">
      <c r="J335" s="2"/>
      <c r="K335" s="2"/>
      <c r="L335" s="2"/>
      <c r="M335" s="2"/>
      <c r="N335" s="2"/>
      <c r="O335" s="2"/>
      <c r="P335" s="2"/>
      <c r="Q335" s="2"/>
      <c r="R335" s="2"/>
      <c r="S335" s="2"/>
      <c r="T335" s="2"/>
      <c r="U335" s="2"/>
      <c r="V335" s="2"/>
      <c r="W335" s="2"/>
      <c r="X335" s="2"/>
      <c r="Y335" s="2"/>
      <c r="Z335" s="2"/>
      <c r="AA335" s="2"/>
      <c r="AB335" s="2"/>
      <c r="AC335" s="2"/>
      <c r="AD335" s="2"/>
    </row>
    <row r="336" spans="10:30" x14ac:dyDescent="0.2">
      <c r="J336" s="2"/>
      <c r="K336" s="2"/>
      <c r="L336" s="2"/>
      <c r="M336" s="2"/>
      <c r="N336" s="2"/>
      <c r="O336" s="2"/>
      <c r="P336" s="2"/>
      <c r="Q336" s="2"/>
      <c r="R336" s="2"/>
      <c r="S336" s="2"/>
      <c r="T336" s="2"/>
      <c r="U336" s="2"/>
      <c r="V336" s="2"/>
      <c r="W336" s="2"/>
      <c r="X336" s="2"/>
      <c r="Y336" s="2"/>
      <c r="Z336" s="2"/>
      <c r="AA336" s="2"/>
      <c r="AB336" s="2"/>
      <c r="AC336" s="2"/>
      <c r="AD336" s="2"/>
    </row>
    <row r="337" spans="10:30" x14ac:dyDescent="0.2">
      <c r="J337" s="2"/>
      <c r="K337" s="2"/>
      <c r="L337" s="2"/>
      <c r="M337" s="2"/>
      <c r="N337" s="2"/>
      <c r="O337" s="2"/>
      <c r="P337" s="2"/>
      <c r="Q337" s="2"/>
      <c r="R337" s="2"/>
      <c r="S337" s="2"/>
      <c r="T337" s="2"/>
      <c r="U337" s="2"/>
      <c r="V337" s="2"/>
      <c r="W337" s="2"/>
      <c r="X337" s="2"/>
      <c r="Y337" s="2"/>
      <c r="Z337" s="2"/>
      <c r="AA337" s="2"/>
      <c r="AB337" s="2"/>
      <c r="AC337" s="2"/>
      <c r="AD337" s="2"/>
    </row>
    <row r="338" spans="10:30" x14ac:dyDescent="0.2">
      <c r="J338" s="2"/>
      <c r="K338" s="2"/>
      <c r="L338" s="2"/>
      <c r="M338" s="2"/>
      <c r="N338" s="2"/>
      <c r="O338" s="2"/>
      <c r="P338" s="2"/>
      <c r="Q338" s="2"/>
      <c r="R338" s="2"/>
      <c r="S338" s="2"/>
      <c r="T338" s="2"/>
      <c r="U338" s="2"/>
      <c r="V338" s="2"/>
      <c r="W338" s="2"/>
      <c r="X338" s="2"/>
      <c r="Y338" s="2"/>
      <c r="Z338" s="2"/>
      <c r="AA338" s="2"/>
      <c r="AB338" s="2"/>
      <c r="AC338" s="2"/>
      <c r="AD338" s="2"/>
    </row>
    <row r="339" spans="10:30" x14ac:dyDescent="0.2">
      <c r="J339" s="2"/>
      <c r="K339" s="2"/>
      <c r="L339" s="2"/>
      <c r="M339" s="2"/>
      <c r="N339" s="2"/>
      <c r="O339" s="2"/>
      <c r="P339" s="2"/>
      <c r="Q339" s="2"/>
      <c r="R339" s="2"/>
      <c r="S339" s="2"/>
      <c r="T339" s="2"/>
      <c r="U339" s="2"/>
      <c r="V339" s="2"/>
      <c r="W339" s="2"/>
      <c r="X339" s="2"/>
      <c r="Y339" s="2"/>
      <c r="Z339" s="2"/>
      <c r="AA339" s="2"/>
      <c r="AB339" s="2"/>
      <c r="AC339" s="2"/>
      <c r="AD339" s="2"/>
    </row>
    <row r="340" spans="10:30" x14ac:dyDescent="0.2">
      <c r="J340" s="2"/>
      <c r="K340" s="2"/>
      <c r="L340" s="2"/>
      <c r="M340" s="2"/>
      <c r="N340" s="2"/>
      <c r="O340" s="2"/>
      <c r="P340" s="2"/>
      <c r="Q340" s="2"/>
      <c r="R340" s="2"/>
      <c r="S340" s="2"/>
      <c r="T340" s="2"/>
      <c r="U340" s="2"/>
      <c r="V340" s="2"/>
      <c r="W340" s="2"/>
      <c r="X340" s="2"/>
      <c r="Y340" s="2"/>
      <c r="Z340" s="2"/>
      <c r="AA340" s="2"/>
      <c r="AB340" s="2"/>
      <c r="AC340" s="2"/>
      <c r="AD340" s="2"/>
    </row>
    <row r="341" spans="10:30" x14ac:dyDescent="0.2">
      <c r="J341" s="2"/>
      <c r="K341" s="2"/>
      <c r="L341" s="2"/>
      <c r="M341" s="2"/>
      <c r="N341" s="2"/>
      <c r="O341" s="2"/>
      <c r="P341" s="2"/>
      <c r="Q341" s="2"/>
      <c r="R341" s="2"/>
      <c r="S341" s="2"/>
      <c r="T341" s="2"/>
      <c r="U341" s="2"/>
      <c r="V341" s="2"/>
      <c r="W341" s="2"/>
      <c r="X341" s="2"/>
      <c r="Y341" s="2"/>
      <c r="Z341" s="2"/>
      <c r="AA341" s="2"/>
      <c r="AB341" s="2"/>
      <c r="AC341" s="2"/>
      <c r="AD341" s="2"/>
    </row>
    <row r="342" spans="10:30" x14ac:dyDescent="0.2">
      <c r="J342" s="2"/>
      <c r="K342" s="2"/>
      <c r="L342" s="2"/>
      <c r="M342" s="2"/>
      <c r="N342" s="2"/>
      <c r="O342" s="2"/>
      <c r="P342" s="2"/>
      <c r="Q342" s="2"/>
      <c r="R342" s="2"/>
      <c r="S342" s="2"/>
      <c r="T342" s="2"/>
      <c r="U342" s="2"/>
      <c r="V342" s="2"/>
      <c r="W342" s="2"/>
      <c r="X342" s="2"/>
      <c r="Y342" s="2"/>
      <c r="Z342" s="2"/>
      <c r="AA342" s="2"/>
      <c r="AB342" s="2"/>
      <c r="AC342" s="2"/>
      <c r="AD342" s="2"/>
    </row>
    <row r="343" spans="10:30" x14ac:dyDescent="0.2">
      <c r="J343" s="2"/>
      <c r="K343" s="2"/>
      <c r="L343" s="2"/>
      <c r="M343" s="2"/>
      <c r="N343" s="2"/>
      <c r="O343" s="2"/>
      <c r="P343" s="2"/>
      <c r="Q343" s="2"/>
      <c r="R343" s="2"/>
      <c r="S343" s="2"/>
      <c r="T343" s="2"/>
      <c r="U343" s="2"/>
      <c r="V343" s="2"/>
      <c r="W343" s="2"/>
      <c r="X343" s="2"/>
      <c r="Y343" s="2"/>
      <c r="Z343" s="2"/>
      <c r="AA343" s="2"/>
      <c r="AB343" s="2"/>
      <c r="AC343" s="2"/>
      <c r="AD343" s="2"/>
    </row>
    <row r="344" spans="10:30" x14ac:dyDescent="0.2">
      <c r="J344" s="2"/>
      <c r="K344" s="2"/>
      <c r="L344" s="2"/>
      <c r="M344" s="2"/>
      <c r="N344" s="2"/>
      <c r="O344" s="2"/>
      <c r="P344" s="2"/>
      <c r="Q344" s="2"/>
      <c r="R344" s="2"/>
      <c r="S344" s="2"/>
      <c r="T344" s="2"/>
      <c r="U344" s="2"/>
      <c r="V344" s="2"/>
      <c r="W344" s="2"/>
      <c r="X344" s="2"/>
      <c r="Y344" s="2"/>
      <c r="Z344" s="2"/>
      <c r="AA344" s="2"/>
      <c r="AB344" s="2"/>
      <c r="AC344" s="2"/>
      <c r="AD344" s="2"/>
    </row>
    <row r="345" spans="10:30" x14ac:dyDescent="0.2">
      <c r="J345" s="2"/>
      <c r="K345" s="2"/>
      <c r="L345" s="2"/>
      <c r="M345" s="2"/>
      <c r="N345" s="2"/>
      <c r="O345" s="2"/>
      <c r="P345" s="2"/>
      <c r="Q345" s="2"/>
      <c r="R345" s="2"/>
      <c r="S345" s="2"/>
      <c r="T345" s="2"/>
      <c r="U345" s="2"/>
      <c r="V345" s="2"/>
      <c r="W345" s="2"/>
      <c r="X345" s="2"/>
      <c r="Y345" s="2"/>
      <c r="Z345" s="2"/>
      <c r="AA345" s="2"/>
      <c r="AB345" s="2"/>
      <c r="AC345" s="2"/>
      <c r="AD345" s="2"/>
    </row>
    <row r="346" spans="10:30" x14ac:dyDescent="0.2">
      <c r="J346" s="2"/>
      <c r="K346" s="2"/>
      <c r="L346" s="2"/>
      <c r="M346" s="2"/>
      <c r="N346" s="2"/>
      <c r="O346" s="2"/>
      <c r="P346" s="2"/>
      <c r="Q346" s="2"/>
      <c r="R346" s="2"/>
      <c r="S346" s="2"/>
      <c r="T346" s="2"/>
      <c r="U346" s="2"/>
      <c r="V346" s="2"/>
      <c r="W346" s="2"/>
      <c r="X346" s="2"/>
      <c r="Y346" s="2"/>
      <c r="Z346" s="2"/>
      <c r="AA346" s="2"/>
      <c r="AB346" s="2"/>
      <c r="AC346" s="2"/>
      <c r="AD346" s="2"/>
    </row>
    <row r="347" spans="10:30" x14ac:dyDescent="0.2">
      <c r="J347" s="2"/>
      <c r="K347" s="2"/>
      <c r="L347" s="2"/>
      <c r="M347" s="2"/>
      <c r="N347" s="2"/>
      <c r="O347" s="2"/>
      <c r="P347" s="2"/>
      <c r="Q347" s="2"/>
      <c r="R347" s="2"/>
      <c r="S347" s="2"/>
      <c r="T347" s="2"/>
      <c r="U347" s="2"/>
      <c r="V347" s="2"/>
      <c r="W347" s="2"/>
      <c r="X347" s="2"/>
      <c r="Y347" s="2"/>
      <c r="Z347" s="2"/>
      <c r="AA347" s="2"/>
      <c r="AB347" s="2"/>
      <c r="AC347" s="2"/>
      <c r="AD347" s="2"/>
    </row>
    <row r="348" spans="10:30" x14ac:dyDescent="0.2">
      <c r="J348" s="2"/>
      <c r="K348" s="2"/>
      <c r="L348" s="2"/>
      <c r="M348" s="2"/>
      <c r="N348" s="2"/>
      <c r="O348" s="2"/>
      <c r="P348" s="2"/>
      <c r="Q348" s="2"/>
      <c r="R348" s="2"/>
      <c r="S348" s="2"/>
      <c r="T348" s="2"/>
      <c r="U348" s="2"/>
      <c r="V348" s="2"/>
      <c r="W348" s="2"/>
      <c r="X348" s="2"/>
      <c r="Y348" s="2"/>
      <c r="Z348" s="2"/>
      <c r="AA348" s="2"/>
      <c r="AB348" s="2"/>
      <c r="AC348" s="2"/>
      <c r="AD348" s="2"/>
    </row>
    <row r="349" spans="10:30" x14ac:dyDescent="0.2">
      <c r="J349" s="2"/>
      <c r="K349" s="2"/>
      <c r="L349" s="2"/>
      <c r="M349" s="2"/>
      <c r="N349" s="2"/>
      <c r="O349" s="2"/>
      <c r="P349" s="2"/>
      <c r="Q349" s="2"/>
      <c r="R349" s="2"/>
      <c r="S349" s="2"/>
      <c r="T349" s="2"/>
      <c r="U349" s="2"/>
      <c r="V349" s="2"/>
      <c r="W349" s="2"/>
      <c r="X349" s="2"/>
      <c r="Y349" s="2"/>
      <c r="Z349" s="2"/>
      <c r="AA349" s="2"/>
      <c r="AB349" s="2"/>
      <c r="AC349" s="2"/>
      <c r="AD349" s="2"/>
    </row>
    <row r="350" spans="10:30" x14ac:dyDescent="0.2">
      <c r="J350" s="2"/>
      <c r="K350" s="2"/>
      <c r="L350" s="2"/>
      <c r="M350" s="2"/>
      <c r="N350" s="2"/>
      <c r="O350" s="2"/>
      <c r="P350" s="2"/>
      <c r="Q350" s="2"/>
      <c r="R350" s="2"/>
      <c r="S350" s="2"/>
      <c r="T350" s="2"/>
      <c r="U350" s="2"/>
      <c r="V350" s="2"/>
      <c r="W350" s="2"/>
      <c r="X350" s="2"/>
      <c r="Y350" s="2"/>
      <c r="Z350" s="2"/>
      <c r="AA350" s="2"/>
      <c r="AB350" s="2"/>
      <c r="AC350" s="2"/>
      <c r="AD350" s="2"/>
    </row>
    <row r="351" spans="10:30" x14ac:dyDescent="0.2">
      <c r="J351" s="2"/>
      <c r="K351" s="2"/>
      <c r="L351" s="2"/>
      <c r="M351" s="2"/>
      <c r="N351" s="2"/>
      <c r="O351" s="2"/>
      <c r="P351" s="2"/>
      <c r="Q351" s="2"/>
      <c r="R351" s="2"/>
      <c r="S351" s="2"/>
      <c r="T351" s="2"/>
      <c r="U351" s="2"/>
      <c r="V351" s="2"/>
      <c r="W351" s="2"/>
      <c r="X351" s="2"/>
      <c r="Y351" s="2"/>
      <c r="Z351" s="2"/>
      <c r="AA351" s="2"/>
      <c r="AB351" s="2"/>
      <c r="AC351" s="2"/>
      <c r="AD351" s="2"/>
    </row>
    <row r="352" spans="10:30" x14ac:dyDescent="0.2">
      <c r="J352" s="2"/>
      <c r="K352" s="2"/>
      <c r="L352" s="2"/>
      <c r="M352" s="2"/>
      <c r="N352" s="2"/>
      <c r="O352" s="2"/>
      <c r="P352" s="2"/>
      <c r="Q352" s="2"/>
      <c r="R352" s="2"/>
      <c r="S352" s="2"/>
      <c r="T352" s="2"/>
      <c r="U352" s="2"/>
      <c r="V352" s="2"/>
      <c r="W352" s="2"/>
      <c r="X352" s="2"/>
      <c r="Y352" s="2"/>
      <c r="Z352" s="2"/>
      <c r="AA352" s="2"/>
      <c r="AB352" s="2"/>
      <c r="AC352" s="2"/>
      <c r="AD352" s="2"/>
    </row>
    <row r="353" spans="10:30" x14ac:dyDescent="0.2">
      <c r="J353" s="2"/>
      <c r="K353" s="2"/>
      <c r="L353" s="2"/>
      <c r="M353" s="2"/>
      <c r="N353" s="2"/>
      <c r="O353" s="2"/>
      <c r="P353" s="2"/>
      <c r="Q353" s="2"/>
      <c r="R353" s="2"/>
      <c r="S353" s="2"/>
      <c r="T353" s="2"/>
      <c r="U353" s="2"/>
      <c r="V353" s="2"/>
      <c r="W353" s="2"/>
      <c r="X353" s="2"/>
      <c r="Y353" s="2"/>
      <c r="Z353" s="2"/>
      <c r="AA353" s="2"/>
      <c r="AB353" s="2"/>
      <c r="AC353" s="2"/>
      <c r="AD353" s="2"/>
    </row>
    <row r="354" spans="10:30" x14ac:dyDescent="0.2">
      <c r="J354" s="2"/>
      <c r="K354" s="2"/>
      <c r="L354" s="2"/>
      <c r="M354" s="2"/>
      <c r="N354" s="2"/>
      <c r="O354" s="2"/>
      <c r="P354" s="2"/>
      <c r="Q354" s="2"/>
      <c r="R354" s="2"/>
      <c r="S354" s="2"/>
      <c r="T354" s="2"/>
      <c r="U354" s="2"/>
      <c r="V354" s="2"/>
      <c r="W354" s="2"/>
      <c r="X354" s="2"/>
      <c r="Y354" s="2"/>
      <c r="Z354" s="2"/>
      <c r="AA354" s="2"/>
      <c r="AB354" s="2"/>
      <c r="AC354" s="2"/>
      <c r="AD354" s="2"/>
    </row>
    <row r="355" spans="10:30" x14ac:dyDescent="0.2">
      <c r="J355" s="2"/>
      <c r="K355" s="2"/>
      <c r="L355" s="2"/>
      <c r="M355" s="2"/>
      <c r="N355" s="2"/>
      <c r="O355" s="2"/>
      <c r="P355" s="2"/>
      <c r="Q355" s="2"/>
      <c r="R355" s="2"/>
      <c r="S355" s="2"/>
      <c r="T355" s="2"/>
      <c r="U355" s="2"/>
      <c r="V355" s="2"/>
      <c r="W355" s="2"/>
      <c r="X355" s="2"/>
      <c r="Y355" s="2"/>
      <c r="Z355" s="2"/>
      <c r="AA355" s="2"/>
      <c r="AB355" s="2"/>
      <c r="AC355" s="2"/>
      <c r="AD355" s="2"/>
    </row>
    <row r="356" spans="10:30" x14ac:dyDescent="0.2">
      <c r="J356" s="2"/>
      <c r="K356" s="2"/>
      <c r="L356" s="2"/>
      <c r="M356" s="2"/>
      <c r="N356" s="2"/>
      <c r="O356" s="2"/>
      <c r="P356" s="2"/>
      <c r="Q356" s="2"/>
      <c r="R356" s="2"/>
      <c r="S356" s="2"/>
      <c r="T356" s="2"/>
      <c r="U356" s="2"/>
      <c r="V356" s="2"/>
      <c r="W356" s="2"/>
      <c r="X356" s="2"/>
      <c r="Y356" s="2"/>
      <c r="Z356" s="2"/>
      <c r="AA356" s="2"/>
      <c r="AB356" s="2"/>
      <c r="AC356" s="2"/>
      <c r="AD356" s="2"/>
    </row>
    <row r="357" spans="10:30" x14ac:dyDescent="0.2">
      <c r="J357" s="2"/>
      <c r="K357" s="2"/>
      <c r="L357" s="2"/>
      <c r="M357" s="2"/>
      <c r="N357" s="2"/>
      <c r="O357" s="2"/>
      <c r="P357" s="2"/>
      <c r="Q357" s="2"/>
      <c r="R357" s="2"/>
      <c r="S357" s="2"/>
      <c r="T357" s="2"/>
      <c r="U357" s="2"/>
      <c r="V357" s="2"/>
      <c r="W357" s="2"/>
      <c r="X357" s="2"/>
      <c r="Y357" s="2"/>
      <c r="Z357" s="2"/>
      <c r="AA357" s="2"/>
      <c r="AB357" s="2"/>
      <c r="AC357" s="2"/>
      <c r="AD357" s="2"/>
    </row>
    <row r="358" spans="10:30" x14ac:dyDescent="0.2">
      <c r="J358" s="2"/>
      <c r="K358" s="2"/>
      <c r="L358" s="2"/>
      <c r="M358" s="2"/>
      <c r="N358" s="2"/>
      <c r="O358" s="2"/>
      <c r="P358" s="2"/>
      <c r="Q358" s="2"/>
      <c r="R358" s="2"/>
      <c r="S358" s="2"/>
      <c r="T358" s="2"/>
      <c r="U358" s="2"/>
      <c r="V358" s="2"/>
      <c r="W358" s="2"/>
      <c r="X358" s="2"/>
      <c r="Y358" s="2"/>
      <c r="Z358" s="2"/>
      <c r="AA358" s="2"/>
      <c r="AB358" s="2"/>
      <c r="AC358" s="2"/>
      <c r="AD358" s="2"/>
    </row>
    <row r="359" spans="10:30" x14ac:dyDescent="0.2">
      <c r="J359" s="2"/>
      <c r="K359" s="2"/>
      <c r="L359" s="2"/>
      <c r="M359" s="2"/>
      <c r="N359" s="2"/>
      <c r="O359" s="2"/>
      <c r="P359" s="2"/>
      <c r="Q359" s="2"/>
      <c r="R359" s="2"/>
      <c r="S359" s="2"/>
      <c r="T359" s="2"/>
      <c r="U359" s="2"/>
      <c r="V359" s="2"/>
      <c r="W359" s="2"/>
      <c r="X359" s="2"/>
      <c r="Y359" s="2"/>
      <c r="Z359" s="2"/>
      <c r="AA359" s="2"/>
      <c r="AB359" s="2"/>
      <c r="AC359" s="2"/>
      <c r="AD359" s="2"/>
    </row>
    <row r="360" spans="10:30" x14ac:dyDescent="0.2">
      <c r="J360" s="2"/>
      <c r="K360" s="2"/>
      <c r="L360" s="2"/>
      <c r="M360" s="2"/>
      <c r="N360" s="2"/>
      <c r="O360" s="2"/>
      <c r="P360" s="2"/>
      <c r="Q360" s="2"/>
      <c r="R360" s="2"/>
      <c r="S360" s="2"/>
      <c r="T360" s="2"/>
      <c r="U360" s="2"/>
      <c r="V360" s="2"/>
      <c r="W360" s="2"/>
      <c r="X360" s="2"/>
      <c r="Y360" s="2"/>
      <c r="Z360" s="2"/>
      <c r="AA360" s="2"/>
      <c r="AB360" s="2"/>
      <c r="AC360" s="2"/>
      <c r="AD360" s="2"/>
    </row>
    <row r="361" spans="10:30" x14ac:dyDescent="0.2">
      <c r="J361" s="2"/>
      <c r="K361" s="2"/>
      <c r="L361" s="2"/>
      <c r="M361" s="2"/>
      <c r="N361" s="2"/>
      <c r="O361" s="2"/>
      <c r="P361" s="2"/>
      <c r="Q361" s="2"/>
      <c r="R361" s="2"/>
      <c r="S361" s="2"/>
      <c r="T361" s="2"/>
      <c r="U361" s="2"/>
      <c r="V361" s="2"/>
      <c r="W361" s="2"/>
      <c r="X361" s="2"/>
      <c r="Y361" s="2"/>
      <c r="Z361" s="2"/>
      <c r="AA361" s="2"/>
      <c r="AB361" s="2"/>
      <c r="AC361" s="2"/>
      <c r="AD361" s="2"/>
    </row>
    <row r="362" spans="10:30" x14ac:dyDescent="0.2">
      <c r="J362" s="2"/>
      <c r="K362" s="2"/>
      <c r="L362" s="2"/>
      <c r="M362" s="2"/>
      <c r="N362" s="2"/>
      <c r="O362" s="2"/>
      <c r="P362" s="2"/>
      <c r="Q362" s="2"/>
      <c r="R362" s="2"/>
      <c r="S362" s="2"/>
      <c r="T362" s="2"/>
      <c r="U362" s="2"/>
      <c r="V362" s="2"/>
      <c r="W362" s="2"/>
      <c r="X362" s="2"/>
      <c r="Y362" s="2"/>
      <c r="Z362" s="2"/>
      <c r="AA362" s="2"/>
      <c r="AB362" s="2"/>
      <c r="AC362" s="2"/>
      <c r="AD362" s="2"/>
    </row>
    <row r="363" spans="10:30" x14ac:dyDescent="0.2">
      <c r="J363" s="2"/>
      <c r="K363" s="2"/>
      <c r="L363" s="2"/>
      <c r="M363" s="2"/>
      <c r="N363" s="2"/>
      <c r="O363" s="2"/>
      <c r="P363" s="2"/>
      <c r="Q363" s="2"/>
      <c r="R363" s="2"/>
      <c r="S363" s="2"/>
      <c r="T363" s="2"/>
      <c r="U363" s="2"/>
      <c r="V363" s="2"/>
      <c r="W363" s="2"/>
      <c r="X363" s="2"/>
      <c r="Y363" s="2"/>
      <c r="Z363" s="2"/>
      <c r="AA363" s="2"/>
      <c r="AB363" s="2"/>
      <c r="AC363" s="2"/>
      <c r="AD363" s="2"/>
    </row>
    <row r="364" spans="10:30" x14ac:dyDescent="0.2">
      <c r="J364" s="2"/>
      <c r="K364" s="2"/>
      <c r="L364" s="2"/>
      <c r="M364" s="2"/>
      <c r="N364" s="2"/>
      <c r="O364" s="2"/>
      <c r="P364" s="2"/>
      <c r="Q364" s="2"/>
      <c r="R364" s="2"/>
      <c r="S364" s="2"/>
      <c r="T364" s="2"/>
      <c r="U364" s="2"/>
      <c r="V364" s="2"/>
      <c r="W364" s="2"/>
      <c r="X364" s="2"/>
      <c r="Y364" s="2"/>
      <c r="Z364" s="2"/>
      <c r="AA364" s="2"/>
      <c r="AB364" s="2"/>
      <c r="AC364" s="2"/>
      <c r="AD364" s="2"/>
    </row>
    <row r="365" spans="10:30" x14ac:dyDescent="0.2">
      <c r="J365" s="2"/>
      <c r="K365" s="2"/>
      <c r="L365" s="2"/>
      <c r="M365" s="2"/>
      <c r="N365" s="2"/>
      <c r="O365" s="2"/>
      <c r="P365" s="2"/>
      <c r="Q365" s="2"/>
      <c r="R365" s="2"/>
      <c r="S365" s="2"/>
      <c r="T365" s="2"/>
      <c r="U365" s="2"/>
      <c r="V365" s="2"/>
      <c r="W365" s="2"/>
      <c r="X365" s="2"/>
      <c r="Y365" s="2"/>
      <c r="Z365" s="2"/>
      <c r="AA365" s="2"/>
      <c r="AB365" s="2"/>
      <c r="AC365" s="2"/>
      <c r="AD365" s="2"/>
    </row>
    <row r="366" spans="10:30" x14ac:dyDescent="0.2">
      <c r="J366" s="2"/>
      <c r="K366" s="2"/>
      <c r="L366" s="2"/>
      <c r="M366" s="2"/>
      <c r="N366" s="2"/>
      <c r="O366" s="2"/>
      <c r="P366" s="2"/>
      <c r="Q366" s="2"/>
      <c r="R366" s="2"/>
      <c r="S366" s="2"/>
      <c r="T366" s="2"/>
      <c r="U366" s="2"/>
      <c r="V366" s="2"/>
      <c r="W366" s="2"/>
      <c r="X366" s="2"/>
      <c r="Y366" s="2"/>
      <c r="Z366" s="2"/>
      <c r="AA366" s="2"/>
      <c r="AB366" s="2"/>
      <c r="AC366" s="2"/>
      <c r="AD366" s="2"/>
    </row>
    <row r="367" spans="10:30" x14ac:dyDescent="0.2">
      <c r="J367" s="2"/>
      <c r="K367" s="2"/>
      <c r="L367" s="2"/>
      <c r="M367" s="2"/>
      <c r="N367" s="2"/>
      <c r="O367" s="2"/>
      <c r="P367" s="2"/>
      <c r="Q367" s="2"/>
      <c r="R367" s="2"/>
      <c r="S367" s="2"/>
      <c r="T367" s="2"/>
      <c r="U367" s="2"/>
      <c r="V367" s="2"/>
      <c r="W367" s="2"/>
      <c r="X367" s="2"/>
      <c r="Y367" s="2"/>
      <c r="Z367" s="2"/>
      <c r="AA367" s="2"/>
      <c r="AB367" s="2"/>
      <c r="AC367" s="2"/>
      <c r="AD367" s="2"/>
    </row>
    <row r="368" spans="10:30" x14ac:dyDescent="0.2">
      <c r="J368" s="2"/>
      <c r="K368" s="2"/>
      <c r="L368" s="2"/>
      <c r="M368" s="2"/>
      <c r="N368" s="2"/>
      <c r="O368" s="2"/>
      <c r="P368" s="2"/>
      <c r="Q368" s="2"/>
      <c r="R368" s="2"/>
      <c r="S368" s="2"/>
      <c r="T368" s="2"/>
      <c r="U368" s="2"/>
      <c r="V368" s="2"/>
      <c r="W368" s="2"/>
      <c r="X368" s="2"/>
      <c r="Y368" s="2"/>
      <c r="Z368" s="2"/>
      <c r="AA368" s="2"/>
      <c r="AB368" s="2"/>
      <c r="AC368" s="2"/>
      <c r="AD368" s="2"/>
    </row>
    <row r="369" spans="10:30" x14ac:dyDescent="0.2">
      <c r="J369" s="2"/>
      <c r="K369" s="2"/>
      <c r="L369" s="2"/>
      <c r="M369" s="2"/>
      <c r="N369" s="2"/>
      <c r="O369" s="2"/>
      <c r="P369" s="2"/>
      <c r="Q369" s="2"/>
      <c r="R369" s="2"/>
      <c r="S369" s="2"/>
      <c r="T369" s="2"/>
      <c r="U369" s="2"/>
      <c r="V369" s="2"/>
      <c r="W369" s="2"/>
      <c r="X369" s="2"/>
      <c r="Y369" s="2"/>
      <c r="Z369" s="2"/>
      <c r="AA369" s="2"/>
      <c r="AB369" s="2"/>
      <c r="AC369" s="2"/>
      <c r="AD369" s="2"/>
    </row>
    <row r="370" spans="10:30" x14ac:dyDescent="0.2">
      <c r="J370" s="2"/>
      <c r="K370" s="2"/>
      <c r="L370" s="2"/>
      <c r="M370" s="2"/>
      <c r="N370" s="2"/>
      <c r="O370" s="2"/>
      <c r="P370" s="2"/>
      <c r="Q370" s="2"/>
      <c r="R370" s="2"/>
      <c r="S370" s="2"/>
      <c r="T370" s="2"/>
      <c r="U370" s="2"/>
      <c r="V370" s="2"/>
      <c r="W370" s="2"/>
      <c r="X370" s="2"/>
      <c r="Y370" s="2"/>
      <c r="Z370" s="2"/>
      <c r="AA370" s="2"/>
      <c r="AB370" s="2"/>
      <c r="AC370" s="2"/>
      <c r="AD370" s="2"/>
    </row>
    <row r="371" spans="10:30" x14ac:dyDescent="0.2">
      <c r="J371" s="2"/>
      <c r="K371" s="2"/>
      <c r="L371" s="2"/>
      <c r="M371" s="2"/>
      <c r="N371" s="2"/>
      <c r="O371" s="2"/>
      <c r="P371" s="2"/>
      <c r="Q371" s="2"/>
      <c r="R371" s="2"/>
      <c r="S371" s="2"/>
      <c r="T371" s="2"/>
      <c r="U371" s="2"/>
      <c r="V371" s="2"/>
      <c r="W371" s="2"/>
      <c r="X371" s="2"/>
      <c r="Y371" s="2"/>
      <c r="Z371" s="2"/>
      <c r="AA371" s="2"/>
      <c r="AB371" s="2"/>
      <c r="AC371" s="2"/>
      <c r="AD371" s="2"/>
    </row>
    <row r="372" spans="10:30" x14ac:dyDescent="0.2">
      <c r="J372" s="2"/>
      <c r="K372" s="2"/>
      <c r="L372" s="2"/>
      <c r="M372" s="2"/>
      <c r="N372" s="2"/>
      <c r="O372" s="2"/>
      <c r="P372" s="2"/>
      <c r="Q372" s="2"/>
      <c r="R372" s="2"/>
      <c r="S372" s="2"/>
      <c r="T372" s="2"/>
      <c r="U372" s="2"/>
      <c r="V372" s="2"/>
      <c r="W372" s="2"/>
      <c r="X372" s="2"/>
      <c r="Y372" s="2"/>
      <c r="Z372" s="2"/>
      <c r="AA372" s="2"/>
      <c r="AB372" s="2"/>
      <c r="AC372" s="2"/>
      <c r="AD372" s="2"/>
    </row>
    <row r="373" spans="10:30" x14ac:dyDescent="0.2">
      <c r="J373" s="2"/>
      <c r="K373" s="2"/>
      <c r="L373" s="2"/>
      <c r="M373" s="2"/>
      <c r="N373" s="2"/>
      <c r="O373" s="2"/>
      <c r="P373" s="2"/>
      <c r="Q373" s="2"/>
      <c r="R373" s="2"/>
      <c r="S373" s="2"/>
      <c r="T373" s="2"/>
      <c r="U373" s="2"/>
      <c r="V373" s="2"/>
      <c r="W373" s="2"/>
      <c r="X373" s="2"/>
      <c r="Y373" s="2"/>
      <c r="Z373" s="2"/>
      <c r="AA373" s="2"/>
      <c r="AB373" s="2"/>
      <c r="AC373" s="2"/>
      <c r="AD373" s="2"/>
    </row>
    <row r="374" spans="10:30" x14ac:dyDescent="0.2">
      <c r="J374" s="2"/>
      <c r="K374" s="2"/>
      <c r="L374" s="2"/>
      <c r="M374" s="2"/>
      <c r="N374" s="2"/>
      <c r="O374" s="2"/>
      <c r="P374" s="2"/>
      <c r="Q374" s="2"/>
      <c r="R374" s="2"/>
      <c r="S374" s="2"/>
      <c r="T374" s="2"/>
      <c r="U374" s="2"/>
      <c r="V374" s="2"/>
      <c r="W374" s="2"/>
      <c r="X374" s="2"/>
      <c r="Y374" s="2"/>
      <c r="Z374" s="2"/>
      <c r="AA374" s="2"/>
      <c r="AB374" s="2"/>
      <c r="AC374" s="2"/>
      <c r="AD374" s="2"/>
    </row>
    <row r="375" spans="10:30" x14ac:dyDescent="0.2">
      <c r="J375" s="2"/>
      <c r="K375" s="2"/>
      <c r="L375" s="2"/>
      <c r="M375" s="2"/>
      <c r="N375" s="2"/>
      <c r="O375" s="2"/>
      <c r="P375" s="2"/>
      <c r="Q375" s="2"/>
      <c r="R375" s="2"/>
      <c r="S375" s="2"/>
      <c r="T375" s="2"/>
      <c r="U375" s="2"/>
      <c r="V375" s="2"/>
      <c r="W375" s="2"/>
      <c r="X375" s="2"/>
      <c r="Y375" s="2"/>
      <c r="Z375" s="2"/>
      <c r="AA375" s="2"/>
      <c r="AB375" s="2"/>
      <c r="AC375" s="2"/>
      <c r="AD375" s="2"/>
    </row>
    <row r="376" spans="10:30" x14ac:dyDescent="0.2">
      <c r="J376" s="2"/>
      <c r="K376" s="2"/>
      <c r="L376" s="2"/>
      <c r="M376" s="2"/>
      <c r="N376" s="2"/>
      <c r="O376" s="2"/>
      <c r="P376" s="2"/>
      <c r="Q376" s="2"/>
      <c r="R376" s="2"/>
      <c r="S376" s="2"/>
      <c r="T376" s="2"/>
      <c r="U376" s="2"/>
      <c r="V376" s="2"/>
      <c r="W376" s="2"/>
      <c r="X376" s="2"/>
      <c r="Y376" s="2"/>
      <c r="Z376" s="2"/>
      <c r="AA376" s="2"/>
      <c r="AB376" s="2"/>
      <c r="AC376" s="2"/>
      <c r="AD376" s="2"/>
    </row>
    <row r="377" spans="10:30" x14ac:dyDescent="0.2">
      <c r="J377" s="2"/>
      <c r="K377" s="2"/>
      <c r="L377" s="2"/>
      <c r="M377" s="2"/>
      <c r="N377" s="2"/>
      <c r="O377" s="2"/>
      <c r="P377" s="2"/>
      <c r="Q377" s="2"/>
      <c r="R377" s="2"/>
      <c r="S377" s="2"/>
      <c r="T377" s="2"/>
      <c r="U377" s="2"/>
      <c r="V377" s="2"/>
      <c r="W377" s="2"/>
      <c r="X377" s="2"/>
      <c r="Y377" s="2"/>
      <c r="Z377" s="2"/>
      <c r="AA377" s="2"/>
      <c r="AB377" s="2"/>
      <c r="AC377" s="2"/>
      <c r="AD377" s="2"/>
    </row>
    <row r="378" spans="10:30" x14ac:dyDescent="0.2">
      <c r="J378" s="2"/>
      <c r="K378" s="2"/>
      <c r="L378" s="2"/>
      <c r="M378" s="2"/>
      <c r="N378" s="2"/>
      <c r="O378" s="2"/>
      <c r="P378" s="2"/>
      <c r="Q378" s="2"/>
      <c r="R378" s="2"/>
      <c r="S378" s="2"/>
      <c r="T378" s="2"/>
      <c r="U378" s="2"/>
      <c r="V378" s="2"/>
      <c r="W378" s="2"/>
      <c r="X378" s="2"/>
      <c r="Y378" s="2"/>
      <c r="Z378" s="2"/>
      <c r="AA378" s="2"/>
      <c r="AB378" s="2"/>
      <c r="AC378" s="2"/>
      <c r="AD378" s="2"/>
    </row>
    <row r="379" spans="10:30" x14ac:dyDescent="0.2">
      <c r="J379" s="2"/>
      <c r="K379" s="2"/>
      <c r="L379" s="2"/>
      <c r="M379" s="2"/>
      <c r="N379" s="2"/>
      <c r="O379" s="2"/>
      <c r="P379" s="2"/>
      <c r="Q379" s="2"/>
      <c r="R379" s="2"/>
      <c r="S379" s="2"/>
      <c r="T379" s="2"/>
      <c r="U379" s="2"/>
      <c r="V379" s="2"/>
      <c r="W379" s="2"/>
      <c r="X379" s="2"/>
      <c r="Y379" s="2"/>
      <c r="Z379" s="2"/>
      <c r="AA379" s="2"/>
      <c r="AB379" s="2"/>
      <c r="AC379" s="2"/>
      <c r="AD379" s="2"/>
    </row>
    <row r="380" spans="10:30" x14ac:dyDescent="0.2">
      <c r="J380" s="2"/>
      <c r="K380" s="2"/>
      <c r="L380" s="2"/>
      <c r="M380" s="2"/>
      <c r="N380" s="2"/>
      <c r="O380" s="2"/>
      <c r="P380" s="2"/>
      <c r="Q380" s="2"/>
      <c r="R380" s="2"/>
      <c r="S380" s="2"/>
      <c r="T380" s="2"/>
      <c r="U380" s="2"/>
      <c r="V380" s="2"/>
      <c r="W380" s="2"/>
      <c r="X380" s="2"/>
      <c r="Y380" s="2"/>
      <c r="Z380" s="2"/>
      <c r="AA380" s="2"/>
      <c r="AB380" s="2"/>
      <c r="AC380" s="2"/>
      <c r="AD380" s="2"/>
    </row>
    <row r="381" spans="10:30" x14ac:dyDescent="0.2">
      <c r="J381" s="2"/>
      <c r="K381" s="2"/>
      <c r="L381" s="2"/>
      <c r="M381" s="2"/>
      <c r="N381" s="2"/>
      <c r="O381" s="2"/>
      <c r="P381" s="2"/>
      <c r="Q381" s="2"/>
      <c r="R381" s="2"/>
      <c r="S381" s="2"/>
      <c r="T381" s="2"/>
      <c r="U381" s="2"/>
      <c r="V381" s="2"/>
      <c r="W381" s="2"/>
      <c r="X381" s="2"/>
      <c r="Y381" s="2"/>
      <c r="Z381" s="2"/>
      <c r="AA381" s="2"/>
      <c r="AB381" s="2"/>
      <c r="AC381" s="2"/>
      <c r="AD381" s="2"/>
    </row>
    <row r="382" spans="10:30" x14ac:dyDescent="0.2">
      <c r="J382" s="2"/>
      <c r="K382" s="2"/>
      <c r="L382" s="2"/>
      <c r="M382" s="2"/>
      <c r="N382" s="2"/>
      <c r="O382" s="2"/>
      <c r="P382" s="2"/>
      <c r="Q382" s="2"/>
      <c r="R382" s="2"/>
      <c r="S382" s="2"/>
      <c r="T382" s="2"/>
      <c r="U382" s="2"/>
      <c r="V382" s="2"/>
      <c r="W382" s="2"/>
      <c r="X382" s="2"/>
      <c r="Y382" s="2"/>
      <c r="Z382" s="2"/>
      <c r="AA382" s="2"/>
      <c r="AB382" s="2"/>
      <c r="AC382" s="2"/>
      <c r="AD382" s="2"/>
    </row>
    <row r="383" spans="10:30" x14ac:dyDescent="0.2">
      <c r="J383" s="2"/>
      <c r="K383" s="2"/>
      <c r="L383" s="2"/>
      <c r="M383" s="2"/>
      <c r="N383" s="2"/>
      <c r="O383" s="2"/>
      <c r="P383" s="2"/>
      <c r="Q383" s="2"/>
      <c r="R383" s="2"/>
      <c r="S383" s="2"/>
      <c r="T383" s="2"/>
      <c r="U383" s="2"/>
      <c r="V383" s="2"/>
      <c r="W383" s="2"/>
      <c r="X383" s="2"/>
      <c r="Y383" s="2"/>
      <c r="Z383" s="2"/>
      <c r="AA383" s="2"/>
      <c r="AB383" s="2"/>
      <c r="AC383" s="2"/>
      <c r="AD383" s="2"/>
    </row>
    <row r="384" spans="10:30" x14ac:dyDescent="0.2">
      <c r="J384" s="2"/>
      <c r="K384" s="2"/>
      <c r="L384" s="2"/>
      <c r="M384" s="2"/>
      <c r="N384" s="2"/>
      <c r="O384" s="2"/>
      <c r="P384" s="2"/>
      <c r="Q384" s="2"/>
      <c r="R384" s="2"/>
      <c r="S384" s="2"/>
      <c r="T384" s="2"/>
      <c r="U384" s="2"/>
      <c r="V384" s="2"/>
      <c r="W384" s="2"/>
      <c r="X384" s="2"/>
      <c r="Y384" s="2"/>
      <c r="Z384" s="2"/>
      <c r="AA384" s="2"/>
      <c r="AB384" s="2"/>
      <c r="AC384" s="2"/>
      <c r="AD384" s="2"/>
    </row>
    <row r="385" spans="10:30" x14ac:dyDescent="0.2">
      <c r="J385" s="2"/>
      <c r="K385" s="2"/>
      <c r="L385" s="2"/>
      <c r="M385" s="2"/>
      <c r="N385" s="2"/>
      <c r="O385" s="2"/>
      <c r="P385" s="2"/>
      <c r="Q385" s="2"/>
      <c r="R385" s="2"/>
      <c r="S385" s="2"/>
      <c r="T385" s="2"/>
      <c r="U385" s="2"/>
      <c r="V385" s="2"/>
      <c r="W385" s="2"/>
      <c r="X385" s="2"/>
      <c r="Y385" s="2"/>
      <c r="Z385" s="2"/>
      <c r="AA385" s="2"/>
      <c r="AB385" s="2"/>
      <c r="AC385" s="2"/>
      <c r="AD385" s="2"/>
    </row>
    <row r="386" spans="10:30" x14ac:dyDescent="0.2">
      <c r="J386" s="2"/>
      <c r="K386" s="2"/>
      <c r="L386" s="2"/>
      <c r="M386" s="2"/>
      <c r="N386" s="2"/>
      <c r="O386" s="2"/>
      <c r="P386" s="2"/>
      <c r="Q386" s="2"/>
      <c r="R386" s="2"/>
      <c r="S386" s="2"/>
      <c r="T386" s="2"/>
      <c r="U386" s="2"/>
      <c r="V386" s="2"/>
      <c r="W386" s="2"/>
      <c r="X386" s="2"/>
      <c r="Y386" s="2"/>
      <c r="Z386" s="2"/>
      <c r="AA386" s="2"/>
      <c r="AB386" s="2"/>
      <c r="AC386" s="2"/>
      <c r="AD386" s="2"/>
    </row>
    <row r="387" spans="10:30" x14ac:dyDescent="0.2">
      <c r="J387" s="2"/>
      <c r="K387" s="2"/>
      <c r="L387" s="2"/>
      <c r="M387" s="2"/>
      <c r="N387" s="2"/>
      <c r="O387" s="2"/>
      <c r="P387" s="2"/>
      <c r="Q387" s="2"/>
      <c r="R387" s="2"/>
      <c r="S387" s="2"/>
      <c r="T387" s="2"/>
      <c r="U387" s="2"/>
      <c r="V387" s="2"/>
      <c r="W387" s="2"/>
      <c r="X387" s="2"/>
      <c r="Y387" s="2"/>
      <c r="Z387" s="2"/>
      <c r="AA387" s="2"/>
      <c r="AB387" s="2"/>
      <c r="AC387" s="2"/>
      <c r="AD387" s="2"/>
    </row>
    <row r="388" spans="10:30" x14ac:dyDescent="0.2">
      <c r="J388" s="2"/>
      <c r="K388" s="2"/>
      <c r="L388" s="2"/>
      <c r="M388" s="2"/>
      <c r="N388" s="2"/>
      <c r="O388" s="2"/>
      <c r="P388" s="2"/>
      <c r="Q388" s="2"/>
      <c r="R388" s="2"/>
      <c r="S388" s="2"/>
      <c r="T388" s="2"/>
      <c r="U388" s="2"/>
      <c r="V388" s="2"/>
      <c r="W388" s="2"/>
      <c r="X388" s="2"/>
      <c r="Y388" s="2"/>
      <c r="Z388" s="2"/>
      <c r="AA388" s="2"/>
      <c r="AB388" s="2"/>
      <c r="AC388" s="2"/>
      <c r="AD388" s="2"/>
    </row>
    <row r="389" spans="10:30" x14ac:dyDescent="0.2">
      <c r="J389" s="2"/>
      <c r="K389" s="2"/>
      <c r="L389" s="2"/>
      <c r="M389" s="2"/>
      <c r="N389" s="2"/>
      <c r="O389" s="2"/>
      <c r="P389" s="2"/>
      <c r="Q389" s="2"/>
      <c r="R389" s="2"/>
      <c r="S389" s="2"/>
      <c r="T389" s="2"/>
      <c r="U389" s="2"/>
      <c r="V389" s="2"/>
      <c r="W389" s="2"/>
      <c r="X389" s="2"/>
      <c r="Y389" s="2"/>
      <c r="Z389" s="2"/>
      <c r="AA389" s="2"/>
      <c r="AB389" s="2"/>
      <c r="AC389" s="2"/>
      <c r="AD389" s="2"/>
    </row>
    <row r="390" spans="10:30" x14ac:dyDescent="0.2">
      <c r="J390" s="2"/>
      <c r="K390" s="2"/>
      <c r="L390" s="2"/>
      <c r="M390" s="2"/>
      <c r="N390" s="2"/>
      <c r="O390" s="2"/>
      <c r="P390" s="2"/>
      <c r="Q390" s="2"/>
      <c r="R390" s="2"/>
      <c r="S390" s="2"/>
      <c r="T390" s="2"/>
      <c r="U390" s="2"/>
      <c r="V390" s="2"/>
      <c r="W390" s="2"/>
      <c r="X390" s="2"/>
      <c r="Y390" s="2"/>
      <c r="Z390" s="2"/>
      <c r="AA390" s="2"/>
      <c r="AB390" s="2"/>
      <c r="AC390" s="2"/>
      <c r="AD390" s="2"/>
    </row>
    <row r="391" spans="10:30" x14ac:dyDescent="0.2">
      <c r="J391" s="2"/>
      <c r="K391" s="2"/>
      <c r="L391" s="2"/>
      <c r="M391" s="2"/>
      <c r="N391" s="2"/>
      <c r="O391" s="2"/>
      <c r="P391" s="2"/>
      <c r="Q391" s="2"/>
      <c r="R391" s="2"/>
      <c r="S391" s="2"/>
      <c r="T391" s="2"/>
      <c r="U391" s="2"/>
      <c r="V391" s="2"/>
      <c r="W391" s="2"/>
      <c r="X391" s="2"/>
      <c r="Y391" s="2"/>
      <c r="Z391" s="2"/>
      <c r="AA391" s="2"/>
      <c r="AB391" s="2"/>
      <c r="AC391" s="2"/>
      <c r="AD391" s="2"/>
    </row>
    <row r="392" spans="10:30" x14ac:dyDescent="0.2">
      <c r="J392" s="2"/>
      <c r="K392" s="2"/>
      <c r="L392" s="2"/>
      <c r="M392" s="2"/>
      <c r="N392" s="2"/>
      <c r="O392" s="2"/>
      <c r="P392" s="2"/>
      <c r="Q392" s="2"/>
      <c r="R392" s="2"/>
      <c r="S392" s="2"/>
      <c r="T392" s="2"/>
      <c r="U392" s="2"/>
      <c r="V392" s="2"/>
      <c r="W392" s="2"/>
      <c r="X392" s="2"/>
      <c r="Y392" s="2"/>
      <c r="Z392" s="2"/>
      <c r="AA392" s="2"/>
      <c r="AB392" s="2"/>
      <c r="AC392" s="2"/>
      <c r="AD392" s="2"/>
    </row>
    <row r="393" spans="10:30" x14ac:dyDescent="0.2">
      <c r="J393" s="2"/>
      <c r="K393" s="2"/>
      <c r="L393" s="2"/>
      <c r="M393" s="2"/>
      <c r="N393" s="2"/>
      <c r="O393" s="2"/>
      <c r="P393" s="2"/>
      <c r="Q393" s="2"/>
      <c r="R393" s="2"/>
      <c r="S393" s="2"/>
      <c r="T393" s="2"/>
      <c r="U393" s="2"/>
      <c r="V393" s="2"/>
      <c r="W393" s="2"/>
      <c r="X393" s="2"/>
      <c r="Y393" s="2"/>
      <c r="Z393" s="2"/>
      <c r="AA393" s="2"/>
      <c r="AB393" s="2"/>
      <c r="AC393" s="2"/>
      <c r="AD393" s="2"/>
    </row>
    <row r="394" spans="10:30" x14ac:dyDescent="0.2">
      <c r="J394" s="2"/>
      <c r="K394" s="2"/>
      <c r="L394" s="2"/>
      <c r="M394" s="2"/>
      <c r="N394" s="2"/>
      <c r="O394" s="2"/>
      <c r="P394" s="2"/>
      <c r="Q394" s="2"/>
      <c r="R394" s="2"/>
      <c r="S394" s="2"/>
      <c r="T394" s="2"/>
      <c r="U394" s="2"/>
      <c r="V394" s="2"/>
      <c r="W394" s="2"/>
      <c r="X394" s="2"/>
      <c r="Y394" s="2"/>
      <c r="Z394" s="2"/>
      <c r="AA394" s="2"/>
      <c r="AB394" s="2"/>
      <c r="AC394" s="2"/>
      <c r="AD394" s="2"/>
    </row>
    <row r="395" spans="10:30" x14ac:dyDescent="0.2">
      <c r="J395" s="2"/>
      <c r="K395" s="2"/>
      <c r="L395" s="2"/>
      <c r="M395" s="2"/>
      <c r="N395" s="2"/>
      <c r="O395" s="2"/>
      <c r="P395" s="2"/>
      <c r="Q395" s="2"/>
      <c r="R395" s="2"/>
      <c r="S395" s="2"/>
      <c r="T395" s="2"/>
      <c r="U395" s="2"/>
      <c r="V395" s="2"/>
      <c r="W395" s="2"/>
      <c r="X395" s="2"/>
      <c r="Y395" s="2"/>
      <c r="Z395" s="2"/>
      <c r="AA395" s="2"/>
      <c r="AB395" s="2"/>
      <c r="AC395" s="2"/>
      <c r="AD395" s="2"/>
    </row>
    <row r="396" spans="10:30" x14ac:dyDescent="0.2">
      <c r="J396" s="2"/>
      <c r="K396" s="2"/>
      <c r="L396" s="2"/>
      <c r="M396" s="2"/>
      <c r="N396" s="2"/>
      <c r="O396" s="2"/>
      <c r="P396" s="2"/>
      <c r="Q396" s="2"/>
      <c r="R396" s="2"/>
      <c r="S396" s="2"/>
      <c r="T396" s="2"/>
      <c r="U396" s="2"/>
      <c r="V396" s="2"/>
      <c r="W396" s="2"/>
      <c r="X396" s="2"/>
      <c r="Y396" s="2"/>
      <c r="Z396" s="2"/>
      <c r="AA396" s="2"/>
      <c r="AB396" s="2"/>
      <c r="AC396" s="2"/>
      <c r="AD396" s="2"/>
    </row>
    <row r="397" spans="10:30" x14ac:dyDescent="0.2">
      <c r="J397" s="2"/>
      <c r="K397" s="2"/>
      <c r="L397" s="2"/>
      <c r="M397" s="2"/>
      <c r="N397" s="2"/>
      <c r="O397" s="2"/>
      <c r="P397" s="2"/>
      <c r="Q397" s="2"/>
      <c r="R397" s="2"/>
      <c r="S397" s="2"/>
      <c r="T397" s="2"/>
      <c r="U397" s="2"/>
      <c r="V397" s="2"/>
      <c r="W397" s="2"/>
      <c r="X397" s="2"/>
      <c r="Y397" s="2"/>
      <c r="Z397" s="2"/>
      <c r="AA397" s="2"/>
      <c r="AB397" s="2"/>
      <c r="AC397" s="2"/>
      <c r="AD397" s="2"/>
    </row>
    <row r="398" spans="10:30" x14ac:dyDescent="0.2">
      <c r="J398" s="2"/>
      <c r="K398" s="2"/>
      <c r="L398" s="2"/>
      <c r="M398" s="2"/>
      <c r="N398" s="2"/>
      <c r="O398" s="2"/>
      <c r="P398" s="2"/>
      <c r="Q398" s="2"/>
      <c r="R398" s="2"/>
      <c r="S398" s="2"/>
      <c r="T398" s="2"/>
      <c r="U398" s="2"/>
      <c r="V398" s="2"/>
      <c r="W398" s="2"/>
      <c r="X398" s="2"/>
      <c r="Y398" s="2"/>
      <c r="Z398" s="2"/>
      <c r="AA398" s="2"/>
      <c r="AB398" s="2"/>
      <c r="AC398" s="2"/>
      <c r="AD398" s="2"/>
    </row>
    <row r="399" spans="10:30" x14ac:dyDescent="0.2">
      <c r="J399" s="2"/>
      <c r="K399" s="2"/>
      <c r="L399" s="2"/>
      <c r="M399" s="2"/>
      <c r="N399" s="2"/>
      <c r="O399" s="2"/>
      <c r="P399" s="2"/>
      <c r="Q399" s="2"/>
      <c r="R399" s="2"/>
      <c r="S399" s="2"/>
      <c r="T399" s="2"/>
      <c r="U399" s="2"/>
      <c r="V399" s="2"/>
      <c r="W399" s="2"/>
      <c r="X399" s="2"/>
      <c r="Y399" s="2"/>
      <c r="Z399" s="2"/>
      <c r="AA399" s="2"/>
      <c r="AB399" s="2"/>
      <c r="AC399" s="2"/>
      <c r="AD399" s="2"/>
    </row>
    <row r="400" spans="10:30" x14ac:dyDescent="0.2">
      <c r="J400" s="2"/>
      <c r="K400" s="2"/>
      <c r="L400" s="2"/>
      <c r="M400" s="2"/>
      <c r="N400" s="2"/>
      <c r="O400" s="2"/>
      <c r="P400" s="2"/>
      <c r="Q400" s="2"/>
      <c r="R400" s="2"/>
      <c r="S400" s="2"/>
      <c r="T400" s="2"/>
      <c r="U400" s="2"/>
      <c r="V400" s="2"/>
      <c r="W400" s="2"/>
      <c r="X400" s="2"/>
      <c r="Y400" s="2"/>
      <c r="Z400" s="2"/>
      <c r="AA400" s="2"/>
      <c r="AB400" s="2"/>
      <c r="AC400" s="2"/>
      <c r="AD400" s="2"/>
    </row>
    <row r="401" spans="10:30" x14ac:dyDescent="0.2">
      <c r="J401" s="2"/>
      <c r="K401" s="2"/>
      <c r="L401" s="2"/>
      <c r="M401" s="2"/>
      <c r="N401" s="2"/>
      <c r="O401" s="2"/>
      <c r="P401" s="2"/>
      <c r="Q401" s="2"/>
      <c r="R401" s="2"/>
      <c r="S401" s="2"/>
      <c r="T401" s="2"/>
      <c r="U401" s="2"/>
      <c r="V401" s="2"/>
      <c r="W401" s="2"/>
      <c r="X401" s="2"/>
      <c r="Y401" s="2"/>
      <c r="Z401" s="2"/>
      <c r="AA401" s="2"/>
      <c r="AB401" s="2"/>
      <c r="AC401" s="2"/>
      <c r="AD401" s="2"/>
    </row>
    <row r="402" spans="10:30" x14ac:dyDescent="0.2">
      <c r="J402" s="2"/>
      <c r="K402" s="2"/>
      <c r="L402" s="2"/>
      <c r="M402" s="2"/>
      <c r="N402" s="2"/>
      <c r="O402" s="2"/>
      <c r="P402" s="2"/>
      <c r="Q402" s="2"/>
      <c r="R402" s="2"/>
      <c r="S402" s="2"/>
      <c r="T402" s="2"/>
      <c r="U402" s="2"/>
      <c r="V402" s="2"/>
      <c r="W402" s="2"/>
      <c r="X402" s="2"/>
      <c r="Y402" s="2"/>
      <c r="Z402" s="2"/>
      <c r="AA402" s="2"/>
      <c r="AB402" s="2"/>
      <c r="AC402" s="2"/>
      <c r="AD402" s="2"/>
    </row>
    <row r="403" spans="10:30" x14ac:dyDescent="0.2">
      <c r="J403" s="2"/>
      <c r="K403" s="2"/>
      <c r="L403" s="2"/>
      <c r="M403" s="2"/>
      <c r="N403" s="2"/>
      <c r="O403" s="2"/>
      <c r="P403" s="2"/>
      <c r="Q403" s="2"/>
      <c r="R403" s="2"/>
      <c r="S403" s="2"/>
      <c r="T403" s="2"/>
      <c r="U403" s="2"/>
      <c r="V403" s="2"/>
      <c r="W403" s="2"/>
      <c r="X403" s="2"/>
      <c r="Y403" s="2"/>
      <c r="Z403" s="2"/>
      <c r="AA403" s="2"/>
      <c r="AB403" s="2"/>
      <c r="AC403" s="2"/>
      <c r="AD403" s="2"/>
    </row>
    <row r="404" spans="10:30" x14ac:dyDescent="0.2">
      <c r="J404" s="2"/>
      <c r="K404" s="2"/>
      <c r="L404" s="2"/>
      <c r="M404" s="2"/>
      <c r="N404" s="2"/>
      <c r="O404" s="2"/>
      <c r="P404" s="2"/>
      <c r="Q404" s="2"/>
      <c r="R404" s="2"/>
      <c r="S404" s="2"/>
      <c r="T404" s="2"/>
      <c r="U404" s="2"/>
      <c r="V404" s="2"/>
      <c r="W404" s="2"/>
      <c r="X404" s="2"/>
      <c r="Y404" s="2"/>
      <c r="Z404" s="2"/>
      <c r="AA404" s="2"/>
      <c r="AB404" s="2"/>
      <c r="AC404" s="2"/>
      <c r="AD404" s="2"/>
    </row>
    <row r="405" spans="10:30" x14ac:dyDescent="0.2">
      <c r="J405" s="2"/>
      <c r="K405" s="2"/>
      <c r="L405" s="2"/>
      <c r="M405" s="2"/>
      <c r="N405" s="2"/>
      <c r="O405" s="2"/>
      <c r="P405" s="2"/>
      <c r="Q405" s="2"/>
      <c r="R405" s="2"/>
      <c r="S405" s="2"/>
      <c r="T405" s="2"/>
      <c r="U405" s="2"/>
      <c r="V405" s="2"/>
      <c r="W405" s="2"/>
      <c r="X405" s="2"/>
      <c r="Y405" s="2"/>
      <c r="Z405" s="2"/>
      <c r="AA405" s="2"/>
      <c r="AB405" s="2"/>
      <c r="AC405" s="2"/>
      <c r="AD405" s="2"/>
    </row>
    <row r="406" spans="10:30" x14ac:dyDescent="0.2">
      <c r="J406" s="2"/>
      <c r="K406" s="2"/>
      <c r="L406" s="2"/>
      <c r="M406" s="2"/>
      <c r="N406" s="2"/>
      <c r="O406" s="2"/>
      <c r="P406" s="2"/>
      <c r="Q406" s="2"/>
      <c r="R406" s="2"/>
      <c r="S406" s="2"/>
      <c r="T406" s="2"/>
      <c r="U406" s="2"/>
      <c r="V406" s="2"/>
      <c r="W406" s="2"/>
      <c r="X406" s="2"/>
      <c r="Y406" s="2"/>
      <c r="Z406" s="2"/>
      <c r="AA406" s="2"/>
      <c r="AB406" s="2"/>
      <c r="AC406" s="2"/>
      <c r="AD406" s="2"/>
    </row>
    <row r="407" spans="10:30" x14ac:dyDescent="0.2">
      <c r="J407" s="2"/>
      <c r="K407" s="2"/>
      <c r="L407" s="2"/>
      <c r="M407" s="2"/>
      <c r="N407" s="2"/>
      <c r="O407" s="2"/>
      <c r="P407" s="2"/>
      <c r="Q407" s="2"/>
      <c r="R407" s="2"/>
      <c r="S407" s="2"/>
      <c r="T407" s="2"/>
      <c r="U407" s="2"/>
      <c r="V407" s="2"/>
      <c r="W407" s="2"/>
      <c r="X407" s="2"/>
      <c r="Y407" s="2"/>
      <c r="Z407" s="2"/>
      <c r="AA407" s="2"/>
      <c r="AB407" s="2"/>
      <c r="AC407" s="2"/>
      <c r="AD407" s="2"/>
    </row>
    <row r="408" spans="10:30" x14ac:dyDescent="0.2">
      <c r="J408" s="2"/>
      <c r="K408" s="2"/>
      <c r="L408" s="2"/>
      <c r="M408" s="2"/>
      <c r="N408" s="2"/>
      <c r="O408" s="2"/>
      <c r="P408" s="2"/>
      <c r="Q408" s="2"/>
      <c r="R408" s="2"/>
      <c r="S408" s="2"/>
      <c r="T408" s="2"/>
      <c r="U408" s="2"/>
      <c r="V408" s="2"/>
      <c r="W408" s="2"/>
      <c r="X408" s="2"/>
      <c r="Y408" s="2"/>
      <c r="Z408" s="2"/>
      <c r="AA408" s="2"/>
      <c r="AB408" s="2"/>
      <c r="AC408" s="2"/>
      <c r="AD408" s="2"/>
    </row>
    <row r="409" spans="10:30" x14ac:dyDescent="0.2">
      <c r="J409" s="2"/>
      <c r="K409" s="2"/>
      <c r="L409" s="2"/>
      <c r="M409" s="2"/>
      <c r="N409" s="2"/>
      <c r="O409" s="2"/>
      <c r="P409" s="2"/>
      <c r="Q409" s="2"/>
      <c r="R409" s="2"/>
      <c r="S409" s="2"/>
      <c r="T409" s="2"/>
      <c r="U409" s="2"/>
      <c r="V409" s="2"/>
      <c r="W409" s="2"/>
      <c r="X409" s="2"/>
      <c r="Y409" s="2"/>
      <c r="Z409" s="2"/>
      <c r="AA409" s="2"/>
      <c r="AB409" s="2"/>
      <c r="AC409" s="2"/>
      <c r="AD409" s="2"/>
    </row>
    <row r="410" spans="10:30" x14ac:dyDescent="0.2">
      <c r="J410" s="2"/>
      <c r="K410" s="2"/>
      <c r="L410" s="2"/>
      <c r="M410" s="2"/>
      <c r="N410" s="2"/>
      <c r="O410" s="2"/>
      <c r="P410" s="2"/>
      <c r="Q410" s="2"/>
      <c r="R410" s="2"/>
      <c r="S410" s="2"/>
      <c r="T410" s="2"/>
      <c r="U410" s="2"/>
      <c r="V410" s="2"/>
      <c r="W410" s="2"/>
      <c r="X410" s="2"/>
      <c r="Y410" s="2"/>
      <c r="Z410" s="2"/>
      <c r="AA410" s="2"/>
      <c r="AB410" s="2"/>
      <c r="AC410" s="2"/>
      <c r="AD410" s="2"/>
    </row>
    <row r="411" spans="10:30" x14ac:dyDescent="0.2">
      <c r="J411" s="2"/>
      <c r="K411" s="2"/>
      <c r="L411" s="2"/>
      <c r="M411" s="2"/>
      <c r="N411" s="2"/>
      <c r="O411" s="2"/>
      <c r="P411" s="2"/>
      <c r="Q411" s="2"/>
      <c r="R411" s="2"/>
      <c r="S411" s="2"/>
      <c r="T411" s="2"/>
      <c r="U411" s="2"/>
      <c r="V411" s="2"/>
      <c r="W411" s="2"/>
      <c r="X411" s="2"/>
      <c r="Y411" s="2"/>
      <c r="Z411" s="2"/>
      <c r="AA411" s="2"/>
      <c r="AB411" s="2"/>
      <c r="AC411" s="2"/>
      <c r="AD411" s="2"/>
    </row>
    <row r="412" spans="10:30" x14ac:dyDescent="0.2">
      <c r="J412" s="2"/>
      <c r="K412" s="2"/>
      <c r="L412" s="2"/>
      <c r="M412" s="2"/>
      <c r="N412" s="2"/>
      <c r="O412" s="2"/>
      <c r="P412" s="2"/>
      <c r="Q412" s="2"/>
      <c r="R412" s="2"/>
      <c r="S412" s="2"/>
      <c r="T412" s="2"/>
      <c r="U412" s="2"/>
      <c r="V412" s="2"/>
      <c r="W412" s="2"/>
      <c r="X412" s="2"/>
      <c r="Y412" s="2"/>
      <c r="Z412" s="2"/>
      <c r="AA412" s="2"/>
      <c r="AB412" s="2"/>
      <c r="AC412" s="2"/>
      <c r="AD412" s="2"/>
    </row>
    <row r="413" spans="10:30" x14ac:dyDescent="0.2">
      <c r="J413" s="2"/>
      <c r="K413" s="2"/>
      <c r="L413" s="2"/>
      <c r="M413" s="2"/>
      <c r="N413" s="2"/>
      <c r="O413" s="2"/>
      <c r="P413" s="2"/>
      <c r="Q413" s="2"/>
      <c r="R413" s="2"/>
      <c r="S413" s="2"/>
      <c r="T413" s="2"/>
      <c r="U413" s="2"/>
      <c r="V413" s="2"/>
      <c r="W413" s="2"/>
      <c r="X413" s="2"/>
      <c r="Y413" s="2"/>
      <c r="Z413" s="2"/>
      <c r="AA413" s="2"/>
      <c r="AB413" s="2"/>
      <c r="AC413" s="2"/>
      <c r="AD413" s="2"/>
    </row>
    <row r="414" spans="10:30" x14ac:dyDescent="0.2">
      <c r="J414" s="2"/>
      <c r="K414" s="2"/>
      <c r="L414" s="2"/>
      <c r="M414" s="2"/>
      <c r="N414" s="2"/>
      <c r="O414" s="2"/>
      <c r="P414" s="2"/>
      <c r="Q414" s="2"/>
      <c r="R414" s="2"/>
      <c r="S414" s="2"/>
      <c r="T414" s="2"/>
      <c r="U414" s="2"/>
      <c r="V414" s="2"/>
      <c r="W414" s="2"/>
      <c r="X414" s="2"/>
      <c r="Y414" s="2"/>
      <c r="Z414" s="2"/>
      <c r="AA414" s="2"/>
      <c r="AB414" s="2"/>
      <c r="AC414" s="2"/>
      <c r="AD414" s="2"/>
    </row>
    <row r="415" spans="10:30" x14ac:dyDescent="0.2">
      <c r="J415" s="2"/>
      <c r="K415" s="2"/>
      <c r="L415" s="2"/>
      <c r="M415" s="2"/>
      <c r="N415" s="2"/>
      <c r="O415" s="2"/>
      <c r="P415" s="2"/>
      <c r="Q415" s="2"/>
      <c r="R415" s="2"/>
      <c r="S415" s="2"/>
      <c r="T415" s="2"/>
      <c r="U415" s="2"/>
      <c r="V415" s="2"/>
      <c r="W415" s="2"/>
      <c r="X415" s="2"/>
      <c r="Y415" s="2"/>
      <c r="Z415" s="2"/>
      <c r="AA415" s="2"/>
      <c r="AB415" s="2"/>
      <c r="AC415" s="2"/>
      <c r="AD415" s="2"/>
    </row>
    <row r="416" spans="10:30" x14ac:dyDescent="0.2">
      <c r="J416" s="2"/>
      <c r="K416" s="2"/>
      <c r="L416" s="2"/>
      <c r="M416" s="2"/>
      <c r="N416" s="2"/>
      <c r="O416" s="2"/>
      <c r="P416" s="2"/>
      <c r="Q416" s="2"/>
      <c r="R416" s="2"/>
      <c r="S416" s="2"/>
      <c r="T416" s="2"/>
      <c r="U416" s="2"/>
      <c r="V416" s="2"/>
      <c r="W416" s="2"/>
      <c r="X416" s="2"/>
      <c r="Y416" s="2"/>
      <c r="Z416" s="2"/>
      <c r="AA416" s="2"/>
      <c r="AB416" s="2"/>
      <c r="AC416" s="2"/>
      <c r="AD416" s="2"/>
    </row>
    <row r="417" spans="10:30" x14ac:dyDescent="0.2">
      <c r="J417" s="2"/>
      <c r="K417" s="2"/>
      <c r="L417" s="2"/>
      <c r="M417" s="2"/>
      <c r="N417" s="2"/>
      <c r="O417" s="2"/>
      <c r="P417" s="2"/>
      <c r="Q417" s="2"/>
      <c r="R417" s="2"/>
      <c r="S417" s="2"/>
      <c r="T417" s="2"/>
      <c r="U417" s="2"/>
      <c r="V417" s="2"/>
      <c r="W417" s="2"/>
      <c r="X417" s="2"/>
      <c r="Y417" s="2"/>
      <c r="Z417" s="2"/>
      <c r="AA417" s="2"/>
      <c r="AB417" s="2"/>
      <c r="AC417" s="2"/>
      <c r="AD417" s="2"/>
    </row>
    <row r="418" spans="10:30" x14ac:dyDescent="0.2">
      <c r="J418" s="2"/>
      <c r="K418" s="2"/>
      <c r="L418" s="2"/>
      <c r="M418" s="2"/>
      <c r="N418" s="2"/>
      <c r="O418" s="2"/>
      <c r="P418" s="2"/>
      <c r="Q418" s="2"/>
      <c r="R418" s="2"/>
      <c r="S418" s="2"/>
      <c r="T418" s="2"/>
      <c r="U418" s="2"/>
      <c r="V418" s="2"/>
      <c r="W418" s="2"/>
      <c r="X418" s="2"/>
      <c r="Y418" s="2"/>
      <c r="Z418" s="2"/>
      <c r="AA418" s="2"/>
      <c r="AB418" s="2"/>
      <c r="AC418" s="2"/>
      <c r="AD418" s="2"/>
    </row>
    <row r="419" spans="10:30" x14ac:dyDescent="0.2">
      <c r="J419" s="2"/>
      <c r="K419" s="2"/>
      <c r="L419" s="2"/>
      <c r="M419" s="2"/>
      <c r="N419" s="2"/>
      <c r="O419" s="2"/>
      <c r="P419" s="2"/>
      <c r="Q419" s="2"/>
      <c r="R419" s="2"/>
      <c r="S419" s="2"/>
      <c r="T419" s="2"/>
      <c r="U419" s="2"/>
      <c r="V419" s="2"/>
      <c r="W419" s="2"/>
      <c r="X419" s="2"/>
      <c r="Y419" s="2"/>
      <c r="Z419" s="2"/>
      <c r="AA419" s="2"/>
      <c r="AB419" s="2"/>
      <c r="AC419" s="2"/>
      <c r="AD419" s="2"/>
    </row>
    <row r="420" spans="10:30" x14ac:dyDescent="0.2">
      <c r="J420" s="2"/>
      <c r="K420" s="2"/>
      <c r="L420" s="2"/>
      <c r="M420" s="2"/>
      <c r="N420" s="2"/>
      <c r="O420" s="2"/>
      <c r="P420" s="2"/>
      <c r="Q420" s="2"/>
      <c r="R420" s="2"/>
      <c r="S420" s="2"/>
      <c r="T420" s="2"/>
      <c r="U420" s="2"/>
      <c r="V420" s="2"/>
      <c r="W420" s="2"/>
      <c r="X420" s="2"/>
      <c r="Y420" s="2"/>
      <c r="Z420" s="2"/>
      <c r="AA420" s="2"/>
      <c r="AB420" s="2"/>
      <c r="AC420" s="2"/>
      <c r="AD420" s="2"/>
    </row>
    <row r="421" spans="10:30" x14ac:dyDescent="0.2">
      <c r="J421" s="2"/>
      <c r="K421" s="2"/>
      <c r="L421" s="2"/>
      <c r="M421" s="2"/>
      <c r="N421" s="2"/>
      <c r="O421" s="2"/>
      <c r="P421" s="2"/>
      <c r="Q421" s="2"/>
      <c r="R421" s="2"/>
      <c r="S421" s="2"/>
      <c r="T421" s="2"/>
      <c r="U421" s="2"/>
      <c r="V421" s="2"/>
      <c r="W421" s="2"/>
      <c r="X421" s="2"/>
      <c r="Y421" s="2"/>
      <c r="Z421" s="2"/>
      <c r="AA421" s="2"/>
      <c r="AB421" s="2"/>
      <c r="AC421" s="2"/>
      <c r="AD421" s="2"/>
    </row>
    <row r="422" spans="10:30" x14ac:dyDescent="0.2">
      <c r="J422" s="2"/>
      <c r="K422" s="2"/>
      <c r="L422" s="2"/>
      <c r="M422" s="2"/>
      <c r="N422" s="2"/>
      <c r="O422" s="2"/>
      <c r="P422" s="2"/>
      <c r="Q422" s="2"/>
      <c r="R422" s="2"/>
      <c r="S422" s="2"/>
      <c r="T422" s="2"/>
      <c r="U422" s="2"/>
      <c r="V422" s="2"/>
      <c r="W422" s="2"/>
      <c r="X422" s="2"/>
      <c r="Y422" s="2"/>
      <c r="Z422" s="2"/>
      <c r="AA422" s="2"/>
      <c r="AB422" s="2"/>
      <c r="AC422" s="2"/>
      <c r="AD422" s="2"/>
    </row>
    <row r="423" spans="10:30" x14ac:dyDescent="0.2">
      <c r="J423" s="2"/>
      <c r="K423" s="2"/>
      <c r="L423" s="2"/>
      <c r="M423" s="2"/>
      <c r="N423" s="2"/>
      <c r="O423" s="2"/>
      <c r="P423" s="2"/>
      <c r="Q423" s="2"/>
      <c r="R423" s="2"/>
      <c r="S423" s="2"/>
      <c r="T423" s="2"/>
      <c r="U423" s="2"/>
      <c r="V423" s="2"/>
      <c r="W423" s="2"/>
      <c r="X423" s="2"/>
      <c r="Y423" s="2"/>
      <c r="Z423" s="2"/>
      <c r="AA423" s="2"/>
      <c r="AB423" s="2"/>
      <c r="AC423" s="2"/>
      <c r="AD423" s="2"/>
    </row>
  </sheetData>
  <autoFilter ref="A1:AF297" xr:uid="{161439BE-B094-48A7-874B-B4F6E6A1316B}"/>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6BA854B-FE44-4F82-90A4-1588D09A9BC7}">
          <x14:formula1>
            <xm:f>Hoja2!$A$11:$A$17</xm:f>
          </x14:formula1>
          <xm:sqref>AD2:AD423</xm:sqref>
        </x14:dataValidation>
        <x14:dataValidation type="list" allowBlank="1" showInputMessage="1" showErrorMessage="1" xr:uid="{61C03EA0-82BF-4E3E-96F0-A3DF3696D0A7}">
          <x14:formula1>
            <xm:f>Hoja2!$A$1:$A$3</xm:f>
          </x14:formula1>
          <xm:sqref>J2:AC423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9D368-9AA3-493E-A610-953FDCE22536}">
  <sheetPr filterMode="1"/>
  <dimension ref="A1:AC600"/>
  <sheetViews>
    <sheetView workbookViewId="0">
      <selection activeCell="A239" activeCellId="1" sqref="A1:AD600"/>
    </sheetView>
  </sheetViews>
  <sheetFormatPr baseColWidth="10" defaultColWidth="9.1640625" defaultRowHeight="11" x14ac:dyDescent="0.15"/>
  <cols>
    <col min="1" max="1" width="11" style="20" bestFit="1" customWidth="1"/>
    <col min="2" max="2" width="14.5" style="20" bestFit="1" customWidth="1"/>
    <col min="3" max="3" width="14.5" style="20" customWidth="1"/>
    <col min="4" max="4" width="11.5" style="20" bestFit="1" customWidth="1"/>
    <col min="5" max="5" width="12" style="20" bestFit="1" customWidth="1"/>
    <col min="6" max="6" width="11.5" style="20" bestFit="1" customWidth="1"/>
    <col min="7" max="7" width="15" style="20" customWidth="1"/>
    <col min="8" max="9" width="11.5" style="20" bestFit="1" customWidth="1"/>
    <col min="10" max="10" width="14.33203125" style="20" customWidth="1"/>
    <col min="11" max="26" width="11.5" style="20" bestFit="1" customWidth="1"/>
    <col min="27" max="27" width="26.83203125" style="23" customWidth="1"/>
    <col min="28" max="28" width="33.33203125" style="24" customWidth="1"/>
    <col min="29" max="29" width="17.1640625" style="25" customWidth="1"/>
    <col min="30" max="30" width="11.5" style="20" bestFit="1" customWidth="1"/>
    <col min="31" max="16384" width="9.1640625" style="20"/>
  </cols>
  <sheetData>
    <row r="1" spans="1:29" s="14" customFormat="1" ht="32.25" customHeight="1" x14ac:dyDescent="0.2">
      <c r="A1" s="14" t="s">
        <v>1</v>
      </c>
      <c r="B1" s="14" t="s">
        <v>2</v>
      </c>
      <c r="C1" s="14" t="s">
        <v>57</v>
      </c>
      <c r="D1" s="15" t="s">
        <v>3</v>
      </c>
      <c r="E1" s="14" t="s">
        <v>4</v>
      </c>
      <c r="F1" s="14" t="s">
        <v>5</v>
      </c>
      <c r="G1" s="14" t="s">
        <v>7</v>
      </c>
      <c r="H1" s="14" t="s">
        <v>8</v>
      </c>
      <c r="I1" s="14" t="s">
        <v>9</v>
      </c>
      <c r="J1" s="15" t="s">
        <v>10</v>
      </c>
      <c r="K1" s="15" t="s">
        <v>35</v>
      </c>
      <c r="L1" s="15" t="s">
        <v>36</v>
      </c>
      <c r="M1" s="15" t="s">
        <v>37</v>
      </c>
      <c r="N1" s="15" t="s">
        <v>12</v>
      </c>
      <c r="O1" s="16" t="s">
        <v>58</v>
      </c>
      <c r="P1" s="17" t="s">
        <v>59</v>
      </c>
      <c r="Q1" s="17" t="s">
        <v>60</v>
      </c>
      <c r="R1" s="17" t="s">
        <v>61</v>
      </c>
      <c r="S1" s="15" t="s">
        <v>41</v>
      </c>
      <c r="T1" s="15" t="s">
        <v>45</v>
      </c>
      <c r="U1" s="15" t="s">
        <v>46</v>
      </c>
      <c r="V1" s="15" t="s">
        <v>47</v>
      </c>
      <c r="W1" s="15" t="s">
        <v>48</v>
      </c>
      <c r="X1" s="15" t="s">
        <v>49</v>
      </c>
      <c r="Y1" s="18" t="s">
        <v>62</v>
      </c>
      <c r="Z1" s="15" t="s">
        <v>51</v>
      </c>
      <c r="AA1" s="15" t="s">
        <v>63</v>
      </c>
      <c r="AB1" s="19" t="s">
        <v>648</v>
      </c>
      <c r="AC1" s="15" t="s">
        <v>1350</v>
      </c>
    </row>
    <row r="2" spans="1:29" ht="15" hidden="1" x14ac:dyDescent="0.15">
      <c r="A2" s="26">
        <v>22468227</v>
      </c>
      <c r="B2" s="26">
        <v>1</v>
      </c>
      <c r="C2" s="26" t="s">
        <v>1351</v>
      </c>
      <c r="D2" s="26" t="s">
        <v>1352</v>
      </c>
      <c r="E2" s="26">
        <v>3207716303</v>
      </c>
      <c r="F2" s="26" t="s">
        <v>1353</v>
      </c>
      <c r="G2" s="24" t="s">
        <v>1354</v>
      </c>
      <c r="H2" s="26" t="s">
        <v>1355</v>
      </c>
      <c r="I2" s="24" t="s">
        <v>1356</v>
      </c>
      <c r="J2" s="24" t="s">
        <v>76</v>
      </c>
      <c r="K2" s="24" t="s">
        <v>76</v>
      </c>
      <c r="L2" s="24" t="s">
        <v>72</v>
      </c>
      <c r="M2" s="24" t="s">
        <v>71</v>
      </c>
      <c r="N2" s="24" t="s">
        <v>72</v>
      </c>
      <c r="O2" s="24" t="s">
        <v>72</v>
      </c>
      <c r="P2" s="24" t="s">
        <v>72</v>
      </c>
      <c r="Q2" s="24" t="s">
        <v>72</v>
      </c>
      <c r="R2" s="24" t="s">
        <v>72</v>
      </c>
      <c r="S2" s="24" t="s">
        <v>72</v>
      </c>
      <c r="T2" s="24" t="s">
        <v>72</v>
      </c>
      <c r="U2" s="24" t="s">
        <v>72</v>
      </c>
      <c r="V2" s="24" t="s">
        <v>72</v>
      </c>
      <c r="W2" s="24" t="s">
        <v>72</v>
      </c>
      <c r="X2" s="24" t="s">
        <v>72</v>
      </c>
      <c r="Y2" s="24" t="s">
        <v>72</v>
      </c>
      <c r="Z2" s="24" t="s">
        <v>72</v>
      </c>
      <c r="AA2" s="27" t="s">
        <v>91</v>
      </c>
      <c r="AB2" s="24" t="s">
        <v>1357</v>
      </c>
      <c r="AC2" s="25">
        <v>1</v>
      </c>
    </row>
    <row r="3" spans="1:29" ht="15" hidden="1" x14ac:dyDescent="0.15">
      <c r="A3" s="26">
        <v>72217502</v>
      </c>
      <c r="B3" s="26">
        <v>2</v>
      </c>
      <c r="C3" s="26" t="s">
        <v>1351</v>
      </c>
      <c r="D3" s="26" t="s">
        <v>1358</v>
      </c>
      <c r="E3" s="26">
        <v>3202005608</v>
      </c>
      <c r="F3" s="26" t="s">
        <v>1359</v>
      </c>
      <c r="G3" s="24" t="s">
        <v>1354</v>
      </c>
      <c r="H3" s="26" t="s">
        <v>1355</v>
      </c>
      <c r="I3" s="24" t="s">
        <v>1356</v>
      </c>
      <c r="J3" s="24" t="s">
        <v>76</v>
      </c>
      <c r="K3" s="24" t="s">
        <v>76</v>
      </c>
      <c r="L3" s="24" t="s">
        <v>72</v>
      </c>
      <c r="M3" s="24" t="s">
        <v>71</v>
      </c>
      <c r="N3" s="24" t="s">
        <v>72</v>
      </c>
      <c r="O3" s="24" t="s">
        <v>72</v>
      </c>
      <c r="P3" s="24" t="s">
        <v>72</v>
      </c>
      <c r="Q3" s="24" t="s">
        <v>72</v>
      </c>
      <c r="R3" s="24" t="s">
        <v>72</v>
      </c>
      <c r="S3" s="24" t="s">
        <v>72</v>
      </c>
      <c r="T3" s="24" t="s">
        <v>72</v>
      </c>
      <c r="U3" s="24" t="s">
        <v>72</v>
      </c>
      <c r="V3" s="24" t="s">
        <v>72</v>
      </c>
      <c r="W3" s="24" t="s">
        <v>72</v>
      </c>
      <c r="X3" s="24" t="s">
        <v>72</v>
      </c>
      <c r="Y3" s="24" t="s">
        <v>72</v>
      </c>
      <c r="Z3" s="24" t="s">
        <v>72</v>
      </c>
      <c r="AA3" s="27" t="s">
        <v>91</v>
      </c>
      <c r="AB3" s="24" t="s">
        <v>1360</v>
      </c>
      <c r="AC3" s="25">
        <v>1</v>
      </c>
    </row>
    <row r="4" spans="1:29" ht="15" hidden="1" x14ac:dyDescent="0.15">
      <c r="A4" s="26">
        <v>1007908804</v>
      </c>
      <c r="B4" s="26">
        <v>3</v>
      </c>
      <c r="C4" s="26" t="s">
        <v>1351</v>
      </c>
      <c r="D4" s="26" t="s">
        <v>1361</v>
      </c>
      <c r="E4" s="26">
        <v>3023382832</v>
      </c>
      <c r="F4" s="26" t="s">
        <v>1362</v>
      </c>
      <c r="G4" s="24" t="s">
        <v>1354</v>
      </c>
      <c r="H4" s="26" t="s">
        <v>1355</v>
      </c>
      <c r="I4" s="24" t="s">
        <v>1363</v>
      </c>
      <c r="J4" s="24" t="s">
        <v>76</v>
      </c>
      <c r="K4" s="24" t="s">
        <v>76</v>
      </c>
      <c r="L4" s="24"/>
      <c r="M4" s="24"/>
      <c r="N4" s="24"/>
      <c r="O4" s="24"/>
      <c r="P4" s="24"/>
      <c r="Q4" s="24"/>
      <c r="R4" s="24"/>
      <c r="S4" s="24"/>
      <c r="T4" s="24"/>
      <c r="U4" s="24" t="s">
        <v>72</v>
      </c>
      <c r="V4" s="24" t="s">
        <v>72</v>
      </c>
      <c r="W4" s="24" t="s">
        <v>72</v>
      </c>
      <c r="X4" s="24" t="s">
        <v>72</v>
      </c>
      <c r="Y4" s="24" t="s">
        <v>72</v>
      </c>
      <c r="Z4" s="24" t="s">
        <v>72</v>
      </c>
      <c r="AA4" s="27" t="s">
        <v>77</v>
      </c>
      <c r="AB4" s="24" t="s">
        <v>1364</v>
      </c>
      <c r="AC4" s="25">
        <v>2</v>
      </c>
    </row>
    <row r="5" spans="1:29" ht="15" hidden="1" x14ac:dyDescent="0.15">
      <c r="A5" s="26">
        <v>72261103</v>
      </c>
      <c r="B5" s="26">
        <v>4</v>
      </c>
      <c r="C5" s="26" t="s">
        <v>1351</v>
      </c>
      <c r="D5" s="26" t="s">
        <v>1365</v>
      </c>
      <c r="E5" s="26">
        <v>3214404506</v>
      </c>
      <c r="F5" s="26" t="s">
        <v>1366</v>
      </c>
      <c r="G5" s="24" t="s">
        <v>1354</v>
      </c>
      <c r="H5" s="26" t="s">
        <v>1355</v>
      </c>
      <c r="I5" s="24" t="s">
        <v>1356</v>
      </c>
      <c r="J5" s="24" t="s">
        <v>71</v>
      </c>
      <c r="K5" s="24" t="s">
        <v>71</v>
      </c>
      <c r="L5" s="24" t="s">
        <v>71</v>
      </c>
      <c r="M5" s="24" t="s">
        <v>71</v>
      </c>
      <c r="N5" s="24" t="s">
        <v>71</v>
      </c>
      <c r="O5" s="24" t="s">
        <v>71</v>
      </c>
      <c r="P5" s="24" t="s">
        <v>71</v>
      </c>
      <c r="Q5" s="24" t="s">
        <v>71</v>
      </c>
      <c r="R5" s="24" t="s">
        <v>71</v>
      </c>
      <c r="S5" s="24" t="s">
        <v>71</v>
      </c>
      <c r="T5" s="24" t="s">
        <v>71</v>
      </c>
      <c r="U5" s="24" t="s">
        <v>71</v>
      </c>
      <c r="V5" s="24" t="s">
        <v>71</v>
      </c>
      <c r="W5" s="24" t="s">
        <v>71</v>
      </c>
      <c r="X5" s="24" t="s">
        <v>71</v>
      </c>
      <c r="Y5" s="24" t="s">
        <v>71</v>
      </c>
      <c r="Z5" s="24" t="s">
        <v>71</v>
      </c>
      <c r="AA5" s="27" t="s">
        <v>1367</v>
      </c>
      <c r="AB5" s="24" t="s">
        <v>1368</v>
      </c>
      <c r="AC5" s="25" t="s">
        <v>1367</v>
      </c>
    </row>
    <row r="6" spans="1:29" ht="15" hidden="1" x14ac:dyDescent="0.15">
      <c r="A6" s="26">
        <v>32844160</v>
      </c>
      <c r="B6" s="26">
        <v>5</v>
      </c>
      <c r="C6" s="26" t="s">
        <v>1351</v>
      </c>
      <c r="D6" s="26" t="s">
        <v>1369</v>
      </c>
      <c r="E6" s="26">
        <v>3045342553</v>
      </c>
      <c r="F6" s="26" t="s">
        <v>1370</v>
      </c>
      <c r="G6" s="24" t="s">
        <v>1354</v>
      </c>
      <c r="H6" s="26" t="s">
        <v>1355</v>
      </c>
      <c r="I6" s="24" t="s">
        <v>1363</v>
      </c>
      <c r="J6" s="24" t="s">
        <v>76</v>
      </c>
      <c r="K6" s="24" t="s">
        <v>76</v>
      </c>
      <c r="L6" s="24" t="s">
        <v>71</v>
      </c>
      <c r="M6" s="24" t="s">
        <v>76</v>
      </c>
      <c r="N6" s="24" t="s">
        <v>72</v>
      </c>
      <c r="O6" s="24" t="s">
        <v>72</v>
      </c>
      <c r="P6" s="24" t="s">
        <v>72</v>
      </c>
      <c r="Q6" s="24" t="s">
        <v>71</v>
      </c>
      <c r="R6" s="24" t="s">
        <v>72</v>
      </c>
      <c r="S6" s="24" t="s">
        <v>71</v>
      </c>
      <c r="T6" s="24" t="s">
        <v>72</v>
      </c>
      <c r="U6" s="24" t="s">
        <v>71</v>
      </c>
      <c r="V6" s="24" t="s">
        <v>71</v>
      </c>
      <c r="W6" s="24" t="s">
        <v>71</v>
      </c>
      <c r="X6" s="24" t="s">
        <v>71</v>
      </c>
      <c r="Y6" s="24" t="s">
        <v>76</v>
      </c>
      <c r="Z6" s="24" t="s">
        <v>71</v>
      </c>
      <c r="AA6" s="27" t="s">
        <v>85</v>
      </c>
      <c r="AB6" s="24" t="s">
        <v>1371</v>
      </c>
      <c r="AC6" s="25">
        <v>2</v>
      </c>
    </row>
    <row r="7" spans="1:29" ht="15" hidden="1" x14ac:dyDescent="0.15">
      <c r="A7" s="26">
        <v>1129583301</v>
      </c>
      <c r="B7" s="26">
        <v>6</v>
      </c>
      <c r="C7" s="26" t="s">
        <v>1351</v>
      </c>
      <c r="D7" s="26" t="s">
        <v>1372</v>
      </c>
      <c r="E7" s="26">
        <v>3013129235</v>
      </c>
      <c r="F7" s="26" t="s">
        <v>1373</v>
      </c>
      <c r="G7" s="24" t="s">
        <v>1354</v>
      </c>
      <c r="H7" s="26" t="s">
        <v>1355</v>
      </c>
      <c r="I7" s="24" t="s">
        <v>1363</v>
      </c>
      <c r="J7" s="24" t="s">
        <v>71</v>
      </c>
      <c r="K7" s="24" t="s">
        <v>71</v>
      </c>
      <c r="L7" s="24" t="s">
        <v>71</v>
      </c>
      <c r="M7" s="24" t="s">
        <v>71</v>
      </c>
      <c r="N7" s="24" t="s">
        <v>71</v>
      </c>
      <c r="O7" s="24" t="s">
        <v>71</v>
      </c>
      <c r="P7" s="24" t="s">
        <v>71</v>
      </c>
      <c r="Q7" s="24" t="s">
        <v>71</v>
      </c>
      <c r="R7" s="24" t="s">
        <v>71</v>
      </c>
      <c r="S7" s="24" t="s">
        <v>71</v>
      </c>
      <c r="T7" s="24" t="s">
        <v>71</v>
      </c>
      <c r="U7" s="24" t="s">
        <v>71</v>
      </c>
      <c r="V7" s="24" t="s">
        <v>71</v>
      </c>
      <c r="W7" s="24" t="s">
        <v>71</v>
      </c>
      <c r="X7" s="24" t="s">
        <v>71</v>
      </c>
      <c r="Y7" s="24" t="s">
        <v>71</v>
      </c>
      <c r="Z7" s="24" t="s">
        <v>71</v>
      </c>
      <c r="AA7" s="27" t="s">
        <v>1367</v>
      </c>
      <c r="AB7" s="24" t="s">
        <v>1368</v>
      </c>
      <c r="AC7" s="25" t="s">
        <v>1367</v>
      </c>
    </row>
    <row r="8" spans="1:29" ht="15" hidden="1" x14ac:dyDescent="0.15">
      <c r="A8" s="26">
        <v>32627098</v>
      </c>
      <c r="B8" s="26">
        <v>7</v>
      </c>
      <c r="C8" s="26" t="s">
        <v>1351</v>
      </c>
      <c r="D8" s="26" t="s">
        <v>1374</v>
      </c>
      <c r="E8" s="26">
        <v>3242240135</v>
      </c>
      <c r="F8" s="26" t="s">
        <v>1375</v>
      </c>
      <c r="G8" s="24" t="s">
        <v>1354</v>
      </c>
      <c r="H8" s="26" t="s">
        <v>1355</v>
      </c>
      <c r="I8" s="24" t="s">
        <v>1363</v>
      </c>
      <c r="J8" s="24" t="s">
        <v>71</v>
      </c>
      <c r="K8" s="24" t="s">
        <v>71</v>
      </c>
      <c r="L8" s="24" t="s">
        <v>72</v>
      </c>
      <c r="M8" s="24" t="s">
        <v>71</v>
      </c>
      <c r="N8" s="24" t="s">
        <v>72</v>
      </c>
      <c r="O8" s="24" t="s">
        <v>72</v>
      </c>
      <c r="P8" s="24" t="s">
        <v>72</v>
      </c>
      <c r="Q8" s="24" t="s">
        <v>72</v>
      </c>
      <c r="R8" s="24" t="s">
        <v>72</v>
      </c>
      <c r="S8" s="24" t="s">
        <v>72</v>
      </c>
      <c r="T8" s="24" t="s">
        <v>72</v>
      </c>
      <c r="U8" s="24" t="s">
        <v>72</v>
      </c>
      <c r="V8" s="24" t="s">
        <v>72</v>
      </c>
      <c r="W8" s="24" t="s">
        <v>72</v>
      </c>
      <c r="X8" s="24" t="s">
        <v>72</v>
      </c>
      <c r="Y8" s="24" t="s">
        <v>72</v>
      </c>
      <c r="Z8" s="24" t="s">
        <v>72</v>
      </c>
      <c r="AA8" s="27" t="s">
        <v>80</v>
      </c>
      <c r="AC8" s="25">
        <v>2</v>
      </c>
    </row>
    <row r="9" spans="1:29" ht="15" hidden="1" x14ac:dyDescent="0.15">
      <c r="A9" s="26">
        <v>45465247</v>
      </c>
      <c r="B9" s="26">
        <v>8</v>
      </c>
      <c r="C9" s="26" t="s">
        <v>1351</v>
      </c>
      <c r="D9" s="26" t="s">
        <v>1376</v>
      </c>
      <c r="E9" s="26">
        <v>3022347800</v>
      </c>
      <c r="F9" s="26" t="s">
        <v>1377</v>
      </c>
      <c r="G9" s="24" t="s">
        <v>1354</v>
      </c>
      <c r="H9" s="26" t="s">
        <v>1355</v>
      </c>
      <c r="I9" s="24" t="s">
        <v>1363</v>
      </c>
      <c r="J9" s="24" t="s">
        <v>76</v>
      </c>
      <c r="K9" s="24" t="s">
        <v>76</v>
      </c>
      <c r="L9" s="24" t="s">
        <v>72</v>
      </c>
      <c r="M9" s="24" t="s">
        <v>72</v>
      </c>
      <c r="N9" s="24" t="s">
        <v>72</v>
      </c>
      <c r="O9" s="24" t="s">
        <v>72</v>
      </c>
      <c r="P9" s="24" t="s">
        <v>72</v>
      </c>
      <c r="Q9" s="24" t="s">
        <v>72</v>
      </c>
      <c r="R9" s="24" t="s">
        <v>72</v>
      </c>
      <c r="S9" s="24" t="s">
        <v>72</v>
      </c>
      <c r="T9" s="24" t="s">
        <v>72</v>
      </c>
      <c r="U9" s="24" t="s">
        <v>72</v>
      </c>
      <c r="V9" s="24" t="s">
        <v>72</v>
      </c>
      <c r="W9" s="24" t="s">
        <v>72</v>
      </c>
      <c r="X9" s="24" t="s">
        <v>72</v>
      </c>
      <c r="Y9" s="24" t="s">
        <v>72</v>
      </c>
      <c r="Z9" s="24" t="s">
        <v>72</v>
      </c>
      <c r="AA9" s="27" t="s">
        <v>91</v>
      </c>
      <c r="AC9" s="25">
        <v>1</v>
      </c>
    </row>
    <row r="10" spans="1:29" ht="15" hidden="1" x14ac:dyDescent="0.15">
      <c r="A10" s="26">
        <v>22744065</v>
      </c>
      <c r="B10" s="26">
        <v>9</v>
      </c>
      <c r="C10" s="26" t="s">
        <v>1351</v>
      </c>
      <c r="D10" s="26" t="s">
        <v>1378</v>
      </c>
      <c r="E10" s="26">
        <v>3004361322</v>
      </c>
      <c r="F10" s="26" t="s">
        <v>1379</v>
      </c>
      <c r="G10" s="24" t="s">
        <v>1354</v>
      </c>
      <c r="H10" s="26" t="s">
        <v>1355</v>
      </c>
      <c r="I10" s="24" t="s">
        <v>1356</v>
      </c>
      <c r="J10" s="24" t="s">
        <v>76</v>
      </c>
      <c r="K10" s="24" t="s">
        <v>76</v>
      </c>
      <c r="L10" s="24" t="s">
        <v>71</v>
      </c>
      <c r="M10" s="24" t="s">
        <v>71</v>
      </c>
      <c r="N10" s="24" t="s">
        <v>71</v>
      </c>
      <c r="O10" s="24" t="s">
        <v>71</v>
      </c>
      <c r="P10" s="24" t="s">
        <v>71</v>
      </c>
      <c r="Q10" s="24" t="s">
        <v>71</v>
      </c>
      <c r="R10" s="24" t="s">
        <v>71</v>
      </c>
      <c r="S10" s="24" t="s">
        <v>71</v>
      </c>
      <c r="T10" s="24" t="s">
        <v>71</v>
      </c>
      <c r="U10" s="24" t="s">
        <v>72</v>
      </c>
      <c r="V10" s="24" t="s">
        <v>72</v>
      </c>
      <c r="W10" s="24" t="s">
        <v>72</v>
      </c>
      <c r="X10" s="24" t="s">
        <v>72</v>
      </c>
      <c r="Y10" s="24" t="s">
        <v>72</v>
      </c>
      <c r="Z10" s="24" t="s">
        <v>72</v>
      </c>
      <c r="AA10" s="27" t="s">
        <v>77</v>
      </c>
      <c r="AC10" s="25">
        <v>2</v>
      </c>
    </row>
    <row r="11" spans="1:29" ht="15" hidden="1" x14ac:dyDescent="0.15">
      <c r="A11" s="26">
        <v>32740279</v>
      </c>
      <c r="B11" s="26">
        <v>10</v>
      </c>
      <c r="C11" s="26" t="s">
        <v>1351</v>
      </c>
      <c r="D11" s="26" t="s">
        <v>1380</v>
      </c>
      <c r="E11" s="26">
        <v>3045648375</v>
      </c>
      <c r="F11" s="26" t="s">
        <v>1381</v>
      </c>
      <c r="G11" s="24" t="s">
        <v>1354</v>
      </c>
      <c r="H11" s="26" t="s">
        <v>1355</v>
      </c>
      <c r="I11" s="24" t="s">
        <v>1363</v>
      </c>
      <c r="J11" s="24" t="s">
        <v>76</v>
      </c>
      <c r="K11" s="24" t="s">
        <v>76</v>
      </c>
      <c r="L11" s="24" t="s">
        <v>71</v>
      </c>
      <c r="M11" s="24" t="s">
        <v>71</v>
      </c>
      <c r="N11" s="24" t="s">
        <v>72</v>
      </c>
      <c r="O11" s="24" t="s">
        <v>72</v>
      </c>
      <c r="P11" s="24" t="s">
        <v>72</v>
      </c>
      <c r="Q11" s="24" t="s">
        <v>71</v>
      </c>
      <c r="R11" s="24" t="s">
        <v>72</v>
      </c>
      <c r="S11" s="24" t="s">
        <v>72</v>
      </c>
      <c r="T11" s="24" t="s">
        <v>72</v>
      </c>
      <c r="U11" s="24" t="s">
        <v>72</v>
      </c>
      <c r="V11" s="24" t="s">
        <v>72</v>
      </c>
      <c r="W11" s="24" t="s">
        <v>72</v>
      </c>
      <c r="X11" s="24" t="s">
        <v>72</v>
      </c>
      <c r="Y11" s="24" t="s">
        <v>72</v>
      </c>
      <c r="Z11" s="24" t="s">
        <v>72</v>
      </c>
      <c r="AA11" s="27" t="s">
        <v>91</v>
      </c>
      <c r="AC11" s="25">
        <v>1</v>
      </c>
    </row>
    <row r="12" spans="1:29" ht="15" hidden="1" x14ac:dyDescent="0.15">
      <c r="A12" s="26">
        <v>1129519478</v>
      </c>
      <c r="B12" s="26">
        <v>11</v>
      </c>
      <c r="C12" s="26" t="s">
        <v>1351</v>
      </c>
      <c r="D12" s="26" t="s">
        <v>1382</v>
      </c>
      <c r="E12" s="26">
        <v>30236665031</v>
      </c>
      <c r="F12" s="26" t="s">
        <v>1383</v>
      </c>
      <c r="G12" s="24" t="s">
        <v>1354</v>
      </c>
      <c r="H12" s="26" t="s">
        <v>1355</v>
      </c>
      <c r="I12" s="24" t="s">
        <v>1363</v>
      </c>
      <c r="J12" s="24" t="s">
        <v>71</v>
      </c>
      <c r="K12" s="24" t="s">
        <v>71</v>
      </c>
      <c r="L12" s="24" t="s">
        <v>71</v>
      </c>
      <c r="M12" s="24" t="s">
        <v>71</v>
      </c>
      <c r="N12" s="24" t="s">
        <v>72</v>
      </c>
      <c r="O12" s="24" t="s">
        <v>72</v>
      </c>
      <c r="P12" s="24" t="s">
        <v>72</v>
      </c>
      <c r="Q12" s="24" t="s">
        <v>71</v>
      </c>
      <c r="R12" s="24" t="s">
        <v>72</v>
      </c>
      <c r="S12" s="24" t="s">
        <v>72</v>
      </c>
      <c r="T12" s="24" t="s">
        <v>72</v>
      </c>
      <c r="U12" s="24" t="s">
        <v>72</v>
      </c>
      <c r="V12" s="24" t="s">
        <v>72</v>
      </c>
      <c r="W12" s="24" t="s">
        <v>72</v>
      </c>
      <c r="X12" s="24" t="s">
        <v>72</v>
      </c>
      <c r="Y12" s="24" t="s">
        <v>72</v>
      </c>
      <c r="Z12" s="24" t="s">
        <v>72</v>
      </c>
      <c r="AA12" s="27" t="s">
        <v>80</v>
      </c>
      <c r="AC12" s="25">
        <v>2</v>
      </c>
    </row>
    <row r="13" spans="1:29" ht="15" hidden="1" x14ac:dyDescent="0.15">
      <c r="A13" s="26">
        <v>32776499</v>
      </c>
      <c r="B13" s="26">
        <v>12</v>
      </c>
      <c r="C13" s="26" t="s">
        <v>1351</v>
      </c>
      <c r="D13" s="26" t="s">
        <v>1384</v>
      </c>
      <c r="E13" s="26">
        <v>3216960481</v>
      </c>
      <c r="F13" s="26" t="s">
        <v>1385</v>
      </c>
      <c r="G13" s="24" t="s">
        <v>1354</v>
      </c>
      <c r="H13" s="26" t="s">
        <v>1355</v>
      </c>
      <c r="I13" s="24" t="s">
        <v>1363</v>
      </c>
      <c r="J13" s="24" t="s">
        <v>71</v>
      </c>
      <c r="K13" s="24" t="s">
        <v>71</v>
      </c>
      <c r="L13" s="24" t="s">
        <v>71</v>
      </c>
      <c r="M13" s="24" t="s">
        <v>71</v>
      </c>
      <c r="N13" s="24" t="s">
        <v>71</v>
      </c>
      <c r="O13" s="24" t="s">
        <v>71</v>
      </c>
      <c r="P13" s="24" t="s">
        <v>71</v>
      </c>
      <c r="Q13" s="24" t="s">
        <v>71</v>
      </c>
      <c r="R13" s="24" t="s">
        <v>71</v>
      </c>
      <c r="S13" s="24" t="s">
        <v>71</v>
      </c>
      <c r="T13" s="24" t="s">
        <v>71</v>
      </c>
      <c r="U13" s="24" t="s">
        <v>71</v>
      </c>
      <c r="V13" s="24" t="s">
        <v>71</v>
      </c>
      <c r="W13" s="24" t="s">
        <v>71</v>
      </c>
      <c r="X13" s="24" t="s">
        <v>71</v>
      </c>
      <c r="Y13" s="24" t="s">
        <v>71</v>
      </c>
      <c r="Z13" s="24" t="s">
        <v>71</v>
      </c>
      <c r="AA13" s="27" t="s">
        <v>1367</v>
      </c>
      <c r="AB13" s="24" t="s">
        <v>1368</v>
      </c>
      <c r="AC13" s="25" t="s">
        <v>1367</v>
      </c>
    </row>
    <row r="14" spans="1:29" ht="15" hidden="1" x14ac:dyDescent="0.15">
      <c r="A14" s="26">
        <v>1143429421</v>
      </c>
      <c r="B14" s="26">
        <v>13</v>
      </c>
      <c r="C14" s="26" t="s">
        <v>1351</v>
      </c>
      <c r="D14" s="26" t="s">
        <v>1386</v>
      </c>
      <c r="E14" s="26">
        <v>3023514882</v>
      </c>
      <c r="F14" s="26" t="s">
        <v>1387</v>
      </c>
      <c r="G14" s="24" t="s">
        <v>1354</v>
      </c>
      <c r="H14" s="26" t="s">
        <v>1355</v>
      </c>
      <c r="I14" s="24" t="s">
        <v>1363</v>
      </c>
      <c r="J14" s="24" t="s">
        <v>76</v>
      </c>
      <c r="K14" s="24" t="s">
        <v>76</v>
      </c>
      <c r="L14" s="24" t="s">
        <v>71</v>
      </c>
      <c r="M14" s="24" t="s">
        <v>71</v>
      </c>
      <c r="N14" s="24" t="s">
        <v>72</v>
      </c>
      <c r="O14" s="24" t="s">
        <v>72</v>
      </c>
      <c r="P14" s="24" t="s">
        <v>72</v>
      </c>
      <c r="Q14" s="24" t="s">
        <v>71</v>
      </c>
      <c r="R14" s="24" t="s">
        <v>72</v>
      </c>
      <c r="S14" s="24" t="s">
        <v>72</v>
      </c>
      <c r="T14" s="24" t="s">
        <v>72</v>
      </c>
      <c r="U14" s="24" t="s">
        <v>72</v>
      </c>
      <c r="V14" s="24" t="s">
        <v>72</v>
      </c>
      <c r="W14" s="24" t="s">
        <v>72</v>
      </c>
      <c r="X14" s="24" t="s">
        <v>72</v>
      </c>
      <c r="Y14" s="24" t="s">
        <v>72</v>
      </c>
      <c r="Z14" s="24" t="s">
        <v>72</v>
      </c>
      <c r="AA14" s="27" t="s">
        <v>91</v>
      </c>
      <c r="AC14" s="25">
        <v>2</v>
      </c>
    </row>
    <row r="15" spans="1:29" ht="15" hidden="1" x14ac:dyDescent="0.15">
      <c r="A15" s="26">
        <v>1002022185</v>
      </c>
      <c r="B15" s="26">
        <v>14</v>
      </c>
      <c r="C15" s="26" t="s">
        <v>1351</v>
      </c>
      <c r="D15" s="26" t="s">
        <v>1388</v>
      </c>
      <c r="E15" s="26"/>
      <c r="F15" s="26" t="s">
        <v>1389</v>
      </c>
      <c r="G15" s="24" t="s">
        <v>1354</v>
      </c>
      <c r="H15" s="26" t="s">
        <v>1355</v>
      </c>
      <c r="I15" s="24" t="s">
        <v>1356</v>
      </c>
      <c r="J15" s="24" t="s">
        <v>76</v>
      </c>
      <c r="K15" s="24" t="s">
        <v>76</v>
      </c>
      <c r="L15" s="24" t="s">
        <v>72</v>
      </c>
      <c r="M15" s="24" t="s">
        <v>71</v>
      </c>
      <c r="N15" s="24" t="s">
        <v>72</v>
      </c>
      <c r="O15" s="24" t="s">
        <v>72</v>
      </c>
      <c r="P15" s="24" t="s">
        <v>72</v>
      </c>
      <c r="Q15" s="24" t="s">
        <v>72</v>
      </c>
      <c r="R15" s="24" t="s">
        <v>72</v>
      </c>
      <c r="S15" s="24" t="s">
        <v>72</v>
      </c>
      <c r="T15" s="24" t="s">
        <v>72</v>
      </c>
      <c r="U15" s="24" t="s">
        <v>72</v>
      </c>
      <c r="V15" s="24" t="s">
        <v>72</v>
      </c>
      <c r="W15" s="24" t="s">
        <v>72</v>
      </c>
      <c r="X15" s="24" t="s">
        <v>72</v>
      </c>
      <c r="Y15" s="24" t="s">
        <v>72</v>
      </c>
      <c r="Z15" s="24" t="s">
        <v>72</v>
      </c>
      <c r="AA15" s="27" t="s">
        <v>91</v>
      </c>
      <c r="AC15" s="25">
        <v>1</v>
      </c>
    </row>
    <row r="16" spans="1:29" ht="15" hidden="1" x14ac:dyDescent="0.15">
      <c r="A16" s="26">
        <v>72175816</v>
      </c>
      <c r="B16" s="26">
        <v>15</v>
      </c>
      <c r="C16" s="26" t="s">
        <v>1351</v>
      </c>
      <c r="D16" s="26" t="s">
        <v>1390</v>
      </c>
      <c r="E16" s="26">
        <v>3106769791</v>
      </c>
      <c r="F16" s="26" t="s">
        <v>1391</v>
      </c>
      <c r="G16" s="24" t="s">
        <v>1354</v>
      </c>
      <c r="H16" s="26" t="s">
        <v>1355</v>
      </c>
      <c r="I16" s="24" t="s">
        <v>1356</v>
      </c>
      <c r="J16" s="24" t="s">
        <v>71</v>
      </c>
      <c r="K16" s="24" t="s">
        <v>71</v>
      </c>
      <c r="L16" s="24" t="s">
        <v>71</v>
      </c>
      <c r="M16" s="24" t="s">
        <v>71</v>
      </c>
      <c r="N16" s="24" t="s">
        <v>71</v>
      </c>
      <c r="O16" s="24" t="s">
        <v>71</v>
      </c>
      <c r="P16" s="24" t="s">
        <v>71</v>
      </c>
      <c r="Q16" s="24" t="s">
        <v>71</v>
      </c>
      <c r="R16" s="24" t="s">
        <v>71</v>
      </c>
      <c r="S16" s="24" t="s">
        <v>71</v>
      </c>
      <c r="T16" s="24" t="s">
        <v>71</v>
      </c>
      <c r="U16" s="24" t="s">
        <v>71</v>
      </c>
      <c r="V16" s="24" t="s">
        <v>71</v>
      </c>
      <c r="W16" s="24" t="s">
        <v>71</v>
      </c>
      <c r="X16" s="24" t="s">
        <v>71</v>
      </c>
      <c r="Y16" s="24" t="s">
        <v>71</v>
      </c>
      <c r="Z16" s="24" t="s">
        <v>71</v>
      </c>
      <c r="AA16" s="27" t="s">
        <v>1367</v>
      </c>
      <c r="AB16" s="24" t="s">
        <v>1368</v>
      </c>
      <c r="AC16" s="25" t="s">
        <v>1367</v>
      </c>
    </row>
    <row r="17" spans="1:29" ht="15" hidden="1" x14ac:dyDescent="0.15">
      <c r="A17" s="26">
        <v>72167042</v>
      </c>
      <c r="B17" s="26">
        <v>16</v>
      </c>
      <c r="C17" s="26" t="s">
        <v>1351</v>
      </c>
      <c r="D17" s="26" t="s">
        <v>1392</v>
      </c>
      <c r="E17" s="26">
        <v>3003439856</v>
      </c>
      <c r="F17" s="26" t="s">
        <v>1393</v>
      </c>
      <c r="G17" s="24" t="s">
        <v>1354</v>
      </c>
      <c r="H17" s="26" t="s">
        <v>1355</v>
      </c>
      <c r="I17" s="24" t="s">
        <v>1363</v>
      </c>
      <c r="J17" s="24" t="s">
        <v>71</v>
      </c>
      <c r="K17" s="24" t="s">
        <v>71</v>
      </c>
      <c r="L17" s="24" t="s">
        <v>72</v>
      </c>
      <c r="M17" s="24" t="s">
        <v>72</v>
      </c>
      <c r="N17" s="24" t="s">
        <v>72</v>
      </c>
      <c r="O17" s="24" t="s">
        <v>72</v>
      </c>
      <c r="P17" s="24" t="s">
        <v>72</v>
      </c>
      <c r="Q17" s="24" t="s">
        <v>72</v>
      </c>
      <c r="R17" s="24" t="s">
        <v>72</v>
      </c>
      <c r="S17" s="24" t="s">
        <v>72</v>
      </c>
      <c r="T17" s="24" t="s">
        <v>72</v>
      </c>
      <c r="U17" s="24" t="s">
        <v>71</v>
      </c>
      <c r="V17" s="24" t="s">
        <v>72</v>
      </c>
      <c r="W17" s="24" t="s">
        <v>72</v>
      </c>
      <c r="X17" s="24" t="s">
        <v>71</v>
      </c>
      <c r="Y17" s="24" t="s">
        <v>72</v>
      </c>
      <c r="Z17" s="24" t="s">
        <v>71</v>
      </c>
      <c r="AA17" s="27" t="s">
        <v>80</v>
      </c>
      <c r="AC17" s="25">
        <v>2</v>
      </c>
    </row>
    <row r="18" spans="1:29" ht="15" hidden="1" x14ac:dyDescent="0.15">
      <c r="A18" s="26">
        <v>72127034</v>
      </c>
      <c r="B18" s="26">
        <v>17</v>
      </c>
      <c r="C18" s="26" t="s">
        <v>1351</v>
      </c>
      <c r="D18" s="26" t="s">
        <v>1394</v>
      </c>
      <c r="E18" s="26">
        <v>3122602774</v>
      </c>
      <c r="F18" s="26" t="s">
        <v>1395</v>
      </c>
      <c r="G18" s="24" t="s">
        <v>1354</v>
      </c>
      <c r="H18" s="26" t="s">
        <v>1355</v>
      </c>
      <c r="I18" s="24" t="s">
        <v>1363</v>
      </c>
      <c r="J18" s="24" t="s">
        <v>71</v>
      </c>
      <c r="K18" s="24" t="s">
        <v>71</v>
      </c>
      <c r="L18" s="24" t="s">
        <v>71</v>
      </c>
      <c r="M18" s="24" t="s">
        <v>71</v>
      </c>
      <c r="N18" s="24" t="s">
        <v>71</v>
      </c>
      <c r="O18" s="24" t="s">
        <v>71</v>
      </c>
      <c r="P18" s="24" t="s">
        <v>71</v>
      </c>
      <c r="Q18" s="24" t="s">
        <v>71</v>
      </c>
      <c r="R18" s="24" t="s">
        <v>71</v>
      </c>
      <c r="S18" s="24" t="s">
        <v>71</v>
      </c>
      <c r="T18" s="24" t="s">
        <v>71</v>
      </c>
      <c r="U18" s="24" t="s">
        <v>71</v>
      </c>
      <c r="V18" s="24" t="s">
        <v>71</v>
      </c>
      <c r="W18" s="24" t="s">
        <v>71</v>
      </c>
      <c r="X18" s="24" t="s">
        <v>71</v>
      </c>
      <c r="Y18" s="24" t="s">
        <v>71</v>
      </c>
      <c r="Z18" s="24" t="s">
        <v>71</v>
      </c>
      <c r="AA18" s="27" t="s">
        <v>1367</v>
      </c>
      <c r="AB18" s="24" t="s">
        <v>1368</v>
      </c>
      <c r="AC18" s="25" t="s">
        <v>1367</v>
      </c>
    </row>
    <row r="19" spans="1:29" ht="15" hidden="1" x14ac:dyDescent="0.15">
      <c r="A19" s="26">
        <v>22317957</v>
      </c>
      <c r="B19" s="26">
        <v>18</v>
      </c>
      <c r="C19" s="26" t="s">
        <v>1351</v>
      </c>
      <c r="D19" s="26" t="s">
        <v>1396</v>
      </c>
      <c r="E19" s="26">
        <v>3187768684</v>
      </c>
      <c r="F19" s="26" t="s">
        <v>1397</v>
      </c>
      <c r="G19" s="24" t="s">
        <v>1354</v>
      </c>
      <c r="H19" s="26" t="s">
        <v>1355</v>
      </c>
      <c r="I19" s="24" t="s">
        <v>1356</v>
      </c>
      <c r="J19" s="24" t="s">
        <v>71</v>
      </c>
      <c r="K19" s="24" t="s">
        <v>71</v>
      </c>
      <c r="L19" s="24" t="s">
        <v>71</v>
      </c>
      <c r="M19" s="24" t="s">
        <v>71</v>
      </c>
      <c r="N19" s="24" t="s">
        <v>71</v>
      </c>
      <c r="O19" s="24" t="s">
        <v>71</v>
      </c>
      <c r="P19" s="24" t="s">
        <v>71</v>
      </c>
      <c r="Q19" s="24" t="s">
        <v>71</v>
      </c>
      <c r="R19" s="24" t="s">
        <v>71</v>
      </c>
      <c r="S19" s="24" t="s">
        <v>71</v>
      </c>
      <c r="T19" s="24" t="s">
        <v>71</v>
      </c>
      <c r="U19" s="24" t="s">
        <v>71</v>
      </c>
      <c r="V19" s="24" t="s">
        <v>71</v>
      </c>
      <c r="W19" s="24" t="s">
        <v>71</v>
      </c>
      <c r="X19" s="24" t="s">
        <v>71</v>
      </c>
      <c r="Y19" s="24" t="s">
        <v>71</v>
      </c>
      <c r="Z19" s="24" t="s">
        <v>71</v>
      </c>
      <c r="AA19" s="27" t="s">
        <v>1367</v>
      </c>
      <c r="AB19" s="24" t="s">
        <v>1368</v>
      </c>
      <c r="AC19" s="25" t="s">
        <v>1367</v>
      </c>
    </row>
    <row r="20" spans="1:29" ht="15" hidden="1" x14ac:dyDescent="0.15">
      <c r="A20" s="26">
        <v>32694457</v>
      </c>
      <c r="B20" s="26">
        <v>19</v>
      </c>
      <c r="C20" s="26" t="s">
        <v>1351</v>
      </c>
      <c r="D20" s="26" t="s">
        <v>1398</v>
      </c>
      <c r="E20" s="26">
        <v>3007321559</v>
      </c>
      <c r="F20" s="26" t="s">
        <v>1399</v>
      </c>
      <c r="G20" s="24" t="s">
        <v>1354</v>
      </c>
      <c r="H20" s="26" t="s">
        <v>1355</v>
      </c>
      <c r="I20" s="24" t="s">
        <v>1356</v>
      </c>
      <c r="J20" s="24" t="s">
        <v>71</v>
      </c>
      <c r="K20" s="24" t="s">
        <v>71</v>
      </c>
      <c r="L20" s="24" t="s">
        <v>71</v>
      </c>
      <c r="M20" s="24" t="s">
        <v>71</v>
      </c>
      <c r="N20" s="24" t="s">
        <v>71</v>
      </c>
      <c r="O20" s="24" t="s">
        <v>71</v>
      </c>
      <c r="P20" s="24" t="s">
        <v>71</v>
      </c>
      <c r="Q20" s="24" t="s">
        <v>71</v>
      </c>
      <c r="R20" s="24" t="s">
        <v>71</v>
      </c>
      <c r="S20" s="24" t="s">
        <v>71</v>
      </c>
      <c r="T20" s="24" t="s">
        <v>71</v>
      </c>
      <c r="U20" s="24" t="s">
        <v>71</v>
      </c>
      <c r="V20" s="24" t="s">
        <v>71</v>
      </c>
      <c r="W20" s="24" t="s">
        <v>71</v>
      </c>
      <c r="X20" s="24" t="s">
        <v>71</v>
      </c>
      <c r="Y20" s="24" t="s">
        <v>71</v>
      </c>
      <c r="Z20" s="24" t="s">
        <v>71</v>
      </c>
      <c r="AA20" s="27" t="s">
        <v>1367</v>
      </c>
      <c r="AB20" s="24" t="s">
        <v>1400</v>
      </c>
      <c r="AC20" s="25" t="s">
        <v>1367</v>
      </c>
    </row>
    <row r="21" spans="1:29" ht="15" hidden="1" x14ac:dyDescent="0.15">
      <c r="A21" s="26">
        <v>32876516</v>
      </c>
      <c r="B21" s="26">
        <v>20</v>
      </c>
      <c r="C21" s="26" t="s">
        <v>1351</v>
      </c>
      <c r="D21" s="26" t="s">
        <v>1401</v>
      </c>
      <c r="E21" s="26">
        <v>3006291492</v>
      </c>
      <c r="F21" s="26" t="s">
        <v>1402</v>
      </c>
      <c r="G21" s="24" t="s">
        <v>1354</v>
      </c>
      <c r="H21" s="26" t="s">
        <v>1355</v>
      </c>
      <c r="I21" s="24" t="s">
        <v>1363</v>
      </c>
      <c r="J21" s="24" t="s">
        <v>76</v>
      </c>
      <c r="K21" s="24" t="s">
        <v>76</v>
      </c>
      <c r="L21" s="24" t="s">
        <v>72</v>
      </c>
      <c r="M21" s="24" t="s">
        <v>71</v>
      </c>
      <c r="N21" s="24" t="s">
        <v>72</v>
      </c>
      <c r="O21" s="24" t="s">
        <v>72</v>
      </c>
      <c r="P21" s="24" t="s">
        <v>72</v>
      </c>
      <c r="Q21" s="24" t="s">
        <v>72</v>
      </c>
      <c r="R21" s="24" t="s">
        <v>72</v>
      </c>
      <c r="S21" s="24" t="s">
        <v>72</v>
      </c>
      <c r="T21" s="24" t="s">
        <v>72</v>
      </c>
      <c r="U21" s="24" t="s">
        <v>72</v>
      </c>
      <c r="V21" s="24" t="s">
        <v>72</v>
      </c>
      <c r="W21" s="24" t="s">
        <v>72</v>
      </c>
      <c r="X21" s="24" t="s">
        <v>72</v>
      </c>
      <c r="Y21" s="24" t="s">
        <v>72</v>
      </c>
      <c r="Z21" s="24" t="s">
        <v>72</v>
      </c>
      <c r="AA21" s="27" t="s">
        <v>91</v>
      </c>
      <c r="AC21" s="25">
        <v>1</v>
      </c>
    </row>
    <row r="22" spans="1:29" ht="15" hidden="1" x14ac:dyDescent="0.15">
      <c r="A22" s="26">
        <v>8696703</v>
      </c>
      <c r="B22" s="26">
        <v>21</v>
      </c>
      <c r="C22" s="26" t="s">
        <v>1351</v>
      </c>
      <c r="D22" s="26" t="s">
        <v>1403</v>
      </c>
      <c r="E22" s="26">
        <v>3002701455</v>
      </c>
      <c r="F22" s="26" t="s">
        <v>1404</v>
      </c>
      <c r="G22" s="24" t="s">
        <v>1354</v>
      </c>
      <c r="H22" s="26" t="s">
        <v>1355</v>
      </c>
      <c r="I22" s="24" t="s">
        <v>1363</v>
      </c>
      <c r="J22" s="24" t="s">
        <v>76</v>
      </c>
      <c r="K22" s="24" t="s">
        <v>76</v>
      </c>
      <c r="L22" s="24" t="s">
        <v>72</v>
      </c>
      <c r="M22" s="24" t="s">
        <v>71</v>
      </c>
      <c r="N22" s="24" t="s">
        <v>72</v>
      </c>
      <c r="O22" s="24" t="s">
        <v>72</v>
      </c>
      <c r="P22" s="24" t="s">
        <v>72</v>
      </c>
      <c r="Q22" s="24" t="s">
        <v>72</v>
      </c>
      <c r="R22" s="24" t="s">
        <v>72</v>
      </c>
      <c r="S22" s="24" t="s">
        <v>72</v>
      </c>
      <c r="T22" s="24" t="s">
        <v>72</v>
      </c>
      <c r="U22" s="24" t="s">
        <v>72</v>
      </c>
      <c r="V22" s="24" t="s">
        <v>72</v>
      </c>
      <c r="W22" s="24" t="s">
        <v>72</v>
      </c>
      <c r="X22" s="24" t="s">
        <v>72</v>
      </c>
      <c r="Y22" s="24" t="s">
        <v>72</v>
      </c>
      <c r="Z22" s="24" t="s">
        <v>72</v>
      </c>
      <c r="AA22" s="27" t="s">
        <v>91</v>
      </c>
      <c r="AC22" s="25">
        <v>1</v>
      </c>
    </row>
    <row r="23" spans="1:29" ht="15" hidden="1" x14ac:dyDescent="0.15">
      <c r="A23" s="26">
        <v>30855437</v>
      </c>
      <c r="B23" s="26">
        <v>22</v>
      </c>
      <c r="C23" s="26" t="s">
        <v>1351</v>
      </c>
      <c r="D23" s="26" t="s">
        <v>1405</v>
      </c>
      <c r="E23" s="26">
        <v>3106853011</v>
      </c>
      <c r="F23" s="26" t="s">
        <v>1406</v>
      </c>
      <c r="G23" s="24" t="s">
        <v>1354</v>
      </c>
      <c r="H23" s="26" t="s">
        <v>1355</v>
      </c>
      <c r="I23" s="24" t="s">
        <v>1363</v>
      </c>
      <c r="J23" s="24" t="s">
        <v>71</v>
      </c>
      <c r="K23" s="24" t="s">
        <v>71</v>
      </c>
      <c r="L23" s="24" t="s">
        <v>72</v>
      </c>
      <c r="M23" s="24" t="s">
        <v>76</v>
      </c>
      <c r="N23" s="24" t="s">
        <v>72</v>
      </c>
      <c r="O23" s="24" t="s">
        <v>72</v>
      </c>
      <c r="P23" s="24" t="s">
        <v>72</v>
      </c>
      <c r="Q23" s="24" t="s">
        <v>72</v>
      </c>
      <c r="R23" s="24" t="s">
        <v>72</v>
      </c>
      <c r="S23" s="24" t="s">
        <v>72</v>
      </c>
      <c r="T23" s="24" t="s">
        <v>72</v>
      </c>
      <c r="U23" s="24" t="s">
        <v>72</v>
      </c>
      <c r="V23" s="24" t="s">
        <v>72</v>
      </c>
      <c r="W23" s="24" t="s">
        <v>72</v>
      </c>
      <c r="X23" s="24" t="s">
        <v>72</v>
      </c>
      <c r="Y23" s="24" t="s">
        <v>72</v>
      </c>
      <c r="Z23" s="24" t="s">
        <v>72</v>
      </c>
      <c r="AA23" s="27" t="s">
        <v>80</v>
      </c>
      <c r="AC23" s="25">
        <v>1</v>
      </c>
    </row>
    <row r="24" spans="1:29" ht="15" hidden="1" x14ac:dyDescent="0.15">
      <c r="A24" s="26">
        <v>72264710</v>
      </c>
      <c r="B24" s="26">
        <v>23</v>
      </c>
      <c r="C24" s="26" t="s">
        <v>1351</v>
      </c>
      <c r="D24" s="26" t="s">
        <v>1407</v>
      </c>
      <c r="E24" s="26">
        <v>324331667</v>
      </c>
      <c r="F24" s="26" t="s">
        <v>1408</v>
      </c>
      <c r="G24" s="24" t="s">
        <v>1354</v>
      </c>
      <c r="H24" s="26" t="s">
        <v>1355</v>
      </c>
      <c r="I24" s="24" t="s">
        <v>1356</v>
      </c>
      <c r="J24" s="24" t="s">
        <v>76</v>
      </c>
      <c r="K24" s="24" t="s">
        <v>76</v>
      </c>
      <c r="L24" s="24" t="s">
        <v>72</v>
      </c>
      <c r="M24" s="24" t="s">
        <v>76</v>
      </c>
      <c r="N24" s="24" t="s">
        <v>72</v>
      </c>
      <c r="O24" s="24" t="s">
        <v>72</v>
      </c>
      <c r="P24" s="24" t="s">
        <v>72</v>
      </c>
      <c r="Q24" s="24" t="s">
        <v>72</v>
      </c>
      <c r="R24" s="24" t="s">
        <v>72</v>
      </c>
      <c r="S24" s="24" t="s">
        <v>72</v>
      </c>
      <c r="T24" s="24" t="s">
        <v>72</v>
      </c>
      <c r="U24" s="24" t="s">
        <v>72</v>
      </c>
      <c r="V24" s="24" t="s">
        <v>72</v>
      </c>
      <c r="W24" s="24" t="s">
        <v>72</v>
      </c>
      <c r="X24" s="24" t="s">
        <v>72</v>
      </c>
      <c r="Y24" s="24" t="s">
        <v>72</v>
      </c>
      <c r="Z24" s="24" t="s">
        <v>72</v>
      </c>
      <c r="AA24" s="27" t="s">
        <v>91</v>
      </c>
      <c r="AB24" s="24" t="s">
        <v>1360</v>
      </c>
      <c r="AC24" s="25">
        <v>1</v>
      </c>
    </row>
    <row r="25" spans="1:29" ht="15" hidden="1" x14ac:dyDescent="0.15">
      <c r="A25" s="26">
        <v>32689210</v>
      </c>
      <c r="B25" s="26">
        <v>24</v>
      </c>
      <c r="C25" s="26" t="s">
        <v>1351</v>
      </c>
      <c r="D25" s="26" t="s">
        <v>1409</v>
      </c>
      <c r="E25" s="26">
        <v>3113761431</v>
      </c>
      <c r="F25" s="26" t="s">
        <v>1410</v>
      </c>
      <c r="G25" s="24" t="s">
        <v>1354</v>
      </c>
      <c r="H25" s="26" t="s">
        <v>1355</v>
      </c>
      <c r="I25" s="24" t="s">
        <v>1363</v>
      </c>
      <c r="J25" s="24" t="s">
        <v>71</v>
      </c>
      <c r="K25" s="24" t="s">
        <v>71</v>
      </c>
      <c r="L25" s="24" t="s">
        <v>71</v>
      </c>
      <c r="M25" s="24" t="s">
        <v>71</v>
      </c>
      <c r="N25" s="24" t="s">
        <v>71</v>
      </c>
      <c r="O25" s="24" t="s">
        <v>71</v>
      </c>
      <c r="P25" s="24" t="s">
        <v>71</v>
      </c>
      <c r="Q25" s="24" t="s">
        <v>71</v>
      </c>
      <c r="R25" s="24" t="s">
        <v>71</v>
      </c>
      <c r="S25" s="24" t="s">
        <v>71</v>
      </c>
      <c r="T25" s="24" t="s">
        <v>71</v>
      </c>
      <c r="U25" s="24" t="s">
        <v>72</v>
      </c>
      <c r="V25" s="24" t="s">
        <v>72</v>
      </c>
      <c r="W25" s="24" t="s">
        <v>72</v>
      </c>
      <c r="X25" s="24" t="s">
        <v>72</v>
      </c>
      <c r="Y25" s="24" t="s">
        <v>72</v>
      </c>
      <c r="Z25" s="24" t="s">
        <v>72</v>
      </c>
      <c r="AA25" s="27" t="s">
        <v>179</v>
      </c>
      <c r="AC25" s="25">
        <v>3</v>
      </c>
    </row>
    <row r="26" spans="1:29" ht="15" hidden="1" x14ac:dyDescent="0.15">
      <c r="A26" s="26">
        <v>32766429</v>
      </c>
      <c r="B26" s="26">
        <v>25</v>
      </c>
      <c r="C26" s="26" t="s">
        <v>1351</v>
      </c>
      <c r="D26" s="26" t="s">
        <v>1411</v>
      </c>
      <c r="E26" s="26">
        <v>3009707722</v>
      </c>
      <c r="F26" s="26" t="s">
        <v>1412</v>
      </c>
      <c r="G26" s="24" t="s">
        <v>1354</v>
      </c>
      <c r="H26" s="26" t="s">
        <v>1355</v>
      </c>
      <c r="I26" s="24" t="s">
        <v>1356</v>
      </c>
      <c r="J26" s="24" t="s">
        <v>71</v>
      </c>
      <c r="K26" s="24" t="s">
        <v>71</v>
      </c>
      <c r="L26" s="24" t="s">
        <v>72</v>
      </c>
      <c r="M26" s="24" t="s">
        <v>76</v>
      </c>
      <c r="N26" s="24" t="s">
        <v>72</v>
      </c>
      <c r="O26" s="24" t="s">
        <v>72</v>
      </c>
      <c r="P26" s="24" t="s">
        <v>72</v>
      </c>
      <c r="Q26" s="24" t="s">
        <v>72</v>
      </c>
      <c r="R26" s="24" t="s">
        <v>72</v>
      </c>
      <c r="S26" s="24" t="s">
        <v>72</v>
      </c>
      <c r="T26" s="24" t="s">
        <v>72</v>
      </c>
      <c r="U26" s="24" t="s">
        <v>72</v>
      </c>
      <c r="V26" s="24" t="s">
        <v>72</v>
      </c>
      <c r="W26" s="24" t="s">
        <v>72</v>
      </c>
      <c r="X26" s="24" t="s">
        <v>72</v>
      </c>
      <c r="Y26" s="24" t="s">
        <v>72</v>
      </c>
      <c r="Z26" s="24" t="s">
        <v>72</v>
      </c>
      <c r="AA26" s="27" t="s">
        <v>80</v>
      </c>
      <c r="AC26" s="25">
        <v>1</v>
      </c>
    </row>
    <row r="27" spans="1:29" ht="15" hidden="1" x14ac:dyDescent="0.15">
      <c r="A27" s="26">
        <v>55232194</v>
      </c>
      <c r="B27" s="26">
        <v>26</v>
      </c>
      <c r="C27" s="26" t="s">
        <v>1351</v>
      </c>
      <c r="D27" s="26" t="s">
        <v>1413</v>
      </c>
      <c r="E27" s="26">
        <v>3012246282</v>
      </c>
      <c r="F27" s="26" t="s">
        <v>1414</v>
      </c>
      <c r="G27" s="24" t="s">
        <v>1354</v>
      </c>
      <c r="H27" s="26" t="s">
        <v>1355</v>
      </c>
      <c r="I27" s="24" t="s">
        <v>1356</v>
      </c>
      <c r="J27" s="24" t="s">
        <v>76</v>
      </c>
      <c r="K27" s="24" t="s">
        <v>76</v>
      </c>
      <c r="L27" s="24" t="s">
        <v>72</v>
      </c>
      <c r="M27" s="24" t="s">
        <v>71</v>
      </c>
      <c r="N27" s="24" t="s">
        <v>72</v>
      </c>
      <c r="O27" s="24" t="s">
        <v>72</v>
      </c>
      <c r="P27" s="24" t="s">
        <v>72</v>
      </c>
      <c r="Q27" s="24" t="s">
        <v>72</v>
      </c>
      <c r="R27" s="24" t="s">
        <v>72</v>
      </c>
      <c r="S27" s="24" t="s">
        <v>72</v>
      </c>
      <c r="T27" s="24" t="s">
        <v>72</v>
      </c>
      <c r="U27" s="24" t="s">
        <v>71</v>
      </c>
      <c r="V27" s="24" t="s">
        <v>71</v>
      </c>
      <c r="W27" s="24" t="s">
        <v>71</v>
      </c>
      <c r="X27" s="24" t="s">
        <v>71</v>
      </c>
      <c r="Y27" s="24" t="s">
        <v>76</v>
      </c>
      <c r="Z27" s="24" t="s">
        <v>71</v>
      </c>
      <c r="AA27" s="27" t="s">
        <v>85</v>
      </c>
      <c r="AB27" s="24" t="s">
        <v>1371</v>
      </c>
      <c r="AC27" s="25">
        <v>2</v>
      </c>
    </row>
    <row r="28" spans="1:29" ht="15" hidden="1" x14ac:dyDescent="0.15">
      <c r="A28" s="26">
        <v>22650279</v>
      </c>
      <c r="B28" s="26">
        <v>27</v>
      </c>
      <c r="C28" s="26" t="s">
        <v>1351</v>
      </c>
      <c r="D28" s="26" t="s">
        <v>1415</v>
      </c>
      <c r="E28" s="26">
        <v>3015052244</v>
      </c>
      <c r="F28" s="26" t="s">
        <v>1416</v>
      </c>
      <c r="G28" s="24" t="s">
        <v>1354</v>
      </c>
      <c r="H28" s="26" t="s">
        <v>1355</v>
      </c>
      <c r="I28" s="24" t="s">
        <v>1363</v>
      </c>
      <c r="J28" s="24" t="s">
        <v>71</v>
      </c>
      <c r="K28" s="24" t="s">
        <v>71</v>
      </c>
      <c r="L28" s="24" t="s">
        <v>72</v>
      </c>
      <c r="M28" s="24" t="s">
        <v>71</v>
      </c>
      <c r="N28" s="24" t="s">
        <v>72</v>
      </c>
      <c r="O28" s="24" t="s">
        <v>72</v>
      </c>
      <c r="P28" s="24" t="s">
        <v>72</v>
      </c>
      <c r="Q28" s="24" t="s">
        <v>72</v>
      </c>
      <c r="R28" s="24" t="s">
        <v>72</v>
      </c>
      <c r="S28" s="24" t="s">
        <v>72</v>
      </c>
      <c r="T28" s="24" t="s">
        <v>72</v>
      </c>
      <c r="U28" s="24" t="s">
        <v>72</v>
      </c>
      <c r="V28" s="24" t="s">
        <v>72</v>
      </c>
      <c r="W28" s="24" t="s">
        <v>72</v>
      </c>
      <c r="X28" s="24" t="s">
        <v>72</v>
      </c>
      <c r="Y28" s="24" t="s">
        <v>72</v>
      </c>
      <c r="Z28" s="24" t="s">
        <v>71</v>
      </c>
      <c r="AA28" s="27" t="s">
        <v>80</v>
      </c>
      <c r="AC28" s="25">
        <v>2</v>
      </c>
    </row>
    <row r="29" spans="1:29" ht="15" hidden="1" x14ac:dyDescent="0.15">
      <c r="A29" s="26">
        <v>32730886</v>
      </c>
      <c r="B29" s="26">
        <v>28</v>
      </c>
      <c r="C29" s="26" t="s">
        <v>1351</v>
      </c>
      <c r="D29" s="26" t="s">
        <v>1417</v>
      </c>
      <c r="E29" s="26">
        <v>3007657398</v>
      </c>
      <c r="F29" s="26" t="s">
        <v>1418</v>
      </c>
      <c r="G29" s="24" t="s">
        <v>1354</v>
      </c>
      <c r="H29" s="26" t="s">
        <v>1355</v>
      </c>
      <c r="I29" s="24" t="s">
        <v>1363</v>
      </c>
      <c r="J29" s="24" t="s">
        <v>76</v>
      </c>
      <c r="K29" s="24" t="s">
        <v>76</v>
      </c>
      <c r="L29" s="24"/>
      <c r="M29" s="24"/>
      <c r="N29" s="24"/>
      <c r="O29" s="24"/>
      <c r="P29" s="24"/>
      <c r="Q29" s="24"/>
      <c r="R29" s="24"/>
      <c r="S29" s="24"/>
      <c r="T29" s="24"/>
      <c r="U29" s="24"/>
      <c r="V29" s="24"/>
      <c r="W29" s="24"/>
      <c r="X29" s="24" t="s">
        <v>72</v>
      </c>
      <c r="Y29" s="24" t="s">
        <v>72</v>
      </c>
      <c r="Z29" s="24" t="s">
        <v>72</v>
      </c>
      <c r="AA29" s="27" t="s">
        <v>77</v>
      </c>
      <c r="AB29" s="24" t="s">
        <v>1419</v>
      </c>
      <c r="AC29" s="25">
        <v>1</v>
      </c>
    </row>
    <row r="30" spans="1:29" ht="15" hidden="1" x14ac:dyDescent="0.15">
      <c r="A30" s="26">
        <v>32703275</v>
      </c>
      <c r="B30" s="26">
        <v>29</v>
      </c>
      <c r="C30" s="26" t="s">
        <v>1351</v>
      </c>
      <c r="D30" s="26" t="s">
        <v>1420</v>
      </c>
      <c r="E30" s="26">
        <v>3215608011</v>
      </c>
      <c r="F30" s="26" t="s">
        <v>1421</v>
      </c>
      <c r="G30" s="24" t="s">
        <v>1354</v>
      </c>
      <c r="H30" s="26" t="s">
        <v>1355</v>
      </c>
      <c r="I30" s="24" t="s">
        <v>1363</v>
      </c>
      <c r="J30" s="24" t="s">
        <v>71</v>
      </c>
      <c r="K30" s="24" t="s">
        <v>71</v>
      </c>
      <c r="L30" s="24" t="s">
        <v>72</v>
      </c>
      <c r="M30" s="24" t="s">
        <v>71</v>
      </c>
      <c r="N30" s="24" t="s">
        <v>72</v>
      </c>
      <c r="O30" s="24" t="s">
        <v>72</v>
      </c>
      <c r="P30" s="24" t="s">
        <v>72</v>
      </c>
      <c r="Q30" s="24" t="s">
        <v>72</v>
      </c>
      <c r="R30" s="24" t="s">
        <v>72</v>
      </c>
      <c r="S30" s="24" t="s">
        <v>72</v>
      </c>
      <c r="T30" s="24" t="s">
        <v>72</v>
      </c>
      <c r="U30" s="24" t="s">
        <v>72</v>
      </c>
      <c r="V30" s="24" t="s">
        <v>72</v>
      </c>
      <c r="W30" s="24" t="s">
        <v>72</v>
      </c>
      <c r="X30" s="24" t="s">
        <v>72</v>
      </c>
      <c r="Y30" s="24" t="s">
        <v>72</v>
      </c>
      <c r="Z30" s="24" t="s">
        <v>72</v>
      </c>
      <c r="AA30" s="27" t="s">
        <v>80</v>
      </c>
      <c r="AC30" s="25">
        <v>2</v>
      </c>
    </row>
    <row r="31" spans="1:29" ht="15" hidden="1" x14ac:dyDescent="0.15">
      <c r="A31" s="26">
        <v>72259355</v>
      </c>
      <c r="B31" s="26">
        <v>30</v>
      </c>
      <c r="C31" s="26" t="s">
        <v>1351</v>
      </c>
      <c r="D31" s="26" t="s">
        <v>1422</v>
      </c>
      <c r="E31" s="26">
        <v>3244346957</v>
      </c>
      <c r="F31" s="26" t="s">
        <v>1423</v>
      </c>
      <c r="G31" s="24" t="s">
        <v>1354</v>
      </c>
      <c r="H31" s="26" t="s">
        <v>1355</v>
      </c>
      <c r="I31" s="24" t="s">
        <v>1363</v>
      </c>
      <c r="J31" s="24" t="s">
        <v>76</v>
      </c>
      <c r="K31" s="24" t="s">
        <v>76</v>
      </c>
      <c r="L31" s="24" t="s">
        <v>72</v>
      </c>
      <c r="M31" s="24" t="s">
        <v>71</v>
      </c>
      <c r="N31" s="24" t="s">
        <v>72</v>
      </c>
      <c r="O31" s="24" t="s">
        <v>72</v>
      </c>
      <c r="P31" s="24" t="s">
        <v>72</v>
      </c>
      <c r="Q31" s="24" t="s">
        <v>72</v>
      </c>
      <c r="R31" s="24" t="s">
        <v>72</v>
      </c>
      <c r="S31" s="24" t="s">
        <v>72</v>
      </c>
      <c r="T31" s="24" t="s">
        <v>72</v>
      </c>
      <c r="U31" s="24" t="s">
        <v>72</v>
      </c>
      <c r="V31" s="24" t="s">
        <v>72</v>
      </c>
      <c r="W31" s="24" t="s">
        <v>72</v>
      </c>
      <c r="X31" s="24" t="s">
        <v>72</v>
      </c>
      <c r="Y31" s="24" t="s">
        <v>72</v>
      </c>
      <c r="Z31" s="24" t="s">
        <v>72</v>
      </c>
      <c r="AA31" s="27" t="s">
        <v>91</v>
      </c>
      <c r="AC31" s="25">
        <v>2</v>
      </c>
    </row>
    <row r="32" spans="1:29" ht="15" hidden="1" x14ac:dyDescent="0.15">
      <c r="A32" s="26">
        <v>1047223432</v>
      </c>
      <c r="B32" s="26">
        <v>31</v>
      </c>
      <c r="C32" s="26" t="s">
        <v>1351</v>
      </c>
      <c r="D32" s="26" t="s">
        <v>1424</v>
      </c>
      <c r="E32" s="26">
        <v>3245180936</v>
      </c>
      <c r="F32" s="26" t="s">
        <v>1425</v>
      </c>
      <c r="G32" s="24" t="s">
        <v>1354</v>
      </c>
      <c r="H32" s="26" t="s">
        <v>1355</v>
      </c>
      <c r="I32" s="24" t="s">
        <v>1356</v>
      </c>
      <c r="J32" s="24" t="s">
        <v>71</v>
      </c>
      <c r="K32" s="24" t="s">
        <v>71</v>
      </c>
      <c r="L32" s="24" t="s">
        <v>72</v>
      </c>
      <c r="M32" s="24" t="s">
        <v>76</v>
      </c>
      <c r="N32" s="24" t="s">
        <v>72</v>
      </c>
      <c r="O32" s="24" t="s">
        <v>72</v>
      </c>
      <c r="P32" s="24" t="s">
        <v>72</v>
      </c>
      <c r="Q32" s="24" t="s">
        <v>72</v>
      </c>
      <c r="R32" s="24" t="s">
        <v>72</v>
      </c>
      <c r="S32" s="24" t="s">
        <v>72</v>
      </c>
      <c r="T32" s="24" t="s">
        <v>72</v>
      </c>
      <c r="U32" s="24" t="s">
        <v>71</v>
      </c>
      <c r="V32" s="24" t="s">
        <v>71</v>
      </c>
      <c r="W32" s="24" t="s">
        <v>71</v>
      </c>
      <c r="X32" s="24" t="s">
        <v>71</v>
      </c>
      <c r="Y32" s="24" t="s">
        <v>71</v>
      </c>
      <c r="Z32" s="24" t="s">
        <v>71</v>
      </c>
      <c r="AA32" s="27" t="s">
        <v>256</v>
      </c>
      <c r="AC32" s="25">
        <v>2</v>
      </c>
    </row>
    <row r="33" spans="1:29" ht="15" hidden="1" x14ac:dyDescent="0.15">
      <c r="A33" s="26">
        <v>32783861</v>
      </c>
      <c r="B33" s="26">
        <v>32</v>
      </c>
      <c r="C33" s="26" t="s">
        <v>1351</v>
      </c>
      <c r="D33" s="26" t="s">
        <v>1426</v>
      </c>
      <c r="E33" s="26">
        <v>3045633399</v>
      </c>
      <c r="F33" s="26" t="s">
        <v>1427</v>
      </c>
      <c r="G33" s="24" t="s">
        <v>1354</v>
      </c>
      <c r="H33" s="26" t="s">
        <v>1355</v>
      </c>
      <c r="I33" s="24" t="s">
        <v>1356</v>
      </c>
      <c r="J33" s="24" t="s">
        <v>71</v>
      </c>
      <c r="K33" s="24" t="s">
        <v>71</v>
      </c>
      <c r="L33" s="24" t="s">
        <v>71</v>
      </c>
      <c r="M33" s="24" t="s">
        <v>71</v>
      </c>
      <c r="N33" s="24" t="s">
        <v>71</v>
      </c>
      <c r="O33" s="24" t="s">
        <v>71</v>
      </c>
      <c r="P33" s="24" t="s">
        <v>71</v>
      </c>
      <c r="Q33" s="24" t="s">
        <v>71</v>
      </c>
      <c r="R33" s="24" t="s">
        <v>71</v>
      </c>
      <c r="S33" s="24" t="s">
        <v>71</v>
      </c>
      <c r="T33" s="24" t="s">
        <v>71</v>
      </c>
      <c r="U33" s="24" t="s">
        <v>71</v>
      </c>
      <c r="V33" s="24" t="s">
        <v>71</v>
      </c>
      <c r="W33" s="24" t="s">
        <v>71</v>
      </c>
      <c r="X33" s="24" t="s">
        <v>71</v>
      </c>
      <c r="Y33" s="24" t="s">
        <v>71</v>
      </c>
      <c r="Z33" s="24" t="s">
        <v>71</v>
      </c>
      <c r="AA33" s="27" t="s">
        <v>1367</v>
      </c>
      <c r="AB33" s="24" t="s">
        <v>1368</v>
      </c>
      <c r="AC33" s="25" t="s">
        <v>1367</v>
      </c>
    </row>
    <row r="34" spans="1:29" ht="15" hidden="1" x14ac:dyDescent="0.15">
      <c r="A34" s="26">
        <v>22414731</v>
      </c>
      <c r="B34" s="26">
        <v>33</v>
      </c>
      <c r="C34" s="26" t="s">
        <v>1351</v>
      </c>
      <c r="D34" s="26" t="s">
        <v>1428</v>
      </c>
      <c r="E34" s="26">
        <v>3004838202</v>
      </c>
      <c r="F34" s="26" t="s">
        <v>1429</v>
      </c>
      <c r="G34" s="24" t="s">
        <v>1354</v>
      </c>
      <c r="H34" s="26" t="s">
        <v>1355</v>
      </c>
      <c r="I34" s="24" t="s">
        <v>1363</v>
      </c>
      <c r="J34" s="24" t="s">
        <v>71</v>
      </c>
      <c r="K34" s="24" t="s">
        <v>71</v>
      </c>
      <c r="L34" s="24" t="s">
        <v>72</v>
      </c>
      <c r="M34" s="24" t="s">
        <v>71</v>
      </c>
      <c r="N34" s="24" t="s">
        <v>72</v>
      </c>
      <c r="O34" s="24" t="s">
        <v>72</v>
      </c>
      <c r="P34" s="24" t="s">
        <v>72</v>
      </c>
      <c r="Q34" s="24" t="s">
        <v>72</v>
      </c>
      <c r="R34" s="24" t="s">
        <v>72</v>
      </c>
      <c r="S34" s="24" t="s">
        <v>72</v>
      </c>
      <c r="T34" s="24" t="s">
        <v>72</v>
      </c>
      <c r="U34" s="24" t="s">
        <v>71</v>
      </c>
      <c r="V34" s="24" t="s">
        <v>71</v>
      </c>
      <c r="W34" s="24" t="s">
        <v>71</v>
      </c>
      <c r="X34" s="24" t="s">
        <v>71</v>
      </c>
      <c r="Y34" s="24" t="s">
        <v>71</v>
      </c>
      <c r="Z34" s="24" t="s">
        <v>71</v>
      </c>
      <c r="AA34" s="27" t="s">
        <v>256</v>
      </c>
      <c r="AC34" s="25">
        <v>2</v>
      </c>
    </row>
    <row r="35" spans="1:29" ht="15" hidden="1" x14ac:dyDescent="0.15">
      <c r="A35" s="26">
        <v>8675682</v>
      </c>
      <c r="B35" s="26">
        <v>34</v>
      </c>
      <c r="C35" s="26" t="s">
        <v>1351</v>
      </c>
      <c r="D35" s="26" t="s">
        <v>1430</v>
      </c>
      <c r="E35" s="26">
        <v>3148908867</v>
      </c>
      <c r="F35" s="26" t="s">
        <v>1431</v>
      </c>
      <c r="G35" s="24" t="s">
        <v>1354</v>
      </c>
      <c r="H35" s="26" t="s">
        <v>1355</v>
      </c>
      <c r="I35" s="24" t="s">
        <v>1356</v>
      </c>
      <c r="J35" s="24" t="s">
        <v>71</v>
      </c>
      <c r="K35" s="24" t="s">
        <v>71</v>
      </c>
      <c r="L35" s="24" t="s">
        <v>72</v>
      </c>
      <c r="M35" s="24" t="s">
        <v>71</v>
      </c>
      <c r="N35" s="24" t="s">
        <v>72</v>
      </c>
      <c r="O35" s="24" t="s">
        <v>72</v>
      </c>
      <c r="P35" s="24" t="s">
        <v>72</v>
      </c>
      <c r="Q35" s="24" t="s">
        <v>72</v>
      </c>
      <c r="R35" s="24" t="s">
        <v>72</v>
      </c>
      <c r="S35" s="24" t="s">
        <v>72</v>
      </c>
      <c r="T35" s="24" t="s">
        <v>72</v>
      </c>
      <c r="U35" s="24" t="s">
        <v>72</v>
      </c>
      <c r="V35" s="24" t="s">
        <v>72</v>
      </c>
      <c r="W35" s="24" t="s">
        <v>72</v>
      </c>
      <c r="X35" s="24" t="s">
        <v>72</v>
      </c>
      <c r="Y35" s="24" t="s">
        <v>72</v>
      </c>
      <c r="Z35" s="24" t="s">
        <v>72</v>
      </c>
      <c r="AA35" s="27" t="s">
        <v>80</v>
      </c>
      <c r="AC35" s="25">
        <v>2</v>
      </c>
    </row>
    <row r="36" spans="1:29" ht="15" hidden="1" x14ac:dyDescent="0.15">
      <c r="A36" s="26">
        <v>22712132</v>
      </c>
      <c r="B36" s="26">
        <v>35</v>
      </c>
      <c r="C36" s="26" t="s">
        <v>1351</v>
      </c>
      <c r="D36" s="26" t="s">
        <v>1432</v>
      </c>
      <c r="E36" s="26"/>
      <c r="F36" s="26" t="s">
        <v>1433</v>
      </c>
      <c r="G36" s="24" t="s">
        <v>1354</v>
      </c>
      <c r="H36" s="26" t="s">
        <v>1355</v>
      </c>
      <c r="I36" s="24" t="s">
        <v>1363</v>
      </c>
      <c r="J36" s="24" t="s">
        <v>76</v>
      </c>
      <c r="K36" s="24" t="s">
        <v>76</v>
      </c>
      <c r="L36" s="24" t="s">
        <v>72</v>
      </c>
      <c r="M36" s="24" t="s">
        <v>76</v>
      </c>
      <c r="N36" s="24" t="s">
        <v>72</v>
      </c>
      <c r="O36" s="24" t="s">
        <v>72</v>
      </c>
      <c r="P36" s="24" t="s">
        <v>72</v>
      </c>
      <c r="Q36" s="24" t="s">
        <v>72</v>
      </c>
      <c r="R36" s="24" t="s">
        <v>72</v>
      </c>
      <c r="S36" s="24" t="s">
        <v>72</v>
      </c>
      <c r="T36" s="24" t="s">
        <v>72</v>
      </c>
      <c r="U36" s="24" t="s">
        <v>72</v>
      </c>
      <c r="V36" s="24" t="s">
        <v>72</v>
      </c>
      <c r="W36" s="24" t="s">
        <v>72</v>
      </c>
      <c r="X36" s="24" t="s">
        <v>71</v>
      </c>
      <c r="Y36" s="24" t="s">
        <v>72</v>
      </c>
      <c r="Z36" s="24" t="s">
        <v>72</v>
      </c>
      <c r="AA36" s="27" t="s">
        <v>91</v>
      </c>
      <c r="AC36" s="25">
        <v>1</v>
      </c>
    </row>
    <row r="37" spans="1:29" ht="15" hidden="1" x14ac:dyDescent="0.15">
      <c r="A37" s="26">
        <v>8704553</v>
      </c>
      <c r="B37" s="26">
        <v>36</v>
      </c>
      <c r="C37" s="26" t="s">
        <v>1351</v>
      </c>
      <c r="D37" s="26" t="s">
        <v>1434</v>
      </c>
      <c r="E37" s="26">
        <v>3243314390</v>
      </c>
      <c r="F37" s="26" t="s">
        <v>1435</v>
      </c>
      <c r="G37" s="24" t="s">
        <v>1354</v>
      </c>
      <c r="H37" s="26" t="s">
        <v>1355</v>
      </c>
      <c r="I37" s="24" t="s">
        <v>1363</v>
      </c>
      <c r="J37" s="24" t="s">
        <v>71</v>
      </c>
      <c r="K37" s="24" t="s">
        <v>71</v>
      </c>
      <c r="L37" s="24" t="s">
        <v>71</v>
      </c>
      <c r="M37" s="24" t="s">
        <v>71</v>
      </c>
      <c r="N37" s="24" t="s">
        <v>72</v>
      </c>
      <c r="O37" s="24" t="s">
        <v>72</v>
      </c>
      <c r="P37" s="24" t="s">
        <v>72</v>
      </c>
      <c r="Q37" s="24" t="s">
        <v>71</v>
      </c>
      <c r="R37" s="24" t="s">
        <v>72</v>
      </c>
      <c r="S37" s="24" t="s">
        <v>72</v>
      </c>
      <c r="T37" s="24" t="s">
        <v>72</v>
      </c>
      <c r="U37" s="24" t="s">
        <v>71</v>
      </c>
      <c r="V37" s="24" t="s">
        <v>71</v>
      </c>
      <c r="W37" s="24" t="s">
        <v>71</v>
      </c>
      <c r="X37" s="24" t="s">
        <v>71</v>
      </c>
      <c r="Y37" s="24" t="s">
        <v>71</v>
      </c>
      <c r="Z37" s="24" t="s">
        <v>71</v>
      </c>
      <c r="AA37" s="27" t="s">
        <v>256</v>
      </c>
      <c r="AC37" s="25">
        <v>2</v>
      </c>
    </row>
    <row r="38" spans="1:29" ht="15" hidden="1" x14ac:dyDescent="0.15">
      <c r="A38" s="26">
        <v>22563805</v>
      </c>
      <c r="B38" s="26">
        <v>37</v>
      </c>
      <c r="C38" s="26" t="s">
        <v>1351</v>
      </c>
      <c r="D38" s="26" t="s">
        <v>1436</v>
      </c>
      <c r="E38" s="26">
        <v>3045634821</v>
      </c>
      <c r="F38" s="26" t="s">
        <v>1437</v>
      </c>
      <c r="G38" s="24" t="s">
        <v>1354</v>
      </c>
      <c r="H38" s="26" t="s">
        <v>1355</v>
      </c>
      <c r="I38" s="24" t="s">
        <v>1363</v>
      </c>
      <c r="J38" s="24" t="s">
        <v>71</v>
      </c>
      <c r="K38" s="24" t="s">
        <v>71</v>
      </c>
      <c r="L38" s="24" t="s">
        <v>71</v>
      </c>
      <c r="M38" s="24" t="s">
        <v>71</v>
      </c>
      <c r="N38" s="24" t="s">
        <v>72</v>
      </c>
      <c r="O38" s="24" t="s">
        <v>72</v>
      </c>
      <c r="P38" s="24" t="s">
        <v>72</v>
      </c>
      <c r="Q38" s="24" t="s">
        <v>71</v>
      </c>
      <c r="R38" s="24" t="s">
        <v>76</v>
      </c>
      <c r="S38" s="24" t="s">
        <v>72</v>
      </c>
      <c r="T38" s="24" t="s">
        <v>72</v>
      </c>
      <c r="U38" s="24" t="s">
        <v>76</v>
      </c>
      <c r="V38" s="24" t="s">
        <v>76</v>
      </c>
      <c r="W38" s="24" t="s">
        <v>76</v>
      </c>
      <c r="X38" s="24" t="s">
        <v>72</v>
      </c>
      <c r="Y38" s="24" t="s">
        <v>72</v>
      </c>
      <c r="Z38" s="24" t="s">
        <v>71</v>
      </c>
      <c r="AA38" s="27" t="s">
        <v>80</v>
      </c>
      <c r="AC38" s="25">
        <v>2</v>
      </c>
    </row>
    <row r="39" spans="1:29" ht="15" hidden="1" x14ac:dyDescent="0.15">
      <c r="A39" s="26">
        <v>1046702906</v>
      </c>
      <c r="B39" s="26">
        <v>38</v>
      </c>
      <c r="C39" s="26" t="s">
        <v>1351</v>
      </c>
      <c r="D39" s="26" t="s">
        <v>1438</v>
      </c>
      <c r="E39" s="26">
        <v>3016297436</v>
      </c>
      <c r="F39" s="26" t="s">
        <v>1439</v>
      </c>
      <c r="G39" s="24" t="s">
        <v>1354</v>
      </c>
      <c r="H39" s="26" t="s">
        <v>1355</v>
      </c>
      <c r="I39" s="24" t="s">
        <v>1363</v>
      </c>
      <c r="J39" s="24" t="s">
        <v>76</v>
      </c>
      <c r="K39" s="24" t="s">
        <v>76</v>
      </c>
      <c r="L39" s="24" t="s">
        <v>72</v>
      </c>
      <c r="M39" s="24" t="s">
        <v>71</v>
      </c>
      <c r="N39" s="24" t="s">
        <v>72</v>
      </c>
      <c r="O39" s="24" t="s">
        <v>72</v>
      </c>
      <c r="P39" s="24" t="s">
        <v>72</v>
      </c>
      <c r="Q39" s="24" t="s">
        <v>72</v>
      </c>
      <c r="R39" s="24" t="s">
        <v>76</v>
      </c>
      <c r="S39" s="24" t="s">
        <v>72</v>
      </c>
      <c r="T39" s="24" t="s">
        <v>72</v>
      </c>
      <c r="U39" s="24" t="s">
        <v>72</v>
      </c>
      <c r="V39" s="24" t="s">
        <v>72</v>
      </c>
      <c r="W39" s="24" t="s">
        <v>72</v>
      </c>
      <c r="X39" s="24" t="s">
        <v>72</v>
      </c>
      <c r="Y39" s="24" t="s">
        <v>72</v>
      </c>
      <c r="Z39" s="24" t="s">
        <v>72</v>
      </c>
      <c r="AA39" s="27" t="s">
        <v>91</v>
      </c>
      <c r="AC39" s="25">
        <v>1</v>
      </c>
    </row>
    <row r="40" spans="1:29" ht="15" hidden="1" x14ac:dyDescent="0.15">
      <c r="A40" s="26">
        <v>1143121744</v>
      </c>
      <c r="B40" s="26">
        <v>39</v>
      </c>
      <c r="C40" s="26" t="s">
        <v>1351</v>
      </c>
      <c r="D40" s="26" t="s">
        <v>1440</v>
      </c>
      <c r="E40" s="26">
        <v>3145132040</v>
      </c>
      <c r="F40" s="26" t="s">
        <v>1441</v>
      </c>
      <c r="G40" s="24" t="s">
        <v>1354</v>
      </c>
      <c r="H40" s="26" t="s">
        <v>1355</v>
      </c>
      <c r="I40" s="24" t="s">
        <v>1363</v>
      </c>
      <c r="J40" s="24" t="s">
        <v>76</v>
      </c>
      <c r="K40" s="24" t="s">
        <v>76</v>
      </c>
      <c r="L40" s="24" t="s">
        <v>72</v>
      </c>
      <c r="M40" s="24" t="s">
        <v>71</v>
      </c>
      <c r="N40" s="24" t="s">
        <v>72</v>
      </c>
      <c r="O40" s="24" t="s">
        <v>72</v>
      </c>
      <c r="P40" s="24" t="s">
        <v>72</v>
      </c>
      <c r="Q40" s="24" t="s">
        <v>72</v>
      </c>
      <c r="R40" s="24" t="s">
        <v>76</v>
      </c>
      <c r="S40" s="24" t="s">
        <v>72</v>
      </c>
      <c r="T40" s="24" t="s">
        <v>72</v>
      </c>
      <c r="U40" s="24" t="s">
        <v>72</v>
      </c>
      <c r="V40" s="24" t="s">
        <v>72</v>
      </c>
      <c r="W40" s="24" t="s">
        <v>72</v>
      </c>
      <c r="X40" s="24" t="s">
        <v>72</v>
      </c>
      <c r="Y40" s="24" t="s">
        <v>72</v>
      </c>
      <c r="Z40" s="24" t="s">
        <v>72</v>
      </c>
      <c r="AA40" s="27" t="s">
        <v>91</v>
      </c>
      <c r="AC40" s="25">
        <v>1</v>
      </c>
    </row>
    <row r="41" spans="1:29" ht="15" hidden="1" x14ac:dyDescent="0.15">
      <c r="A41" s="26">
        <v>1129504681</v>
      </c>
      <c r="B41" s="26">
        <v>40</v>
      </c>
      <c r="C41" s="26" t="s">
        <v>1351</v>
      </c>
      <c r="D41" s="26" t="s">
        <v>1442</v>
      </c>
      <c r="E41" s="26">
        <v>3042030806</v>
      </c>
      <c r="F41" s="26" t="s">
        <v>1443</v>
      </c>
      <c r="G41" s="24" t="s">
        <v>1354</v>
      </c>
      <c r="H41" s="26" t="s">
        <v>1355</v>
      </c>
      <c r="I41" s="24" t="s">
        <v>1356</v>
      </c>
      <c r="J41" s="24" t="s">
        <v>76</v>
      </c>
      <c r="K41" s="24" t="s">
        <v>76</v>
      </c>
      <c r="L41" s="24" t="s">
        <v>71</v>
      </c>
      <c r="M41" s="24" t="s">
        <v>71</v>
      </c>
      <c r="N41" s="24" t="s">
        <v>72</v>
      </c>
      <c r="O41" s="24" t="s">
        <v>72</v>
      </c>
      <c r="P41" s="24" t="s">
        <v>72</v>
      </c>
      <c r="Q41" s="24" t="s">
        <v>71</v>
      </c>
      <c r="R41" s="24" t="s">
        <v>76</v>
      </c>
      <c r="S41" s="24" t="s">
        <v>72</v>
      </c>
      <c r="T41" s="24" t="s">
        <v>72</v>
      </c>
      <c r="U41" s="24" t="s">
        <v>72</v>
      </c>
      <c r="V41" s="24" t="s">
        <v>72</v>
      </c>
      <c r="W41" s="24" t="s">
        <v>72</v>
      </c>
      <c r="X41" s="24" t="s">
        <v>72</v>
      </c>
      <c r="Y41" s="24" t="s">
        <v>76</v>
      </c>
      <c r="Z41" s="24" t="s">
        <v>76</v>
      </c>
      <c r="AA41" s="27" t="s">
        <v>91</v>
      </c>
      <c r="AC41" s="25">
        <v>2</v>
      </c>
    </row>
    <row r="42" spans="1:29" ht="15" hidden="1" x14ac:dyDescent="0.15">
      <c r="A42" s="26">
        <v>32750464</v>
      </c>
      <c r="B42" s="26">
        <v>41</v>
      </c>
      <c r="C42" s="26" t="s">
        <v>1351</v>
      </c>
      <c r="D42" s="26" t="s">
        <v>1444</v>
      </c>
      <c r="E42" s="26">
        <v>3042221243</v>
      </c>
      <c r="F42" s="26" t="s">
        <v>1445</v>
      </c>
      <c r="G42" s="24" t="s">
        <v>1354</v>
      </c>
      <c r="H42" s="26" t="s">
        <v>1355</v>
      </c>
      <c r="I42" s="24" t="s">
        <v>1356</v>
      </c>
      <c r="J42" s="24" t="s">
        <v>71</v>
      </c>
      <c r="K42" s="24" t="s">
        <v>71</v>
      </c>
      <c r="L42" s="24" t="s">
        <v>71</v>
      </c>
      <c r="M42" s="24" t="s">
        <v>71</v>
      </c>
      <c r="N42" s="24" t="s">
        <v>71</v>
      </c>
      <c r="O42" s="24" t="s">
        <v>71</v>
      </c>
      <c r="P42" s="24" t="s">
        <v>71</v>
      </c>
      <c r="Q42" s="24" t="s">
        <v>71</v>
      </c>
      <c r="R42" s="24" t="s">
        <v>71</v>
      </c>
      <c r="S42" s="24" t="s">
        <v>71</v>
      </c>
      <c r="T42" s="24" t="s">
        <v>71</v>
      </c>
      <c r="U42" s="24" t="s">
        <v>71</v>
      </c>
      <c r="V42" s="24" t="s">
        <v>71</v>
      </c>
      <c r="W42" s="24" t="s">
        <v>71</v>
      </c>
      <c r="X42" s="24" t="s">
        <v>71</v>
      </c>
      <c r="Y42" s="24" t="s">
        <v>71</v>
      </c>
      <c r="Z42" s="24" t="s">
        <v>71</v>
      </c>
      <c r="AA42" s="27" t="s">
        <v>1367</v>
      </c>
      <c r="AB42" s="24" t="s">
        <v>1368</v>
      </c>
      <c r="AC42" s="25" t="s">
        <v>1367</v>
      </c>
    </row>
    <row r="43" spans="1:29" ht="15" hidden="1" x14ac:dyDescent="0.15">
      <c r="A43" s="26">
        <v>22357171</v>
      </c>
      <c r="B43" s="26">
        <v>42</v>
      </c>
      <c r="C43" s="26" t="s">
        <v>1351</v>
      </c>
      <c r="D43" s="26" t="s">
        <v>1446</v>
      </c>
      <c r="E43" s="26">
        <v>3206877672</v>
      </c>
      <c r="F43" s="26" t="s">
        <v>1447</v>
      </c>
      <c r="G43" s="24" t="s">
        <v>1354</v>
      </c>
      <c r="H43" s="26" t="s">
        <v>1355</v>
      </c>
      <c r="I43" s="24" t="s">
        <v>1356</v>
      </c>
      <c r="J43" s="24" t="s">
        <v>71</v>
      </c>
      <c r="K43" s="24" t="s">
        <v>71</v>
      </c>
      <c r="L43" s="24" t="s">
        <v>72</v>
      </c>
      <c r="M43" s="24" t="s">
        <v>76</v>
      </c>
      <c r="N43" s="24" t="s">
        <v>72</v>
      </c>
      <c r="O43" s="24" t="s">
        <v>72</v>
      </c>
      <c r="P43" s="24" t="s">
        <v>72</v>
      </c>
      <c r="Q43" s="24" t="s">
        <v>72</v>
      </c>
      <c r="R43" s="24" t="s">
        <v>72</v>
      </c>
      <c r="S43" s="24" t="s">
        <v>72</v>
      </c>
      <c r="T43" s="24" t="s">
        <v>72</v>
      </c>
      <c r="U43" s="24" t="s">
        <v>72</v>
      </c>
      <c r="V43" s="24" t="s">
        <v>72</v>
      </c>
      <c r="W43" s="24" t="s">
        <v>72</v>
      </c>
      <c r="X43" s="24" t="s">
        <v>72</v>
      </c>
      <c r="Y43" s="24" t="s">
        <v>72</v>
      </c>
      <c r="Z43" s="24" t="s">
        <v>72</v>
      </c>
      <c r="AA43" s="27" t="s">
        <v>80</v>
      </c>
      <c r="AC43" s="25">
        <v>2</v>
      </c>
    </row>
    <row r="44" spans="1:29" ht="15" hidden="1" x14ac:dyDescent="0.15">
      <c r="A44" s="26">
        <v>22353868</v>
      </c>
      <c r="B44" s="26">
        <v>43</v>
      </c>
      <c r="C44" s="26" t="s">
        <v>1351</v>
      </c>
      <c r="D44" s="26" t="s">
        <v>1448</v>
      </c>
      <c r="E44" s="26">
        <v>3045471994</v>
      </c>
      <c r="F44" s="26" t="s">
        <v>1449</v>
      </c>
      <c r="G44" s="24" t="s">
        <v>1354</v>
      </c>
      <c r="H44" s="26" t="s">
        <v>1355</v>
      </c>
      <c r="I44" s="24" t="s">
        <v>1356</v>
      </c>
      <c r="J44" s="24" t="s">
        <v>71</v>
      </c>
      <c r="K44" s="24" t="s">
        <v>71</v>
      </c>
      <c r="L44" s="24" t="s">
        <v>72</v>
      </c>
      <c r="M44" s="24" t="s">
        <v>71</v>
      </c>
      <c r="N44" s="24" t="s">
        <v>72</v>
      </c>
      <c r="O44" s="24" t="s">
        <v>72</v>
      </c>
      <c r="P44" s="24" t="s">
        <v>72</v>
      </c>
      <c r="Q44" s="24" t="s">
        <v>72</v>
      </c>
      <c r="R44" s="24" t="s">
        <v>72</v>
      </c>
      <c r="S44" s="24" t="s">
        <v>72</v>
      </c>
      <c r="T44" s="24" t="s">
        <v>71</v>
      </c>
      <c r="U44" s="24" t="s">
        <v>71</v>
      </c>
      <c r="V44" s="24" t="s">
        <v>71</v>
      </c>
      <c r="W44" s="24" t="s">
        <v>71</v>
      </c>
      <c r="X44" s="24" t="s">
        <v>71</v>
      </c>
      <c r="Y44" s="24" t="s">
        <v>71</v>
      </c>
      <c r="Z44" s="24" t="s">
        <v>71</v>
      </c>
      <c r="AA44" s="27" t="s">
        <v>256</v>
      </c>
      <c r="AC44" s="25">
        <v>2</v>
      </c>
    </row>
    <row r="45" spans="1:29" ht="15" hidden="1" x14ac:dyDescent="0.15">
      <c r="A45" s="26">
        <v>32817186</v>
      </c>
      <c r="B45" s="26">
        <v>44</v>
      </c>
      <c r="C45" s="26" t="s">
        <v>1351</v>
      </c>
      <c r="D45" s="26" t="s">
        <v>1450</v>
      </c>
      <c r="E45" s="26">
        <v>3105166759</v>
      </c>
      <c r="F45" s="26" t="s">
        <v>1451</v>
      </c>
      <c r="G45" s="24" t="s">
        <v>1354</v>
      </c>
      <c r="H45" s="26" t="s">
        <v>1355</v>
      </c>
      <c r="I45" s="24" t="s">
        <v>1356</v>
      </c>
      <c r="J45" s="24" t="s">
        <v>71</v>
      </c>
      <c r="K45" s="24" t="s">
        <v>71</v>
      </c>
      <c r="L45" s="24" t="s">
        <v>71</v>
      </c>
      <c r="M45" s="24" t="s">
        <v>71</v>
      </c>
      <c r="N45" s="24" t="s">
        <v>71</v>
      </c>
      <c r="O45" s="24" t="s">
        <v>71</v>
      </c>
      <c r="P45" s="24" t="s">
        <v>71</v>
      </c>
      <c r="Q45" s="24" t="s">
        <v>71</v>
      </c>
      <c r="R45" s="24" t="s">
        <v>71</v>
      </c>
      <c r="S45" s="24" t="s">
        <v>71</v>
      </c>
      <c r="T45" s="24" t="s">
        <v>71</v>
      </c>
      <c r="U45" s="24" t="s">
        <v>71</v>
      </c>
      <c r="V45" s="24" t="s">
        <v>71</v>
      </c>
      <c r="W45" s="24" t="s">
        <v>71</v>
      </c>
      <c r="X45" s="24" t="s">
        <v>71</v>
      </c>
      <c r="Y45" s="24" t="s">
        <v>71</v>
      </c>
      <c r="Z45" s="24" t="s">
        <v>71</v>
      </c>
      <c r="AA45" s="27" t="s">
        <v>1367</v>
      </c>
      <c r="AB45" s="24" t="s">
        <v>1368</v>
      </c>
      <c r="AC45" s="25" t="s">
        <v>1367</v>
      </c>
    </row>
    <row r="46" spans="1:29" ht="15" hidden="1" x14ac:dyDescent="0.15">
      <c r="A46" s="26">
        <v>72131105</v>
      </c>
      <c r="B46" s="26">
        <v>45</v>
      </c>
      <c r="C46" s="26" t="s">
        <v>1351</v>
      </c>
      <c r="D46" s="26" t="s">
        <v>1452</v>
      </c>
      <c r="E46" s="26">
        <v>3007339484</v>
      </c>
      <c r="F46" s="26" t="s">
        <v>1453</v>
      </c>
      <c r="G46" s="24" t="s">
        <v>1354</v>
      </c>
      <c r="H46" s="26" t="s">
        <v>1355</v>
      </c>
      <c r="I46" s="24" t="s">
        <v>1356</v>
      </c>
      <c r="J46" s="24" t="s">
        <v>71</v>
      </c>
      <c r="K46" s="24" t="s">
        <v>71</v>
      </c>
      <c r="L46" s="24" t="s">
        <v>71</v>
      </c>
      <c r="M46" s="24" t="s">
        <v>71</v>
      </c>
      <c r="N46" s="24" t="s">
        <v>71</v>
      </c>
      <c r="O46" s="24" t="s">
        <v>71</v>
      </c>
      <c r="P46" s="24" t="s">
        <v>71</v>
      </c>
      <c r="Q46" s="24" t="s">
        <v>71</v>
      </c>
      <c r="R46" s="24" t="s">
        <v>71</v>
      </c>
      <c r="S46" s="24" t="s">
        <v>71</v>
      </c>
      <c r="T46" s="24" t="s">
        <v>71</v>
      </c>
      <c r="U46" s="24" t="s">
        <v>71</v>
      </c>
      <c r="V46" s="24" t="s">
        <v>71</v>
      </c>
      <c r="W46" s="24" t="s">
        <v>71</v>
      </c>
      <c r="X46" s="24" t="s">
        <v>71</v>
      </c>
      <c r="Y46" s="24" t="s">
        <v>71</v>
      </c>
      <c r="Z46" s="24" t="s">
        <v>71</v>
      </c>
      <c r="AA46" s="27" t="s">
        <v>1367</v>
      </c>
      <c r="AB46" s="24" t="s">
        <v>1368</v>
      </c>
      <c r="AC46" s="25" t="s">
        <v>1367</v>
      </c>
    </row>
    <row r="47" spans="1:29" ht="15" hidden="1" x14ac:dyDescent="0.15">
      <c r="A47" s="26">
        <v>1128165897</v>
      </c>
      <c r="B47" s="26">
        <v>46</v>
      </c>
      <c r="C47" s="26" t="s">
        <v>1351</v>
      </c>
      <c r="D47" s="26" t="s">
        <v>1454</v>
      </c>
      <c r="E47" s="26">
        <v>3143710702</v>
      </c>
      <c r="F47" s="26" t="s">
        <v>1455</v>
      </c>
      <c r="G47" s="24" t="s">
        <v>1354</v>
      </c>
      <c r="H47" s="26" t="s">
        <v>1355</v>
      </c>
      <c r="I47" s="24" t="s">
        <v>1363</v>
      </c>
      <c r="J47" s="24" t="s">
        <v>76</v>
      </c>
      <c r="K47" s="24" t="s">
        <v>76</v>
      </c>
      <c r="L47" s="24" t="s">
        <v>72</v>
      </c>
      <c r="M47" s="24" t="s">
        <v>71</v>
      </c>
      <c r="N47" s="24" t="s">
        <v>72</v>
      </c>
      <c r="O47" s="24" t="s">
        <v>72</v>
      </c>
      <c r="P47" s="24" t="s">
        <v>72</v>
      </c>
      <c r="Q47" s="24" t="s">
        <v>72</v>
      </c>
      <c r="R47" s="24" t="s">
        <v>76</v>
      </c>
      <c r="S47" s="24" t="s">
        <v>72</v>
      </c>
      <c r="T47" s="24" t="s">
        <v>72</v>
      </c>
      <c r="U47" s="24" t="s">
        <v>71</v>
      </c>
      <c r="V47" s="24" t="s">
        <v>71</v>
      </c>
      <c r="W47" s="24" t="s">
        <v>71</v>
      </c>
      <c r="X47" s="24" t="s">
        <v>71</v>
      </c>
      <c r="Y47" s="24" t="s">
        <v>71</v>
      </c>
      <c r="Z47" s="24" t="s">
        <v>71</v>
      </c>
      <c r="AA47" s="27" t="s">
        <v>85</v>
      </c>
      <c r="AC47" s="25">
        <v>2</v>
      </c>
    </row>
    <row r="48" spans="1:29" ht="15" hidden="1" x14ac:dyDescent="0.15">
      <c r="A48" s="26">
        <v>32649402</v>
      </c>
      <c r="B48" s="26">
        <v>47</v>
      </c>
      <c r="C48" s="26" t="s">
        <v>1351</v>
      </c>
      <c r="D48" s="26" t="s">
        <v>1456</v>
      </c>
      <c r="E48" s="26">
        <v>3246734376</v>
      </c>
      <c r="F48" s="26" t="s">
        <v>1457</v>
      </c>
      <c r="G48" s="24" t="s">
        <v>1354</v>
      </c>
      <c r="H48" s="26" t="s">
        <v>1355</v>
      </c>
      <c r="I48" s="24" t="s">
        <v>1356</v>
      </c>
      <c r="J48" s="24" t="s">
        <v>71</v>
      </c>
      <c r="K48" s="24" t="s">
        <v>71</v>
      </c>
      <c r="L48" s="24" t="s">
        <v>71</v>
      </c>
      <c r="M48" s="24" t="s">
        <v>71</v>
      </c>
      <c r="N48" s="24" t="s">
        <v>71</v>
      </c>
      <c r="O48" s="24" t="s">
        <v>71</v>
      </c>
      <c r="P48" s="24" t="s">
        <v>71</v>
      </c>
      <c r="Q48" s="24" t="s">
        <v>71</v>
      </c>
      <c r="R48" s="24" t="s">
        <v>71</v>
      </c>
      <c r="S48" s="24" t="s">
        <v>71</v>
      </c>
      <c r="T48" s="24" t="s">
        <v>71</v>
      </c>
      <c r="U48" s="24" t="s">
        <v>71</v>
      </c>
      <c r="V48" s="24" t="s">
        <v>71</v>
      </c>
      <c r="W48" s="24" t="s">
        <v>71</v>
      </c>
      <c r="X48" s="24" t="s">
        <v>71</v>
      </c>
      <c r="Y48" s="24" t="s">
        <v>71</v>
      </c>
      <c r="Z48" s="24" t="s">
        <v>71</v>
      </c>
      <c r="AA48" s="27" t="s">
        <v>1367</v>
      </c>
      <c r="AB48" s="24" t="s">
        <v>1368</v>
      </c>
      <c r="AC48" s="25" t="s">
        <v>1367</v>
      </c>
    </row>
    <row r="49" spans="1:29" ht="15" hidden="1" x14ac:dyDescent="0.15">
      <c r="A49" s="26">
        <v>55240557</v>
      </c>
      <c r="B49" s="26">
        <v>48</v>
      </c>
      <c r="C49" s="26" t="s">
        <v>1351</v>
      </c>
      <c r="D49" s="26" t="s">
        <v>1458</v>
      </c>
      <c r="E49" s="26">
        <v>3213785118</v>
      </c>
      <c r="F49" s="26" t="s">
        <v>1459</v>
      </c>
      <c r="G49" s="24" t="s">
        <v>1354</v>
      </c>
      <c r="H49" s="26" t="s">
        <v>1355</v>
      </c>
      <c r="I49" s="24" t="s">
        <v>1363</v>
      </c>
      <c r="J49" s="24" t="s">
        <v>76</v>
      </c>
      <c r="K49" s="24" t="s">
        <v>76</v>
      </c>
      <c r="L49" s="24" t="s">
        <v>72</v>
      </c>
      <c r="M49" s="24" t="s">
        <v>71</v>
      </c>
      <c r="N49" s="24" t="s">
        <v>72</v>
      </c>
      <c r="O49" s="24" t="s">
        <v>72</v>
      </c>
      <c r="P49" s="24" t="s">
        <v>72</v>
      </c>
      <c r="Q49" s="24" t="s">
        <v>72</v>
      </c>
      <c r="R49" s="24" t="s">
        <v>76</v>
      </c>
      <c r="S49" s="24" t="s">
        <v>72</v>
      </c>
      <c r="T49" s="24" t="s">
        <v>72</v>
      </c>
      <c r="U49" s="24" t="s">
        <v>71</v>
      </c>
      <c r="V49" s="24" t="s">
        <v>71</v>
      </c>
      <c r="W49" s="24" t="s">
        <v>71</v>
      </c>
      <c r="X49" s="24" t="s">
        <v>71</v>
      </c>
      <c r="Y49" s="24" t="s">
        <v>71</v>
      </c>
      <c r="Z49" s="24" t="s">
        <v>71</v>
      </c>
      <c r="AA49" s="27" t="s">
        <v>85</v>
      </c>
      <c r="AC49" s="25">
        <v>2</v>
      </c>
    </row>
    <row r="50" spans="1:29" ht="15" hidden="1" x14ac:dyDescent="0.15">
      <c r="A50" s="26">
        <v>7435553</v>
      </c>
      <c r="B50" s="26">
        <v>49</v>
      </c>
      <c r="C50" s="26" t="s">
        <v>1351</v>
      </c>
      <c r="D50" s="26" t="s">
        <v>1460</v>
      </c>
      <c r="E50" s="26">
        <v>3205399762</v>
      </c>
      <c r="F50" s="26" t="s">
        <v>1461</v>
      </c>
      <c r="G50" s="24" t="s">
        <v>1354</v>
      </c>
      <c r="H50" s="26" t="s">
        <v>1355</v>
      </c>
      <c r="I50" s="24" t="s">
        <v>1356</v>
      </c>
      <c r="J50" s="24" t="s">
        <v>76</v>
      </c>
      <c r="K50" s="24" t="s">
        <v>76</v>
      </c>
      <c r="L50" s="24" t="s">
        <v>71</v>
      </c>
      <c r="M50" s="24" t="s">
        <v>71</v>
      </c>
      <c r="N50" s="24" t="s">
        <v>71</v>
      </c>
      <c r="O50" s="24" t="s">
        <v>71</v>
      </c>
      <c r="P50" s="24" t="s">
        <v>71</v>
      </c>
      <c r="Q50" s="24" t="s">
        <v>71</v>
      </c>
      <c r="R50" s="24" t="s">
        <v>71</v>
      </c>
      <c r="S50" s="24" t="s">
        <v>71</v>
      </c>
      <c r="T50" s="24" t="s">
        <v>71</v>
      </c>
      <c r="U50" s="24" t="s">
        <v>72</v>
      </c>
      <c r="V50" s="24" t="s">
        <v>72</v>
      </c>
      <c r="W50" s="24" t="s">
        <v>72</v>
      </c>
      <c r="X50" s="24" t="s">
        <v>72</v>
      </c>
      <c r="Y50" s="24" t="s">
        <v>72</v>
      </c>
      <c r="Z50" s="24" t="s">
        <v>72</v>
      </c>
      <c r="AA50" s="27" t="s">
        <v>77</v>
      </c>
      <c r="AC50" s="25">
        <v>2</v>
      </c>
    </row>
    <row r="51" spans="1:29" s="21" customFormat="1" ht="15" hidden="1" x14ac:dyDescent="0.15">
      <c r="A51" s="28">
        <v>1007172686</v>
      </c>
      <c r="B51" s="28">
        <v>50</v>
      </c>
      <c r="C51" s="26" t="s">
        <v>1351</v>
      </c>
      <c r="D51" s="28" t="s">
        <v>1462</v>
      </c>
      <c r="E51" s="28">
        <v>3013971016</v>
      </c>
      <c r="F51" s="28" t="s">
        <v>1463</v>
      </c>
      <c r="G51" s="29" t="s">
        <v>1354</v>
      </c>
      <c r="H51" s="28" t="s">
        <v>1355</v>
      </c>
      <c r="I51" s="29" t="s">
        <v>1363</v>
      </c>
      <c r="J51" s="29"/>
      <c r="K51" s="29"/>
      <c r="L51" s="29"/>
      <c r="M51" s="29"/>
      <c r="N51" s="29"/>
      <c r="O51" s="29"/>
      <c r="P51" s="29"/>
      <c r="Q51" s="29"/>
      <c r="R51" s="29"/>
      <c r="S51" s="29"/>
      <c r="T51" s="29"/>
      <c r="U51" s="29"/>
      <c r="V51" s="29"/>
      <c r="W51" s="29"/>
      <c r="X51" s="29"/>
      <c r="Y51" s="29"/>
      <c r="Z51" s="29"/>
      <c r="AA51" s="30" t="s">
        <v>1464</v>
      </c>
      <c r="AB51" s="29" t="s">
        <v>1464</v>
      </c>
      <c r="AC51" s="31" t="s">
        <v>1464</v>
      </c>
    </row>
    <row r="52" spans="1:29" ht="15" hidden="1" x14ac:dyDescent="0.15">
      <c r="A52" s="26">
        <v>72149109</v>
      </c>
      <c r="B52" s="26">
        <v>51</v>
      </c>
      <c r="C52" s="26" t="s">
        <v>1351</v>
      </c>
      <c r="D52" s="26" t="s">
        <v>1465</v>
      </c>
      <c r="E52" s="26">
        <v>3105420329</v>
      </c>
      <c r="F52" s="26" t="s">
        <v>1466</v>
      </c>
      <c r="G52" s="24" t="s">
        <v>1354</v>
      </c>
      <c r="H52" s="26" t="s">
        <v>1355</v>
      </c>
      <c r="I52" s="24" t="s">
        <v>1363</v>
      </c>
      <c r="J52" s="24" t="s">
        <v>76</v>
      </c>
      <c r="K52" s="24" t="s">
        <v>76</v>
      </c>
      <c r="L52" s="24" t="s">
        <v>71</v>
      </c>
      <c r="M52" s="24" t="s">
        <v>71</v>
      </c>
      <c r="N52" s="24" t="s">
        <v>71</v>
      </c>
      <c r="O52" s="24" t="s">
        <v>71</v>
      </c>
      <c r="P52" s="24" t="s">
        <v>71</v>
      </c>
      <c r="Q52" s="24" t="s">
        <v>71</v>
      </c>
      <c r="R52" s="24" t="s">
        <v>71</v>
      </c>
      <c r="S52" s="24" t="s">
        <v>71</v>
      </c>
      <c r="T52" s="24" t="s">
        <v>71</v>
      </c>
      <c r="U52" s="24" t="s">
        <v>71</v>
      </c>
      <c r="V52" s="24" t="s">
        <v>71</v>
      </c>
      <c r="W52" s="24" t="s">
        <v>71</v>
      </c>
      <c r="X52" s="24" t="s">
        <v>71</v>
      </c>
      <c r="Y52" s="24" t="s">
        <v>71</v>
      </c>
      <c r="Z52" s="24" t="s">
        <v>71</v>
      </c>
      <c r="AA52" s="27" t="s">
        <v>73</v>
      </c>
      <c r="AB52" s="24" t="s">
        <v>1467</v>
      </c>
      <c r="AC52" s="25">
        <v>2</v>
      </c>
    </row>
    <row r="53" spans="1:29" ht="15" hidden="1" x14ac:dyDescent="0.15">
      <c r="A53" s="26">
        <v>26757628</v>
      </c>
      <c r="B53" s="26">
        <v>52</v>
      </c>
      <c r="C53" s="26" t="s">
        <v>1351</v>
      </c>
      <c r="D53" s="26" t="s">
        <v>1468</v>
      </c>
      <c r="E53" s="26">
        <v>3106649196</v>
      </c>
      <c r="F53" s="26" t="s">
        <v>1469</v>
      </c>
      <c r="G53" s="24" t="s">
        <v>1354</v>
      </c>
      <c r="H53" s="26" t="s">
        <v>1355</v>
      </c>
      <c r="I53" s="24" t="s">
        <v>1363</v>
      </c>
      <c r="J53" s="24" t="s">
        <v>71</v>
      </c>
      <c r="K53" s="24" t="s">
        <v>71</v>
      </c>
      <c r="L53" s="24" t="s">
        <v>72</v>
      </c>
      <c r="M53" s="24" t="s">
        <v>71</v>
      </c>
      <c r="N53" s="24" t="s">
        <v>72</v>
      </c>
      <c r="O53" s="24" t="s">
        <v>72</v>
      </c>
      <c r="P53" s="24" t="s">
        <v>72</v>
      </c>
      <c r="Q53" s="24" t="s">
        <v>72</v>
      </c>
      <c r="R53" s="24" t="s">
        <v>76</v>
      </c>
      <c r="S53" s="24" t="s">
        <v>72</v>
      </c>
      <c r="T53" s="24" t="s">
        <v>72</v>
      </c>
      <c r="U53" s="24" t="s">
        <v>72</v>
      </c>
      <c r="V53" s="24" t="s">
        <v>72</v>
      </c>
      <c r="W53" s="24" t="s">
        <v>72</v>
      </c>
      <c r="X53" s="24" t="s">
        <v>72</v>
      </c>
      <c r="Y53" s="24" t="s">
        <v>72</v>
      </c>
      <c r="Z53" s="24" t="s">
        <v>76</v>
      </c>
      <c r="AA53" s="27" t="s">
        <v>80</v>
      </c>
      <c r="AC53" s="25">
        <v>2</v>
      </c>
    </row>
    <row r="54" spans="1:29" ht="15" hidden="1" x14ac:dyDescent="0.15">
      <c r="A54" s="26">
        <v>32657122</v>
      </c>
      <c r="B54" s="26">
        <v>53</v>
      </c>
      <c r="C54" s="26" t="s">
        <v>1351</v>
      </c>
      <c r="D54" s="26" t="s">
        <v>1470</v>
      </c>
      <c r="E54" s="26"/>
      <c r="F54" s="26" t="s">
        <v>1471</v>
      </c>
      <c r="G54" s="24" t="s">
        <v>1354</v>
      </c>
      <c r="H54" s="26" t="s">
        <v>1355</v>
      </c>
      <c r="I54" s="24" t="s">
        <v>1363</v>
      </c>
      <c r="J54" s="24" t="s">
        <v>71</v>
      </c>
      <c r="K54" s="24" t="s">
        <v>71</v>
      </c>
      <c r="L54" s="24" t="s">
        <v>72</v>
      </c>
      <c r="M54" s="24" t="s">
        <v>76</v>
      </c>
      <c r="N54" s="24" t="s">
        <v>72</v>
      </c>
      <c r="O54" s="24" t="s">
        <v>72</v>
      </c>
      <c r="P54" s="24" t="s">
        <v>72</v>
      </c>
      <c r="Q54" s="24" t="s">
        <v>72</v>
      </c>
      <c r="R54" s="24" t="s">
        <v>76</v>
      </c>
      <c r="S54" s="24" t="s">
        <v>72</v>
      </c>
      <c r="T54" s="24" t="s">
        <v>72</v>
      </c>
      <c r="U54" s="24" t="s">
        <v>72</v>
      </c>
      <c r="V54" s="24" t="s">
        <v>72</v>
      </c>
      <c r="W54" s="24" t="s">
        <v>72</v>
      </c>
      <c r="X54" s="24" t="s">
        <v>72</v>
      </c>
      <c r="Y54" s="24" t="s">
        <v>72</v>
      </c>
      <c r="Z54" s="24" t="s">
        <v>72</v>
      </c>
      <c r="AA54" s="27" t="s">
        <v>80</v>
      </c>
      <c r="AC54" s="25">
        <v>2</v>
      </c>
    </row>
    <row r="55" spans="1:29" ht="15" hidden="1" x14ac:dyDescent="0.15">
      <c r="A55" s="26">
        <v>32766298</v>
      </c>
      <c r="B55" s="26">
        <v>54</v>
      </c>
      <c r="C55" s="26" t="s">
        <v>1351</v>
      </c>
      <c r="D55" s="26" t="s">
        <v>1472</v>
      </c>
      <c r="E55" s="26">
        <v>3002447131</v>
      </c>
      <c r="F55" s="26" t="s">
        <v>1473</v>
      </c>
      <c r="G55" s="24" t="s">
        <v>1354</v>
      </c>
      <c r="H55" s="26" t="s">
        <v>1355</v>
      </c>
      <c r="I55" s="24" t="s">
        <v>1356</v>
      </c>
      <c r="J55" s="24" t="s">
        <v>71</v>
      </c>
      <c r="K55" s="24" t="s">
        <v>71</v>
      </c>
      <c r="L55" s="24" t="s">
        <v>71</v>
      </c>
      <c r="M55" s="24" t="s">
        <v>71</v>
      </c>
      <c r="N55" s="24" t="s">
        <v>71</v>
      </c>
      <c r="O55" s="24" t="s">
        <v>71</v>
      </c>
      <c r="P55" s="24" t="s">
        <v>71</v>
      </c>
      <c r="Q55" s="24" t="s">
        <v>71</v>
      </c>
      <c r="R55" s="24" t="s">
        <v>71</v>
      </c>
      <c r="S55" s="24" t="s">
        <v>71</v>
      </c>
      <c r="T55" s="24" t="s">
        <v>71</v>
      </c>
      <c r="U55" s="24" t="s">
        <v>71</v>
      </c>
      <c r="V55" s="24" t="s">
        <v>71</v>
      </c>
      <c r="W55" s="24" t="s">
        <v>71</v>
      </c>
      <c r="X55" s="24" t="s">
        <v>71</v>
      </c>
      <c r="Y55" s="24" t="s">
        <v>71</v>
      </c>
      <c r="Z55" s="24" t="s">
        <v>71</v>
      </c>
      <c r="AA55" s="27" t="s">
        <v>1367</v>
      </c>
      <c r="AB55" s="24" t="s">
        <v>1368</v>
      </c>
      <c r="AC55" s="25" t="s">
        <v>1367</v>
      </c>
    </row>
    <row r="56" spans="1:29" ht="15" hidden="1" x14ac:dyDescent="0.15">
      <c r="A56" s="26">
        <v>8732595</v>
      </c>
      <c r="B56" s="26">
        <v>55</v>
      </c>
      <c r="C56" s="26" t="s">
        <v>1351</v>
      </c>
      <c r="D56" s="26" t="s">
        <v>1474</v>
      </c>
      <c r="E56" s="26">
        <v>3052810077</v>
      </c>
      <c r="F56" s="26" t="s">
        <v>1475</v>
      </c>
      <c r="G56" s="24" t="s">
        <v>1354</v>
      </c>
      <c r="H56" s="26" t="s">
        <v>1355</v>
      </c>
      <c r="I56" s="24" t="s">
        <v>1356</v>
      </c>
      <c r="J56" s="24" t="s">
        <v>76</v>
      </c>
      <c r="K56" s="24" t="s">
        <v>76</v>
      </c>
      <c r="L56" s="24" t="s">
        <v>76</v>
      </c>
      <c r="M56" s="24" t="s">
        <v>71</v>
      </c>
      <c r="N56" s="24" t="s">
        <v>71</v>
      </c>
      <c r="O56" s="24" t="s">
        <v>76</v>
      </c>
      <c r="P56" s="24" t="s">
        <v>76</v>
      </c>
      <c r="Q56" s="24" t="s">
        <v>76</v>
      </c>
      <c r="R56" s="24" t="s">
        <v>71</v>
      </c>
      <c r="S56" s="24" t="s">
        <v>72</v>
      </c>
      <c r="T56" s="24" t="s">
        <v>72</v>
      </c>
      <c r="U56" s="24" t="s">
        <v>71</v>
      </c>
      <c r="V56" s="24" t="s">
        <v>71</v>
      </c>
      <c r="W56" s="24" t="s">
        <v>71</v>
      </c>
      <c r="X56" s="24" t="s">
        <v>71</v>
      </c>
      <c r="Y56" s="24" t="s">
        <v>71</v>
      </c>
      <c r="Z56" s="24" t="s">
        <v>71</v>
      </c>
      <c r="AA56" s="27" t="s">
        <v>85</v>
      </c>
      <c r="AC56" s="25">
        <v>2</v>
      </c>
    </row>
    <row r="57" spans="1:29" ht="15" hidden="1" x14ac:dyDescent="0.15">
      <c r="A57" s="26">
        <v>22415762</v>
      </c>
      <c r="B57" s="26">
        <v>56</v>
      </c>
      <c r="C57" s="26" t="s">
        <v>1351</v>
      </c>
      <c r="D57" s="26" t="s">
        <v>1476</v>
      </c>
      <c r="E57" s="26">
        <v>3005603742</v>
      </c>
      <c r="F57" s="26" t="s">
        <v>1477</v>
      </c>
      <c r="G57" s="24" t="s">
        <v>1354</v>
      </c>
      <c r="H57" s="26" t="s">
        <v>1355</v>
      </c>
      <c r="I57" s="24" t="s">
        <v>1363</v>
      </c>
      <c r="J57" s="24" t="s">
        <v>76</v>
      </c>
      <c r="K57" s="24" t="s">
        <v>76</v>
      </c>
      <c r="L57" s="24" t="s">
        <v>72</v>
      </c>
      <c r="M57" s="24" t="s">
        <v>71</v>
      </c>
      <c r="N57" s="24" t="s">
        <v>72</v>
      </c>
      <c r="O57" s="24" t="s">
        <v>72</v>
      </c>
      <c r="P57" s="24" t="s">
        <v>72</v>
      </c>
      <c r="Q57" s="24" t="s">
        <v>72</v>
      </c>
      <c r="R57" s="24" t="s">
        <v>76</v>
      </c>
      <c r="S57" s="24" t="s">
        <v>72</v>
      </c>
      <c r="T57" s="24" t="s">
        <v>72</v>
      </c>
      <c r="U57" s="24" t="s">
        <v>72</v>
      </c>
      <c r="V57" s="24" t="s">
        <v>72</v>
      </c>
      <c r="W57" s="24" t="s">
        <v>72</v>
      </c>
      <c r="X57" s="24" t="s">
        <v>72</v>
      </c>
      <c r="Y57" s="24" t="s">
        <v>72</v>
      </c>
      <c r="Z57" s="24" t="s">
        <v>72</v>
      </c>
      <c r="AA57" s="27" t="s">
        <v>91</v>
      </c>
      <c r="AC57" s="25">
        <v>1</v>
      </c>
    </row>
    <row r="58" spans="1:29" ht="15" hidden="1" x14ac:dyDescent="0.15">
      <c r="A58" s="26">
        <v>22294421</v>
      </c>
      <c r="B58" s="26">
        <v>57</v>
      </c>
      <c r="C58" s="26" t="s">
        <v>1351</v>
      </c>
      <c r="D58" s="26" t="s">
        <v>1478</v>
      </c>
      <c r="E58" s="26">
        <v>3022749657</v>
      </c>
      <c r="F58" s="26" t="s">
        <v>1479</v>
      </c>
      <c r="G58" s="24" t="s">
        <v>1354</v>
      </c>
      <c r="H58" s="26" t="s">
        <v>1355</v>
      </c>
      <c r="I58" s="24" t="s">
        <v>1356</v>
      </c>
      <c r="J58" s="24" t="s">
        <v>71</v>
      </c>
      <c r="K58" s="24" t="s">
        <v>71</v>
      </c>
      <c r="L58" s="24" t="s">
        <v>72</v>
      </c>
      <c r="M58" s="24" t="s">
        <v>71</v>
      </c>
      <c r="N58" s="24" t="s">
        <v>72</v>
      </c>
      <c r="O58" s="24" t="s">
        <v>72</v>
      </c>
      <c r="P58" s="24" t="s">
        <v>72</v>
      </c>
      <c r="Q58" s="24" t="s">
        <v>72</v>
      </c>
      <c r="R58" s="24" t="s">
        <v>76</v>
      </c>
      <c r="S58" s="24" t="s">
        <v>72</v>
      </c>
      <c r="T58" s="24" t="s">
        <v>72</v>
      </c>
      <c r="U58" s="24" t="s">
        <v>71</v>
      </c>
      <c r="V58" s="24" t="s">
        <v>71</v>
      </c>
      <c r="W58" s="24" t="s">
        <v>71</v>
      </c>
      <c r="X58" s="24" t="s">
        <v>71</v>
      </c>
      <c r="Y58" s="24" t="s">
        <v>76</v>
      </c>
      <c r="Z58" s="24" t="s">
        <v>71</v>
      </c>
      <c r="AA58" s="27" t="s">
        <v>256</v>
      </c>
      <c r="AB58" s="24" t="s">
        <v>1371</v>
      </c>
      <c r="AC58" s="25">
        <v>2</v>
      </c>
    </row>
    <row r="59" spans="1:29" ht="15" hidden="1" x14ac:dyDescent="0.15">
      <c r="A59" s="26">
        <v>22313863</v>
      </c>
      <c r="B59" s="26">
        <v>58</v>
      </c>
      <c r="C59" s="26" t="s">
        <v>1351</v>
      </c>
      <c r="D59" s="26" t="s">
        <v>1480</v>
      </c>
      <c r="E59" s="26">
        <v>3023715509</v>
      </c>
      <c r="F59" s="26" t="s">
        <v>1481</v>
      </c>
      <c r="G59" s="24" t="s">
        <v>1354</v>
      </c>
      <c r="H59" s="26" t="s">
        <v>1355</v>
      </c>
      <c r="I59" s="24" t="s">
        <v>1356</v>
      </c>
      <c r="J59" s="24" t="s">
        <v>71</v>
      </c>
      <c r="K59" s="24" t="s">
        <v>71</v>
      </c>
      <c r="L59" s="24" t="s">
        <v>71</v>
      </c>
      <c r="M59" s="24" t="s">
        <v>71</v>
      </c>
      <c r="N59" s="24" t="s">
        <v>71</v>
      </c>
      <c r="O59" s="24" t="s">
        <v>71</v>
      </c>
      <c r="P59" s="24" t="s">
        <v>71</v>
      </c>
      <c r="Q59" s="24" t="s">
        <v>71</v>
      </c>
      <c r="R59" s="24" t="s">
        <v>71</v>
      </c>
      <c r="S59" s="24" t="s">
        <v>71</v>
      </c>
      <c r="T59" s="24" t="s">
        <v>71</v>
      </c>
      <c r="U59" s="24" t="s">
        <v>71</v>
      </c>
      <c r="V59" s="24" t="s">
        <v>71</v>
      </c>
      <c r="W59" s="24" t="s">
        <v>71</v>
      </c>
      <c r="X59" s="24" t="s">
        <v>71</v>
      </c>
      <c r="Y59" s="24" t="s">
        <v>71</v>
      </c>
      <c r="Z59" s="24" t="s">
        <v>71</v>
      </c>
      <c r="AA59" s="27" t="s">
        <v>1367</v>
      </c>
      <c r="AB59" s="24" t="s">
        <v>1368</v>
      </c>
      <c r="AC59" s="25" t="s">
        <v>1367</v>
      </c>
    </row>
    <row r="60" spans="1:29" ht="15" hidden="1" x14ac:dyDescent="0.15">
      <c r="A60" s="26">
        <v>22445534</v>
      </c>
      <c r="B60" s="26">
        <v>59</v>
      </c>
      <c r="C60" s="26" t="s">
        <v>1351</v>
      </c>
      <c r="D60" s="26" t="s">
        <v>1482</v>
      </c>
      <c r="E60" s="26">
        <v>3153849228</v>
      </c>
      <c r="F60" s="26" t="s">
        <v>1483</v>
      </c>
      <c r="G60" s="24" t="s">
        <v>1354</v>
      </c>
      <c r="H60" s="26" t="s">
        <v>1355</v>
      </c>
      <c r="I60" s="24" t="s">
        <v>1356</v>
      </c>
      <c r="J60" s="24" t="s">
        <v>71</v>
      </c>
      <c r="K60" s="24" t="s">
        <v>71</v>
      </c>
      <c r="L60" s="24" t="s">
        <v>72</v>
      </c>
      <c r="M60" s="24" t="s">
        <v>71</v>
      </c>
      <c r="N60" s="24" t="s">
        <v>72</v>
      </c>
      <c r="O60" s="24" t="s">
        <v>72</v>
      </c>
      <c r="P60" s="24" t="s">
        <v>72</v>
      </c>
      <c r="Q60" s="24" t="s">
        <v>72</v>
      </c>
      <c r="R60" s="24" t="s">
        <v>76</v>
      </c>
      <c r="S60" s="24" t="s">
        <v>72</v>
      </c>
      <c r="T60" s="24" t="s">
        <v>72</v>
      </c>
      <c r="U60" s="24" t="s">
        <v>71</v>
      </c>
      <c r="V60" s="24" t="s">
        <v>71</v>
      </c>
      <c r="W60" s="24" t="s">
        <v>71</v>
      </c>
      <c r="X60" s="24" t="s">
        <v>71</v>
      </c>
      <c r="Y60" s="24" t="s">
        <v>71</v>
      </c>
      <c r="Z60" s="24" t="s">
        <v>71</v>
      </c>
      <c r="AA60" s="27" t="s">
        <v>256</v>
      </c>
      <c r="AC60" s="25">
        <v>2</v>
      </c>
    </row>
    <row r="61" spans="1:29" ht="15" hidden="1" x14ac:dyDescent="0.15">
      <c r="A61" s="26">
        <v>32681585</v>
      </c>
      <c r="B61" s="26">
        <v>60</v>
      </c>
      <c r="C61" s="26" t="s">
        <v>1351</v>
      </c>
      <c r="D61" s="26" t="s">
        <v>1454</v>
      </c>
      <c r="E61" s="26">
        <v>3045279670</v>
      </c>
      <c r="F61" s="26" t="s">
        <v>1484</v>
      </c>
      <c r="G61" s="24" t="s">
        <v>1354</v>
      </c>
      <c r="H61" s="26" t="s">
        <v>1355</v>
      </c>
      <c r="I61" s="24" t="s">
        <v>1356</v>
      </c>
      <c r="J61" s="24" t="s">
        <v>71</v>
      </c>
      <c r="K61" s="24" t="s">
        <v>71</v>
      </c>
      <c r="L61" s="24" t="s">
        <v>71</v>
      </c>
      <c r="M61" s="24" t="s">
        <v>71</v>
      </c>
      <c r="N61" s="24" t="s">
        <v>71</v>
      </c>
      <c r="O61" s="24" t="s">
        <v>71</v>
      </c>
      <c r="P61" s="24" t="s">
        <v>71</v>
      </c>
      <c r="Q61" s="24" t="s">
        <v>71</v>
      </c>
      <c r="R61" s="24" t="s">
        <v>71</v>
      </c>
      <c r="S61" s="24" t="s">
        <v>71</v>
      </c>
      <c r="T61" s="24" t="s">
        <v>71</v>
      </c>
      <c r="U61" s="24" t="s">
        <v>71</v>
      </c>
      <c r="V61" s="24" t="s">
        <v>76</v>
      </c>
      <c r="W61" s="24" t="s">
        <v>76</v>
      </c>
      <c r="X61" s="24" t="s">
        <v>72</v>
      </c>
      <c r="Y61" s="24" t="s">
        <v>76</v>
      </c>
      <c r="Z61" s="24" t="s">
        <v>72</v>
      </c>
      <c r="AA61" s="27" t="s">
        <v>179</v>
      </c>
      <c r="AC61" s="25">
        <v>3</v>
      </c>
    </row>
    <row r="62" spans="1:29" ht="15" hidden="1" x14ac:dyDescent="0.15">
      <c r="A62" s="26">
        <v>72265227</v>
      </c>
      <c r="B62" s="26">
        <v>61</v>
      </c>
      <c r="C62" s="26" t="s">
        <v>1351</v>
      </c>
      <c r="D62" s="26" t="s">
        <v>1485</v>
      </c>
      <c r="E62" s="26">
        <v>3012154727</v>
      </c>
      <c r="F62" s="26" t="s">
        <v>1486</v>
      </c>
      <c r="G62" s="24" t="s">
        <v>1354</v>
      </c>
      <c r="H62" s="26" t="s">
        <v>1355</v>
      </c>
      <c r="I62" s="24" t="s">
        <v>1356</v>
      </c>
      <c r="J62" s="24" t="s">
        <v>76</v>
      </c>
      <c r="K62" s="24" t="s">
        <v>76</v>
      </c>
      <c r="L62" s="24" t="s">
        <v>72</v>
      </c>
      <c r="M62" s="24" t="s">
        <v>71</v>
      </c>
      <c r="N62" s="24" t="s">
        <v>72</v>
      </c>
      <c r="O62" s="24" t="s">
        <v>72</v>
      </c>
      <c r="P62" s="24" t="s">
        <v>72</v>
      </c>
      <c r="Q62" s="24" t="s">
        <v>72</v>
      </c>
      <c r="R62" s="24" t="s">
        <v>72</v>
      </c>
      <c r="S62" s="24" t="s">
        <v>72</v>
      </c>
      <c r="T62" s="24" t="s">
        <v>72</v>
      </c>
      <c r="U62" s="24" t="s">
        <v>72</v>
      </c>
      <c r="V62" s="24" t="s">
        <v>72</v>
      </c>
      <c r="W62" s="24" t="s">
        <v>72</v>
      </c>
      <c r="X62" s="24" t="s">
        <v>72</v>
      </c>
      <c r="Y62" s="24" t="s">
        <v>72</v>
      </c>
      <c r="Z62" s="24" t="s">
        <v>72</v>
      </c>
      <c r="AA62" s="27" t="s">
        <v>91</v>
      </c>
      <c r="AB62" s="24" t="s">
        <v>1360</v>
      </c>
      <c r="AC62" s="25">
        <v>1</v>
      </c>
    </row>
    <row r="63" spans="1:29" ht="15" hidden="1" x14ac:dyDescent="0.15">
      <c r="A63" s="26">
        <v>32761116</v>
      </c>
      <c r="B63" s="26">
        <v>62</v>
      </c>
      <c r="C63" s="26" t="s">
        <v>1351</v>
      </c>
      <c r="D63" s="26" t="s">
        <v>1487</v>
      </c>
      <c r="E63" s="26">
        <v>3011888367</v>
      </c>
      <c r="F63" s="26" t="s">
        <v>1488</v>
      </c>
      <c r="G63" s="24" t="s">
        <v>1354</v>
      </c>
      <c r="H63" s="26" t="s">
        <v>1355</v>
      </c>
      <c r="I63" s="24" t="s">
        <v>1356</v>
      </c>
      <c r="J63" s="24" t="s">
        <v>76</v>
      </c>
      <c r="K63" s="24" t="s">
        <v>76</v>
      </c>
      <c r="L63" s="24"/>
      <c r="M63" s="24"/>
      <c r="N63" s="24"/>
      <c r="O63" s="24"/>
      <c r="P63" s="24"/>
      <c r="Q63" s="24"/>
      <c r="R63" s="24"/>
      <c r="S63" s="24"/>
      <c r="T63" s="24"/>
      <c r="U63" s="24" t="s">
        <v>72</v>
      </c>
      <c r="V63" s="24" t="s">
        <v>72</v>
      </c>
      <c r="W63" s="24" t="s">
        <v>72</v>
      </c>
      <c r="X63" s="24" t="s">
        <v>72</v>
      </c>
      <c r="Y63" s="24" t="s">
        <v>72</v>
      </c>
      <c r="Z63" s="24" t="s">
        <v>76</v>
      </c>
      <c r="AA63" s="27" t="s">
        <v>77</v>
      </c>
      <c r="AB63" s="24" t="s">
        <v>1489</v>
      </c>
      <c r="AC63" s="25">
        <v>2</v>
      </c>
    </row>
    <row r="64" spans="1:29" ht="15" hidden="1" x14ac:dyDescent="0.15">
      <c r="A64" s="26">
        <v>1002034065</v>
      </c>
      <c r="B64" s="26">
        <v>63</v>
      </c>
      <c r="C64" s="26" t="s">
        <v>1351</v>
      </c>
      <c r="D64" s="26" t="s">
        <v>1490</v>
      </c>
      <c r="E64" s="26">
        <v>3023677343</v>
      </c>
      <c r="F64" s="26" t="s">
        <v>1491</v>
      </c>
      <c r="G64" s="24" t="s">
        <v>1354</v>
      </c>
      <c r="H64" s="26" t="s">
        <v>1355</v>
      </c>
      <c r="I64" s="24" t="s">
        <v>1363</v>
      </c>
      <c r="J64" s="24" t="s">
        <v>76</v>
      </c>
      <c r="K64" s="24" t="s">
        <v>76</v>
      </c>
      <c r="L64" s="24" t="s">
        <v>72</v>
      </c>
      <c r="M64" s="24" t="s">
        <v>71</v>
      </c>
      <c r="N64" s="24" t="s">
        <v>72</v>
      </c>
      <c r="O64" s="24" t="s">
        <v>72</v>
      </c>
      <c r="P64" s="24" t="s">
        <v>72</v>
      </c>
      <c r="Q64" s="24" t="s">
        <v>72</v>
      </c>
      <c r="R64" s="24" t="s">
        <v>72</v>
      </c>
      <c r="S64" s="24" t="s">
        <v>72</v>
      </c>
      <c r="T64" s="24" t="s">
        <v>72</v>
      </c>
      <c r="U64" s="24" t="s">
        <v>72</v>
      </c>
      <c r="V64" s="24" t="s">
        <v>72</v>
      </c>
      <c r="W64" s="24" t="s">
        <v>72</v>
      </c>
      <c r="X64" s="24" t="s">
        <v>72</v>
      </c>
      <c r="Y64" s="24" t="s">
        <v>72</v>
      </c>
      <c r="Z64" s="24" t="s">
        <v>72</v>
      </c>
      <c r="AA64" s="27" t="s">
        <v>91</v>
      </c>
      <c r="AC64" s="25">
        <v>1</v>
      </c>
    </row>
    <row r="65" spans="1:29" ht="15" hidden="1" x14ac:dyDescent="0.15">
      <c r="A65" s="26">
        <v>8663792</v>
      </c>
      <c r="B65" s="26">
        <v>64</v>
      </c>
      <c r="C65" s="26" t="s">
        <v>1351</v>
      </c>
      <c r="D65" s="26" t="s">
        <v>1492</v>
      </c>
      <c r="E65" s="26">
        <v>3186885532</v>
      </c>
      <c r="F65" s="26" t="s">
        <v>1493</v>
      </c>
      <c r="G65" s="24" t="s">
        <v>1354</v>
      </c>
      <c r="H65" s="26" t="s">
        <v>1355</v>
      </c>
      <c r="I65" s="24" t="s">
        <v>1356</v>
      </c>
      <c r="J65" s="24" t="s">
        <v>76</v>
      </c>
      <c r="K65" s="24" t="s">
        <v>76</v>
      </c>
      <c r="L65" s="24" t="s">
        <v>71</v>
      </c>
      <c r="M65" s="24" t="s">
        <v>71</v>
      </c>
      <c r="N65" s="24" t="s">
        <v>71</v>
      </c>
      <c r="O65" s="24" t="s">
        <v>71</v>
      </c>
      <c r="P65" s="24" t="s">
        <v>71</v>
      </c>
      <c r="Q65" s="24" t="s">
        <v>71</v>
      </c>
      <c r="R65" s="24" t="s">
        <v>71</v>
      </c>
      <c r="S65" s="24" t="s">
        <v>71</v>
      </c>
      <c r="T65" s="24" t="s">
        <v>71</v>
      </c>
      <c r="U65" s="24" t="s">
        <v>71</v>
      </c>
      <c r="V65" s="24" t="s">
        <v>71</v>
      </c>
      <c r="W65" s="24" t="s">
        <v>71</v>
      </c>
      <c r="X65" s="24" t="s">
        <v>71</v>
      </c>
      <c r="Y65" s="24" t="s">
        <v>71</v>
      </c>
      <c r="Z65" s="24" t="s">
        <v>71</v>
      </c>
      <c r="AA65" s="27" t="s">
        <v>73</v>
      </c>
      <c r="AB65" s="24" t="s">
        <v>1494</v>
      </c>
      <c r="AC65" s="25">
        <v>2</v>
      </c>
    </row>
    <row r="66" spans="1:29" ht="15" hidden="1" x14ac:dyDescent="0.15">
      <c r="A66" s="26">
        <v>32676566</v>
      </c>
      <c r="B66" s="26">
        <v>65</v>
      </c>
      <c r="C66" s="26" t="s">
        <v>1351</v>
      </c>
      <c r="D66" s="26" t="s">
        <v>1495</v>
      </c>
      <c r="E66" s="26">
        <v>6053334713</v>
      </c>
      <c r="F66" s="26" t="s">
        <v>1496</v>
      </c>
      <c r="G66" s="24" t="s">
        <v>1354</v>
      </c>
      <c r="H66" s="26" t="s">
        <v>1355</v>
      </c>
      <c r="I66" s="24" t="s">
        <v>1356</v>
      </c>
      <c r="J66" s="24" t="s">
        <v>71</v>
      </c>
      <c r="K66" s="24" t="s">
        <v>71</v>
      </c>
      <c r="L66" s="24" t="s">
        <v>71</v>
      </c>
      <c r="M66" s="24" t="s">
        <v>71</v>
      </c>
      <c r="N66" s="24" t="s">
        <v>71</v>
      </c>
      <c r="O66" s="24" t="s">
        <v>71</v>
      </c>
      <c r="P66" s="24" t="s">
        <v>71</v>
      </c>
      <c r="Q66" s="24" t="s">
        <v>71</v>
      </c>
      <c r="R66" s="24" t="s">
        <v>71</v>
      </c>
      <c r="S66" s="24" t="s">
        <v>71</v>
      </c>
      <c r="T66" s="24" t="s">
        <v>71</v>
      </c>
      <c r="U66" s="24" t="s">
        <v>71</v>
      </c>
      <c r="V66" s="24" t="s">
        <v>76</v>
      </c>
      <c r="W66" s="24" t="s">
        <v>76</v>
      </c>
      <c r="X66" s="24" t="s">
        <v>71</v>
      </c>
      <c r="Y66" s="24" t="s">
        <v>76</v>
      </c>
      <c r="Z66" s="24" t="s">
        <v>76</v>
      </c>
      <c r="AA66" s="27" t="s">
        <v>179</v>
      </c>
      <c r="AC66" s="25">
        <v>3</v>
      </c>
    </row>
    <row r="67" spans="1:29" ht="15" hidden="1" x14ac:dyDescent="0.15">
      <c r="A67" s="26">
        <v>22858815</v>
      </c>
      <c r="B67" s="26">
        <v>66</v>
      </c>
      <c r="C67" s="26" t="s">
        <v>1351</v>
      </c>
      <c r="D67" s="26" t="s">
        <v>1497</v>
      </c>
      <c r="E67" s="26">
        <v>3016620023</v>
      </c>
      <c r="F67" s="26" t="s">
        <v>1498</v>
      </c>
      <c r="G67" s="24" t="s">
        <v>1354</v>
      </c>
      <c r="H67" s="26" t="s">
        <v>1355</v>
      </c>
      <c r="I67" s="24" t="s">
        <v>1363</v>
      </c>
      <c r="J67" s="24" t="s">
        <v>71</v>
      </c>
      <c r="K67" s="24" t="s">
        <v>71</v>
      </c>
      <c r="L67" s="24" t="s">
        <v>72</v>
      </c>
      <c r="M67" s="24" t="s">
        <v>71</v>
      </c>
      <c r="N67" s="24" t="s">
        <v>72</v>
      </c>
      <c r="O67" s="24" t="s">
        <v>72</v>
      </c>
      <c r="P67" s="24" t="s">
        <v>72</v>
      </c>
      <c r="Q67" s="24" t="s">
        <v>72</v>
      </c>
      <c r="R67" s="24" t="s">
        <v>72</v>
      </c>
      <c r="S67" s="24" t="s">
        <v>72</v>
      </c>
      <c r="T67" s="24" t="s">
        <v>72</v>
      </c>
      <c r="U67" s="24" t="s">
        <v>71</v>
      </c>
      <c r="V67" s="24" t="s">
        <v>71</v>
      </c>
      <c r="W67" s="24" t="s">
        <v>71</v>
      </c>
      <c r="X67" s="24" t="s">
        <v>71</v>
      </c>
      <c r="Y67" s="24" t="s">
        <v>71</v>
      </c>
      <c r="Z67" s="24" t="s">
        <v>71</v>
      </c>
      <c r="AA67" s="27" t="s">
        <v>256</v>
      </c>
      <c r="AC67" s="25">
        <v>2</v>
      </c>
    </row>
    <row r="68" spans="1:29" ht="15" hidden="1" x14ac:dyDescent="0.15">
      <c r="A68" s="26">
        <v>22421549</v>
      </c>
      <c r="B68" s="26">
        <v>67</v>
      </c>
      <c r="C68" s="26" t="s">
        <v>1351</v>
      </c>
      <c r="D68" s="26" t="s">
        <v>1499</v>
      </c>
      <c r="E68" s="26">
        <v>3006485919</v>
      </c>
      <c r="F68" s="26" t="s">
        <v>1500</v>
      </c>
      <c r="G68" s="24" t="s">
        <v>1354</v>
      </c>
      <c r="H68" s="26" t="s">
        <v>1355</v>
      </c>
      <c r="I68" s="24" t="s">
        <v>1356</v>
      </c>
      <c r="J68" s="24" t="s">
        <v>71</v>
      </c>
      <c r="K68" s="24" t="s">
        <v>71</v>
      </c>
      <c r="L68" s="24" t="s">
        <v>71</v>
      </c>
      <c r="M68" s="24" t="s">
        <v>71</v>
      </c>
      <c r="N68" s="24" t="s">
        <v>71</v>
      </c>
      <c r="O68" s="24" t="s">
        <v>71</v>
      </c>
      <c r="P68" s="24" t="s">
        <v>71</v>
      </c>
      <c r="Q68" s="24" t="s">
        <v>71</v>
      </c>
      <c r="R68" s="24" t="s">
        <v>71</v>
      </c>
      <c r="S68" s="24" t="s">
        <v>71</v>
      </c>
      <c r="T68" s="24" t="s">
        <v>71</v>
      </c>
      <c r="U68" s="24" t="s">
        <v>71</v>
      </c>
      <c r="V68" s="24" t="s">
        <v>71</v>
      </c>
      <c r="W68" s="24" t="s">
        <v>71</v>
      </c>
      <c r="X68" s="24" t="s">
        <v>71</v>
      </c>
      <c r="Y68" s="24" t="s">
        <v>71</v>
      </c>
      <c r="Z68" s="24" t="s">
        <v>71</v>
      </c>
      <c r="AA68" s="27" t="s">
        <v>1367</v>
      </c>
      <c r="AB68" s="24" t="s">
        <v>1368</v>
      </c>
      <c r="AC68" s="25" t="s">
        <v>1367</v>
      </c>
    </row>
    <row r="69" spans="1:29" ht="15" hidden="1" x14ac:dyDescent="0.15">
      <c r="A69" s="26">
        <v>4995718</v>
      </c>
      <c r="B69" s="26">
        <v>68</v>
      </c>
      <c r="C69" s="26" t="s">
        <v>1351</v>
      </c>
      <c r="D69" s="26" t="s">
        <v>1501</v>
      </c>
      <c r="E69" s="26">
        <v>3002251177</v>
      </c>
      <c r="F69" s="26" t="s">
        <v>1502</v>
      </c>
      <c r="G69" s="24" t="s">
        <v>1354</v>
      </c>
      <c r="H69" s="26" t="s">
        <v>1355</v>
      </c>
      <c r="I69" s="24" t="s">
        <v>1356</v>
      </c>
      <c r="J69" s="24" t="s">
        <v>76</v>
      </c>
      <c r="K69" s="24" t="s">
        <v>76</v>
      </c>
      <c r="L69" s="24"/>
      <c r="M69" s="24"/>
      <c r="N69" s="24"/>
      <c r="O69" s="24"/>
      <c r="P69" s="24"/>
      <c r="Q69" s="24"/>
      <c r="R69" s="24"/>
      <c r="S69" s="24"/>
      <c r="T69" s="24"/>
      <c r="U69" s="24" t="s">
        <v>72</v>
      </c>
      <c r="V69" s="24" t="s">
        <v>72</v>
      </c>
      <c r="W69" s="24" t="s">
        <v>72</v>
      </c>
      <c r="X69" s="24" t="s">
        <v>72</v>
      </c>
      <c r="Y69" s="24" t="s">
        <v>72</v>
      </c>
      <c r="Z69" s="24" t="s">
        <v>72</v>
      </c>
      <c r="AA69" s="27" t="s">
        <v>77</v>
      </c>
      <c r="AB69" s="24" t="s">
        <v>1489</v>
      </c>
      <c r="AC69" s="25">
        <v>1</v>
      </c>
    </row>
    <row r="70" spans="1:29" ht="15" hidden="1" x14ac:dyDescent="0.15">
      <c r="A70" s="26">
        <v>32642312</v>
      </c>
      <c r="B70" s="26">
        <v>69</v>
      </c>
      <c r="C70" s="26" t="s">
        <v>1351</v>
      </c>
      <c r="D70" s="26" t="s">
        <v>1503</v>
      </c>
      <c r="E70" s="26">
        <v>3145264255</v>
      </c>
      <c r="F70" s="26" t="s">
        <v>1504</v>
      </c>
      <c r="G70" s="24" t="s">
        <v>1354</v>
      </c>
      <c r="H70" s="26" t="s">
        <v>1355</v>
      </c>
      <c r="I70" s="24" t="s">
        <v>1356</v>
      </c>
      <c r="J70" s="24" t="s">
        <v>71</v>
      </c>
      <c r="K70" s="24" t="s">
        <v>71</v>
      </c>
      <c r="L70" s="24" t="s">
        <v>71</v>
      </c>
      <c r="M70" s="24" t="s">
        <v>71</v>
      </c>
      <c r="N70" s="24" t="s">
        <v>71</v>
      </c>
      <c r="O70" s="24" t="s">
        <v>71</v>
      </c>
      <c r="P70" s="24" t="s">
        <v>71</v>
      </c>
      <c r="Q70" s="24" t="s">
        <v>71</v>
      </c>
      <c r="R70" s="24" t="s">
        <v>71</v>
      </c>
      <c r="S70" s="24" t="s">
        <v>71</v>
      </c>
      <c r="T70" s="24" t="s">
        <v>71</v>
      </c>
      <c r="U70" s="24" t="s">
        <v>72</v>
      </c>
      <c r="V70" s="24" t="s">
        <v>72</v>
      </c>
      <c r="W70" s="24" t="s">
        <v>72</v>
      </c>
      <c r="X70" s="24" t="s">
        <v>72</v>
      </c>
      <c r="Y70" s="24" t="s">
        <v>72</v>
      </c>
      <c r="Z70" s="24" t="s">
        <v>72</v>
      </c>
      <c r="AA70" s="27" t="s">
        <v>179</v>
      </c>
      <c r="AC70" s="25">
        <v>2</v>
      </c>
    </row>
    <row r="71" spans="1:29" ht="15" hidden="1" x14ac:dyDescent="0.15">
      <c r="A71" s="26">
        <v>72239153</v>
      </c>
      <c r="B71" s="26">
        <v>70</v>
      </c>
      <c r="C71" s="26" t="s">
        <v>1351</v>
      </c>
      <c r="D71" s="26" t="s">
        <v>1505</v>
      </c>
      <c r="E71" s="26">
        <v>3003441288</v>
      </c>
      <c r="F71" s="26" t="s">
        <v>1506</v>
      </c>
      <c r="G71" s="24" t="s">
        <v>1354</v>
      </c>
      <c r="H71" s="26" t="s">
        <v>1355</v>
      </c>
      <c r="I71" s="24" t="s">
        <v>1363</v>
      </c>
      <c r="J71" s="24" t="s">
        <v>76</v>
      </c>
      <c r="K71" s="24" t="s">
        <v>76</v>
      </c>
      <c r="L71" s="24" t="s">
        <v>72</v>
      </c>
      <c r="M71" s="24" t="s">
        <v>71</v>
      </c>
      <c r="N71" s="24" t="s">
        <v>72</v>
      </c>
      <c r="O71" s="24" t="s">
        <v>72</v>
      </c>
      <c r="P71" s="24" t="s">
        <v>72</v>
      </c>
      <c r="Q71" s="24" t="s">
        <v>72</v>
      </c>
      <c r="R71" s="24" t="s">
        <v>72</v>
      </c>
      <c r="S71" s="24" t="s">
        <v>72</v>
      </c>
      <c r="T71" s="24" t="s">
        <v>72</v>
      </c>
      <c r="U71" s="24" t="s">
        <v>71</v>
      </c>
      <c r="V71" s="24" t="s">
        <v>71</v>
      </c>
      <c r="W71" s="24" t="s">
        <v>71</v>
      </c>
      <c r="X71" s="24" t="s">
        <v>71</v>
      </c>
      <c r="Y71" s="24" t="s">
        <v>76</v>
      </c>
      <c r="Z71" s="24" t="s">
        <v>71</v>
      </c>
      <c r="AA71" s="27" t="s">
        <v>85</v>
      </c>
      <c r="AC71" s="25">
        <v>2</v>
      </c>
    </row>
    <row r="72" spans="1:29" ht="15" hidden="1" x14ac:dyDescent="0.15">
      <c r="A72" s="26">
        <v>32776426</v>
      </c>
      <c r="B72" s="26">
        <v>71</v>
      </c>
      <c r="C72" s="26" t="s">
        <v>1351</v>
      </c>
      <c r="D72" s="26" t="s">
        <v>1507</v>
      </c>
      <c r="E72" s="26">
        <v>3052015781</v>
      </c>
      <c r="F72" s="26" t="s">
        <v>1508</v>
      </c>
      <c r="G72" s="24" t="s">
        <v>1354</v>
      </c>
      <c r="H72" s="26" t="s">
        <v>1355</v>
      </c>
      <c r="I72" s="24" t="s">
        <v>1356</v>
      </c>
      <c r="J72" s="24" t="s">
        <v>71</v>
      </c>
      <c r="K72" s="24" t="s">
        <v>71</v>
      </c>
      <c r="L72" s="24" t="s">
        <v>71</v>
      </c>
      <c r="M72" s="24" t="s">
        <v>71</v>
      </c>
      <c r="N72" s="24" t="s">
        <v>71</v>
      </c>
      <c r="O72" s="24" t="s">
        <v>71</v>
      </c>
      <c r="P72" s="24" t="s">
        <v>71</v>
      </c>
      <c r="Q72" s="24" t="s">
        <v>71</v>
      </c>
      <c r="R72" s="24" t="s">
        <v>71</v>
      </c>
      <c r="S72" s="24" t="s">
        <v>71</v>
      </c>
      <c r="T72" s="24" t="s">
        <v>71</v>
      </c>
      <c r="U72" s="24" t="s">
        <v>71</v>
      </c>
      <c r="V72" s="24" t="s">
        <v>71</v>
      </c>
      <c r="W72" s="24" t="s">
        <v>71</v>
      </c>
      <c r="X72" s="24" t="s">
        <v>71</v>
      </c>
      <c r="Y72" s="24" t="s">
        <v>71</v>
      </c>
      <c r="Z72" s="24" t="s">
        <v>71</v>
      </c>
      <c r="AA72" s="27" t="s">
        <v>1367</v>
      </c>
      <c r="AB72" s="24" t="s">
        <v>1368</v>
      </c>
      <c r="AC72" s="25" t="s">
        <v>1367</v>
      </c>
    </row>
    <row r="73" spans="1:29" ht="15" hidden="1" x14ac:dyDescent="0.15">
      <c r="A73" s="26">
        <v>22739665</v>
      </c>
      <c r="B73" s="26">
        <v>72</v>
      </c>
      <c r="C73" s="26" t="s">
        <v>1351</v>
      </c>
      <c r="D73" s="26" t="s">
        <v>1509</v>
      </c>
      <c r="E73" s="26">
        <v>3244273524</v>
      </c>
      <c r="F73" s="26" t="s">
        <v>1510</v>
      </c>
      <c r="G73" s="24" t="s">
        <v>1354</v>
      </c>
      <c r="H73" s="26" t="s">
        <v>1355</v>
      </c>
      <c r="I73" s="24" t="s">
        <v>1363</v>
      </c>
      <c r="J73" s="24" t="s">
        <v>76</v>
      </c>
      <c r="K73" s="24" t="s">
        <v>76</v>
      </c>
      <c r="L73" s="24" t="s">
        <v>72</v>
      </c>
      <c r="M73" s="24" t="s">
        <v>71</v>
      </c>
      <c r="N73" s="24" t="s">
        <v>72</v>
      </c>
      <c r="O73" s="24" t="s">
        <v>72</v>
      </c>
      <c r="P73" s="24" t="s">
        <v>72</v>
      </c>
      <c r="Q73" s="24" t="s">
        <v>72</v>
      </c>
      <c r="R73" s="24" t="s">
        <v>72</v>
      </c>
      <c r="S73" s="24" t="s">
        <v>72</v>
      </c>
      <c r="T73" s="24" t="s">
        <v>72</v>
      </c>
      <c r="U73" s="24" t="s">
        <v>72</v>
      </c>
      <c r="V73" s="24" t="s">
        <v>72</v>
      </c>
      <c r="W73" s="24" t="s">
        <v>72</v>
      </c>
      <c r="X73" s="24" t="s">
        <v>72</v>
      </c>
      <c r="Y73" s="24" t="s">
        <v>72</v>
      </c>
      <c r="Z73" s="24" t="s">
        <v>72</v>
      </c>
      <c r="AA73" s="27" t="s">
        <v>91</v>
      </c>
      <c r="AC73" s="25">
        <v>1</v>
      </c>
    </row>
    <row r="74" spans="1:29" ht="15" hidden="1" x14ac:dyDescent="0.15">
      <c r="A74" s="26">
        <v>8661897</v>
      </c>
      <c r="B74" s="26">
        <v>73</v>
      </c>
      <c r="C74" s="26" t="s">
        <v>1351</v>
      </c>
      <c r="D74" s="26" t="s">
        <v>1511</v>
      </c>
      <c r="E74" s="26">
        <v>3012809129</v>
      </c>
      <c r="F74" s="26" t="s">
        <v>1512</v>
      </c>
      <c r="G74" s="24" t="s">
        <v>1354</v>
      </c>
      <c r="H74" s="26" t="s">
        <v>1355</v>
      </c>
      <c r="I74" s="24" t="s">
        <v>1356</v>
      </c>
      <c r="J74" s="24" t="s">
        <v>71</v>
      </c>
      <c r="K74" s="24" t="s">
        <v>71</v>
      </c>
      <c r="L74" s="24" t="s">
        <v>71</v>
      </c>
      <c r="M74" s="24" t="s">
        <v>71</v>
      </c>
      <c r="N74" s="24" t="s">
        <v>71</v>
      </c>
      <c r="O74" s="24" t="s">
        <v>71</v>
      </c>
      <c r="P74" s="24" t="s">
        <v>71</v>
      </c>
      <c r="Q74" s="24" t="s">
        <v>71</v>
      </c>
      <c r="R74" s="24" t="s">
        <v>71</v>
      </c>
      <c r="S74" s="24" t="s">
        <v>71</v>
      </c>
      <c r="T74" s="24" t="s">
        <v>71</v>
      </c>
      <c r="U74" s="24" t="s">
        <v>71</v>
      </c>
      <c r="V74" s="24" t="s">
        <v>71</v>
      </c>
      <c r="W74" s="24" t="s">
        <v>71</v>
      </c>
      <c r="X74" s="24" t="s">
        <v>71</v>
      </c>
      <c r="Y74" s="24" t="s">
        <v>71</v>
      </c>
      <c r="Z74" s="24" t="s">
        <v>71</v>
      </c>
      <c r="AA74" s="27" t="s">
        <v>1367</v>
      </c>
      <c r="AB74" s="24" t="s">
        <v>1368</v>
      </c>
      <c r="AC74" s="25" t="s">
        <v>1367</v>
      </c>
    </row>
    <row r="75" spans="1:29" ht="15" hidden="1" x14ac:dyDescent="0.15">
      <c r="A75" s="26">
        <v>1143138306</v>
      </c>
      <c r="B75" s="26">
        <v>74</v>
      </c>
      <c r="C75" s="26" t="s">
        <v>1351</v>
      </c>
      <c r="D75" s="26" t="s">
        <v>1513</v>
      </c>
      <c r="E75" s="26">
        <v>3058134871</v>
      </c>
      <c r="F75" s="26" t="s">
        <v>1514</v>
      </c>
      <c r="G75" s="24" t="s">
        <v>1354</v>
      </c>
      <c r="H75" s="26" t="s">
        <v>1355</v>
      </c>
      <c r="I75" s="24" t="s">
        <v>1356</v>
      </c>
      <c r="J75" s="24" t="s">
        <v>76</v>
      </c>
      <c r="K75" s="24" t="s">
        <v>76</v>
      </c>
      <c r="L75" s="24" t="s">
        <v>72</v>
      </c>
      <c r="M75" s="24" t="s">
        <v>71</v>
      </c>
      <c r="N75" s="24" t="s">
        <v>72</v>
      </c>
      <c r="O75" s="24" t="s">
        <v>72</v>
      </c>
      <c r="P75" s="24" t="s">
        <v>72</v>
      </c>
      <c r="Q75" s="24" t="s">
        <v>72</v>
      </c>
      <c r="R75" s="24" t="s">
        <v>72</v>
      </c>
      <c r="S75" s="24" t="s">
        <v>72</v>
      </c>
      <c r="T75" s="24" t="s">
        <v>72</v>
      </c>
      <c r="U75" s="24" t="s">
        <v>72</v>
      </c>
      <c r="V75" s="24" t="s">
        <v>72</v>
      </c>
      <c r="W75" s="24" t="s">
        <v>72</v>
      </c>
      <c r="X75" s="24" t="s">
        <v>72</v>
      </c>
      <c r="Y75" s="24" t="s">
        <v>72</v>
      </c>
      <c r="Z75" s="24" t="s">
        <v>72</v>
      </c>
      <c r="AA75" s="27" t="s">
        <v>91</v>
      </c>
      <c r="AC75" s="25">
        <v>1</v>
      </c>
    </row>
    <row r="76" spans="1:29" ht="15" hidden="1" x14ac:dyDescent="0.15">
      <c r="A76" s="26">
        <v>1129565229</v>
      </c>
      <c r="B76" s="26">
        <v>75</v>
      </c>
      <c r="C76" s="26" t="s">
        <v>1351</v>
      </c>
      <c r="D76" s="26" t="s">
        <v>1515</v>
      </c>
      <c r="E76" s="26">
        <v>3043266607</v>
      </c>
      <c r="F76" s="26" t="s">
        <v>1516</v>
      </c>
      <c r="G76" s="24" t="s">
        <v>1354</v>
      </c>
      <c r="H76" s="26" t="s">
        <v>1355</v>
      </c>
      <c r="I76" s="24" t="s">
        <v>1363</v>
      </c>
      <c r="J76" s="24" t="s">
        <v>76</v>
      </c>
      <c r="K76" s="24" t="s">
        <v>76</v>
      </c>
      <c r="L76" s="24" t="s">
        <v>72</v>
      </c>
      <c r="M76" s="24" t="s">
        <v>71</v>
      </c>
      <c r="N76" s="24" t="s">
        <v>72</v>
      </c>
      <c r="O76" s="24" t="s">
        <v>72</v>
      </c>
      <c r="P76" s="24" t="s">
        <v>72</v>
      </c>
      <c r="Q76" s="24" t="s">
        <v>72</v>
      </c>
      <c r="R76" s="24" t="s">
        <v>72</v>
      </c>
      <c r="S76" s="24" t="s">
        <v>72</v>
      </c>
      <c r="T76" s="24" t="s">
        <v>72</v>
      </c>
      <c r="U76" s="24" t="s">
        <v>72</v>
      </c>
      <c r="V76" s="24" t="s">
        <v>72</v>
      </c>
      <c r="W76" s="24" t="s">
        <v>72</v>
      </c>
      <c r="X76" s="24" t="s">
        <v>72</v>
      </c>
      <c r="Y76" s="24" t="s">
        <v>72</v>
      </c>
      <c r="Z76" s="24" t="s">
        <v>72</v>
      </c>
      <c r="AA76" s="27" t="s">
        <v>91</v>
      </c>
      <c r="AC76" s="25">
        <v>1</v>
      </c>
    </row>
    <row r="77" spans="1:29" ht="15" hidden="1" x14ac:dyDescent="0.15">
      <c r="A77" s="26">
        <v>22351069</v>
      </c>
      <c r="B77" s="26">
        <v>76</v>
      </c>
      <c r="C77" s="26" t="s">
        <v>1351</v>
      </c>
      <c r="D77" s="26" t="s">
        <v>1517</v>
      </c>
      <c r="E77" s="26">
        <v>3135264151</v>
      </c>
      <c r="F77" s="26" t="s">
        <v>1518</v>
      </c>
      <c r="G77" s="24" t="s">
        <v>1354</v>
      </c>
      <c r="H77" s="26" t="s">
        <v>1355</v>
      </c>
      <c r="I77" s="24" t="s">
        <v>1363</v>
      </c>
      <c r="J77" s="24" t="s">
        <v>71</v>
      </c>
      <c r="K77" s="24" t="s">
        <v>71</v>
      </c>
      <c r="L77" s="24" t="s">
        <v>71</v>
      </c>
      <c r="M77" s="24" t="s">
        <v>71</v>
      </c>
      <c r="N77" s="24" t="s">
        <v>71</v>
      </c>
      <c r="O77" s="24" t="s">
        <v>71</v>
      </c>
      <c r="P77" s="24" t="s">
        <v>71</v>
      </c>
      <c r="Q77" s="24" t="s">
        <v>71</v>
      </c>
      <c r="R77" s="24" t="s">
        <v>71</v>
      </c>
      <c r="S77" s="24" t="s">
        <v>71</v>
      </c>
      <c r="T77" s="24" t="s">
        <v>71</v>
      </c>
      <c r="U77" s="24" t="s">
        <v>71</v>
      </c>
      <c r="V77" s="24" t="s">
        <v>71</v>
      </c>
      <c r="W77" s="24" t="s">
        <v>71</v>
      </c>
      <c r="X77" s="24" t="s">
        <v>71</v>
      </c>
      <c r="Y77" s="24" t="s">
        <v>71</v>
      </c>
      <c r="Z77" s="24" t="s">
        <v>71</v>
      </c>
      <c r="AA77" s="27" t="s">
        <v>1367</v>
      </c>
      <c r="AB77" s="24" t="s">
        <v>1368</v>
      </c>
      <c r="AC77" s="25" t="s">
        <v>1367</v>
      </c>
    </row>
    <row r="78" spans="1:29" ht="15" hidden="1" x14ac:dyDescent="0.15">
      <c r="A78" s="26">
        <v>1044618006</v>
      </c>
      <c r="B78" s="26">
        <v>77</v>
      </c>
      <c r="C78" s="26" t="s">
        <v>1351</v>
      </c>
      <c r="D78" s="26" t="s">
        <v>1519</v>
      </c>
      <c r="E78" s="26">
        <v>3044668000</v>
      </c>
      <c r="F78" s="26" t="s">
        <v>1520</v>
      </c>
      <c r="G78" s="24" t="s">
        <v>1354</v>
      </c>
      <c r="H78" s="26" t="s">
        <v>1355</v>
      </c>
      <c r="I78" s="24" t="s">
        <v>1356</v>
      </c>
      <c r="J78" s="24" t="s">
        <v>71</v>
      </c>
      <c r="K78" s="24" t="s">
        <v>71</v>
      </c>
      <c r="L78" s="24"/>
      <c r="M78" s="24"/>
      <c r="N78" s="24"/>
      <c r="O78" s="24"/>
      <c r="P78" s="24"/>
      <c r="Q78" s="24"/>
      <c r="R78" s="24"/>
      <c r="S78" s="24"/>
      <c r="T78" s="24"/>
      <c r="U78" s="24" t="s">
        <v>72</v>
      </c>
      <c r="V78" s="24" t="s">
        <v>72</v>
      </c>
      <c r="W78" s="24" t="s">
        <v>72</v>
      </c>
      <c r="X78" s="24" t="s">
        <v>72</v>
      </c>
      <c r="Y78" s="24" t="s">
        <v>72</v>
      </c>
      <c r="Z78" s="24" t="s">
        <v>72</v>
      </c>
      <c r="AA78" s="27" t="s">
        <v>179</v>
      </c>
      <c r="AB78" s="24" t="s">
        <v>1489</v>
      </c>
      <c r="AC78" s="25">
        <v>3</v>
      </c>
    </row>
    <row r="79" spans="1:29" ht="15" hidden="1" x14ac:dyDescent="0.15">
      <c r="A79" s="26">
        <v>1101200056</v>
      </c>
      <c r="B79" s="26">
        <v>78</v>
      </c>
      <c r="C79" s="26" t="s">
        <v>1351</v>
      </c>
      <c r="D79" s="26" t="s">
        <v>1521</v>
      </c>
      <c r="E79" s="26">
        <v>3209626555</v>
      </c>
      <c r="F79" s="26" t="s">
        <v>1522</v>
      </c>
      <c r="G79" s="24" t="s">
        <v>1354</v>
      </c>
      <c r="H79" s="26" t="s">
        <v>1355</v>
      </c>
      <c r="I79" s="24" t="s">
        <v>1363</v>
      </c>
      <c r="J79" s="24" t="s">
        <v>71</v>
      </c>
      <c r="K79" s="24" t="s">
        <v>71</v>
      </c>
      <c r="L79" s="24" t="s">
        <v>71</v>
      </c>
      <c r="M79" s="24" t="s">
        <v>71</v>
      </c>
      <c r="N79" s="24" t="s">
        <v>71</v>
      </c>
      <c r="O79" s="24" t="s">
        <v>71</v>
      </c>
      <c r="P79" s="24" t="s">
        <v>71</v>
      </c>
      <c r="Q79" s="24" t="s">
        <v>71</v>
      </c>
      <c r="R79" s="24" t="s">
        <v>71</v>
      </c>
      <c r="S79" s="24" t="s">
        <v>71</v>
      </c>
      <c r="T79" s="24" t="s">
        <v>71</v>
      </c>
      <c r="U79" s="24" t="s">
        <v>71</v>
      </c>
      <c r="V79" s="24" t="s">
        <v>71</v>
      </c>
      <c r="W79" s="24" t="s">
        <v>71</v>
      </c>
      <c r="X79" s="24" t="s">
        <v>71</v>
      </c>
      <c r="Y79" s="24" t="s">
        <v>71</v>
      </c>
      <c r="Z79" s="24" t="s">
        <v>71</v>
      </c>
      <c r="AA79" s="27" t="s">
        <v>1367</v>
      </c>
      <c r="AB79" s="24" t="s">
        <v>1368</v>
      </c>
      <c r="AC79" s="25" t="s">
        <v>1367</v>
      </c>
    </row>
    <row r="80" spans="1:29" ht="15" hidden="1" x14ac:dyDescent="0.15">
      <c r="A80" s="26">
        <v>7438297</v>
      </c>
      <c r="B80" s="26">
        <v>79</v>
      </c>
      <c r="C80" s="26" t="s">
        <v>1351</v>
      </c>
      <c r="D80" s="26" t="s">
        <v>1523</v>
      </c>
      <c r="E80" s="26">
        <v>3243205975</v>
      </c>
      <c r="F80" s="26" t="s">
        <v>1524</v>
      </c>
      <c r="G80" s="24" t="s">
        <v>1354</v>
      </c>
      <c r="H80" s="26" t="s">
        <v>1355</v>
      </c>
      <c r="I80" s="24" t="s">
        <v>1356</v>
      </c>
      <c r="J80" s="24" t="s">
        <v>71</v>
      </c>
      <c r="K80" s="24" t="s">
        <v>71</v>
      </c>
      <c r="L80" s="24" t="s">
        <v>71</v>
      </c>
      <c r="M80" s="24" t="s">
        <v>71</v>
      </c>
      <c r="N80" s="24" t="s">
        <v>71</v>
      </c>
      <c r="O80" s="24" t="s">
        <v>71</v>
      </c>
      <c r="P80" s="24" t="s">
        <v>71</v>
      </c>
      <c r="Q80" s="24" t="s">
        <v>71</v>
      </c>
      <c r="R80" s="24" t="s">
        <v>71</v>
      </c>
      <c r="S80" s="24" t="s">
        <v>71</v>
      </c>
      <c r="T80" s="24" t="s">
        <v>71</v>
      </c>
      <c r="U80" s="24" t="s">
        <v>71</v>
      </c>
      <c r="V80" s="24" t="s">
        <v>71</v>
      </c>
      <c r="W80" s="24" t="s">
        <v>71</v>
      </c>
      <c r="X80" s="24" t="s">
        <v>71</v>
      </c>
      <c r="Y80" s="24" t="s">
        <v>71</v>
      </c>
      <c r="Z80" s="24" t="s">
        <v>71</v>
      </c>
      <c r="AA80" s="27" t="s">
        <v>1367</v>
      </c>
      <c r="AB80" s="24" t="s">
        <v>1368</v>
      </c>
      <c r="AC80" s="25" t="s">
        <v>1367</v>
      </c>
    </row>
    <row r="81" spans="1:29" ht="15" hidden="1" x14ac:dyDescent="0.15">
      <c r="A81" s="26">
        <v>72428031</v>
      </c>
      <c r="B81" s="26">
        <v>80</v>
      </c>
      <c r="C81" s="26" t="s">
        <v>1351</v>
      </c>
      <c r="D81" s="26" t="s">
        <v>1525</v>
      </c>
      <c r="E81" s="26">
        <v>3012801520</v>
      </c>
      <c r="F81" s="26" t="s">
        <v>1526</v>
      </c>
      <c r="G81" s="24" t="s">
        <v>1354</v>
      </c>
      <c r="H81" s="26" t="s">
        <v>1355</v>
      </c>
      <c r="I81" s="24" t="s">
        <v>1363</v>
      </c>
      <c r="J81" s="24" t="s">
        <v>76</v>
      </c>
      <c r="K81" s="24" t="s">
        <v>76</v>
      </c>
      <c r="L81" s="24" t="s">
        <v>72</v>
      </c>
      <c r="M81" s="24" t="s">
        <v>72</v>
      </c>
      <c r="N81" s="24" t="s">
        <v>72</v>
      </c>
      <c r="O81" s="24" t="s">
        <v>72</v>
      </c>
      <c r="P81" s="24" t="s">
        <v>72</v>
      </c>
      <c r="Q81" s="24" t="s">
        <v>72</v>
      </c>
      <c r="R81" s="24" t="s">
        <v>72</v>
      </c>
      <c r="S81" s="24" t="s">
        <v>72</v>
      </c>
      <c r="T81" s="24" t="s">
        <v>72</v>
      </c>
      <c r="U81" s="24" t="s">
        <v>72</v>
      </c>
      <c r="V81" s="24" t="s">
        <v>72</v>
      </c>
      <c r="W81" s="24" t="s">
        <v>72</v>
      </c>
      <c r="X81" s="24" t="s">
        <v>72</v>
      </c>
      <c r="Y81" s="24" t="s">
        <v>72</v>
      </c>
      <c r="Z81" s="24" t="s">
        <v>72</v>
      </c>
      <c r="AA81" s="27" t="s">
        <v>91</v>
      </c>
      <c r="AC81" s="25">
        <v>1</v>
      </c>
    </row>
    <row r="82" spans="1:29" ht="15" hidden="1" x14ac:dyDescent="0.15">
      <c r="A82" s="26">
        <v>1129543553</v>
      </c>
      <c r="B82" s="26">
        <v>81</v>
      </c>
      <c r="C82" s="26" t="s">
        <v>1351</v>
      </c>
      <c r="D82" s="26" t="s">
        <v>1527</v>
      </c>
      <c r="E82" s="26">
        <v>3007530298</v>
      </c>
      <c r="F82" s="26" t="s">
        <v>1528</v>
      </c>
      <c r="G82" s="24" t="s">
        <v>1354</v>
      </c>
      <c r="H82" s="26" t="s">
        <v>1355</v>
      </c>
      <c r="I82" s="24" t="s">
        <v>1363</v>
      </c>
      <c r="J82" s="24" t="s">
        <v>71</v>
      </c>
      <c r="K82" s="24" t="s">
        <v>71</v>
      </c>
      <c r="L82" s="24" t="s">
        <v>72</v>
      </c>
      <c r="M82" s="24" t="s">
        <v>71</v>
      </c>
      <c r="N82" s="24" t="s">
        <v>72</v>
      </c>
      <c r="O82" s="24" t="s">
        <v>72</v>
      </c>
      <c r="P82" s="24" t="s">
        <v>72</v>
      </c>
      <c r="Q82" s="24" t="s">
        <v>72</v>
      </c>
      <c r="R82" s="24" t="s">
        <v>72</v>
      </c>
      <c r="S82" s="24" t="s">
        <v>72</v>
      </c>
      <c r="T82" s="24" t="s">
        <v>72</v>
      </c>
      <c r="U82" s="24" t="s">
        <v>72</v>
      </c>
      <c r="V82" s="24" t="s">
        <v>72</v>
      </c>
      <c r="W82" s="24" t="s">
        <v>72</v>
      </c>
      <c r="X82" s="24" t="s">
        <v>72</v>
      </c>
      <c r="Y82" s="24" t="s">
        <v>72</v>
      </c>
      <c r="Z82" s="24" t="s">
        <v>72</v>
      </c>
      <c r="AA82" s="27" t="s">
        <v>80</v>
      </c>
      <c r="AC82" s="25">
        <v>2</v>
      </c>
    </row>
    <row r="83" spans="1:29" ht="15" hidden="1" x14ac:dyDescent="0.15">
      <c r="A83" s="26">
        <v>1129514883</v>
      </c>
      <c r="B83" s="26">
        <v>82</v>
      </c>
      <c r="C83" s="26" t="s">
        <v>1351</v>
      </c>
      <c r="D83" s="26" t="s">
        <v>1529</v>
      </c>
      <c r="E83" s="26">
        <v>3017167973</v>
      </c>
      <c r="F83" s="26" t="s">
        <v>1530</v>
      </c>
      <c r="G83" s="24" t="s">
        <v>1354</v>
      </c>
      <c r="H83" s="26" t="s">
        <v>1355</v>
      </c>
      <c r="I83" s="24" t="s">
        <v>1356</v>
      </c>
      <c r="J83" s="24" t="s">
        <v>71</v>
      </c>
      <c r="K83" s="24" t="s">
        <v>71</v>
      </c>
      <c r="L83" s="24" t="s">
        <v>71</v>
      </c>
      <c r="M83" s="24" t="s">
        <v>71</v>
      </c>
      <c r="N83" s="24" t="s">
        <v>72</v>
      </c>
      <c r="O83" s="24" t="s">
        <v>72</v>
      </c>
      <c r="P83" s="24" t="s">
        <v>72</v>
      </c>
      <c r="Q83" s="24" t="s">
        <v>71</v>
      </c>
      <c r="R83" s="24" t="s">
        <v>76</v>
      </c>
      <c r="S83" s="24" t="s">
        <v>72</v>
      </c>
      <c r="T83" s="24" t="s">
        <v>72</v>
      </c>
      <c r="U83" s="24" t="s">
        <v>76</v>
      </c>
      <c r="V83" s="24" t="s">
        <v>76</v>
      </c>
      <c r="W83" s="24" t="s">
        <v>72</v>
      </c>
      <c r="X83" s="24" t="s">
        <v>72</v>
      </c>
      <c r="Y83" s="24" t="s">
        <v>76</v>
      </c>
      <c r="Z83" s="24" t="s">
        <v>76</v>
      </c>
      <c r="AA83" s="27" t="s">
        <v>80</v>
      </c>
      <c r="AC83" s="25">
        <v>2</v>
      </c>
    </row>
    <row r="84" spans="1:29" ht="15" hidden="1" x14ac:dyDescent="0.15">
      <c r="A84" s="26">
        <v>1046697166</v>
      </c>
      <c r="B84" s="26">
        <v>83</v>
      </c>
      <c r="C84" s="26" t="s">
        <v>1351</v>
      </c>
      <c r="D84" s="26" t="s">
        <v>1531</v>
      </c>
      <c r="E84" s="26">
        <v>3005218145</v>
      </c>
      <c r="F84" s="26" t="s">
        <v>1532</v>
      </c>
      <c r="G84" s="24" t="s">
        <v>1354</v>
      </c>
      <c r="H84" s="26" t="s">
        <v>1355</v>
      </c>
      <c r="I84" s="24" t="s">
        <v>1363</v>
      </c>
      <c r="J84" s="24" t="s">
        <v>76</v>
      </c>
      <c r="K84" s="24" t="s">
        <v>76</v>
      </c>
      <c r="L84" s="24" t="s">
        <v>72</v>
      </c>
      <c r="M84" s="24" t="s">
        <v>71</v>
      </c>
      <c r="N84" s="24" t="s">
        <v>72</v>
      </c>
      <c r="O84" s="24" t="s">
        <v>72</v>
      </c>
      <c r="P84" s="24" t="s">
        <v>72</v>
      </c>
      <c r="Q84" s="24" t="s">
        <v>72</v>
      </c>
      <c r="R84" s="24" t="s">
        <v>72</v>
      </c>
      <c r="S84" s="24" t="s">
        <v>72</v>
      </c>
      <c r="T84" s="24" t="s">
        <v>72</v>
      </c>
      <c r="U84" s="24" t="s">
        <v>72</v>
      </c>
      <c r="V84" s="24" t="s">
        <v>72</v>
      </c>
      <c r="W84" s="24" t="s">
        <v>72</v>
      </c>
      <c r="X84" s="24" t="s">
        <v>72</v>
      </c>
      <c r="Y84" s="24" t="s">
        <v>72</v>
      </c>
      <c r="Z84" s="24" t="s">
        <v>72</v>
      </c>
      <c r="AA84" s="27" t="s">
        <v>91</v>
      </c>
      <c r="AC84" s="25">
        <v>1</v>
      </c>
    </row>
    <row r="85" spans="1:29" ht="15" hidden="1" x14ac:dyDescent="0.15">
      <c r="A85" s="26">
        <v>32705837</v>
      </c>
      <c r="B85" s="26">
        <v>84</v>
      </c>
      <c r="C85" s="26" t="s">
        <v>1351</v>
      </c>
      <c r="D85" s="26" t="s">
        <v>1533</v>
      </c>
      <c r="E85" s="26">
        <v>3014890845</v>
      </c>
      <c r="F85" s="26" t="s">
        <v>1534</v>
      </c>
      <c r="G85" s="24" t="s">
        <v>1354</v>
      </c>
      <c r="H85" s="26" t="s">
        <v>1355</v>
      </c>
      <c r="I85" s="24" t="s">
        <v>1356</v>
      </c>
      <c r="J85" s="24" t="s">
        <v>71</v>
      </c>
      <c r="K85" s="24" t="s">
        <v>71</v>
      </c>
      <c r="L85" s="24" t="s">
        <v>71</v>
      </c>
      <c r="M85" s="24" t="s">
        <v>71</v>
      </c>
      <c r="N85" s="24" t="s">
        <v>71</v>
      </c>
      <c r="O85" s="24" t="s">
        <v>71</v>
      </c>
      <c r="P85" s="24" t="s">
        <v>71</v>
      </c>
      <c r="Q85" s="24" t="s">
        <v>71</v>
      </c>
      <c r="R85" s="24" t="s">
        <v>71</v>
      </c>
      <c r="S85" s="24" t="s">
        <v>71</v>
      </c>
      <c r="T85" s="24" t="s">
        <v>71</v>
      </c>
      <c r="U85" s="24" t="s">
        <v>71</v>
      </c>
      <c r="V85" s="24" t="s">
        <v>71</v>
      </c>
      <c r="W85" s="24" t="s">
        <v>71</v>
      </c>
      <c r="X85" s="24" t="s">
        <v>71</v>
      </c>
      <c r="Y85" s="24" t="s">
        <v>71</v>
      </c>
      <c r="Z85" s="24" t="s">
        <v>71</v>
      </c>
      <c r="AA85" s="27" t="s">
        <v>1367</v>
      </c>
      <c r="AB85" s="24" t="s">
        <v>1368</v>
      </c>
      <c r="AC85" s="25" t="s">
        <v>1367</v>
      </c>
    </row>
    <row r="86" spans="1:29" ht="15" hidden="1" x14ac:dyDescent="0.15">
      <c r="A86" s="26">
        <v>7411480</v>
      </c>
      <c r="B86" s="26">
        <v>85</v>
      </c>
      <c r="C86" s="26" t="s">
        <v>1351</v>
      </c>
      <c r="D86" s="26" t="s">
        <v>1535</v>
      </c>
      <c r="E86" s="26" t="s">
        <v>1536</v>
      </c>
      <c r="F86" s="26" t="s">
        <v>1537</v>
      </c>
      <c r="G86" s="24" t="s">
        <v>1354</v>
      </c>
      <c r="H86" s="26" t="s">
        <v>1355</v>
      </c>
      <c r="I86" s="24" t="s">
        <v>1356</v>
      </c>
      <c r="J86" s="24" t="s">
        <v>71</v>
      </c>
      <c r="K86" s="24" t="s">
        <v>71</v>
      </c>
      <c r="L86" s="24" t="s">
        <v>71</v>
      </c>
      <c r="M86" s="24" t="s">
        <v>71</v>
      </c>
      <c r="N86" s="24" t="s">
        <v>71</v>
      </c>
      <c r="O86" s="24" t="s">
        <v>71</v>
      </c>
      <c r="P86" s="24" t="s">
        <v>71</v>
      </c>
      <c r="Q86" s="24" t="s">
        <v>71</v>
      </c>
      <c r="R86" s="24" t="s">
        <v>71</v>
      </c>
      <c r="S86" s="24" t="s">
        <v>71</v>
      </c>
      <c r="T86" s="24" t="s">
        <v>71</v>
      </c>
      <c r="U86" s="24" t="s">
        <v>71</v>
      </c>
      <c r="V86" s="24" t="s">
        <v>71</v>
      </c>
      <c r="W86" s="24" t="s">
        <v>71</v>
      </c>
      <c r="X86" s="24" t="s">
        <v>71</v>
      </c>
      <c r="Y86" s="24" t="s">
        <v>71</v>
      </c>
      <c r="Z86" s="24" t="s">
        <v>71</v>
      </c>
      <c r="AA86" s="27" t="s">
        <v>1367</v>
      </c>
      <c r="AB86" s="24" t="s">
        <v>1368</v>
      </c>
      <c r="AC86" s="25" t="s">
        <v>1367</v>
      </c>
    </row>
    <row r="87" spans="1:29" ht="15" hidden="1" x14ac:dyDescent="0.15">
      <c r="A87" s="26">
        <v>1045674075</v>
      </c>
      <c r="B87" s="26">
        <v>86</v>
      </c>
      <c r="C87" s="26" t="s">
        <v>1351</v>
      </c>
      <c r="D87" s="26" t="s">
        <v>1538</v>
      </c>
      <c r="E87" s="26">
        <v>3044027487</v>
      </c>
      <c r="F87" s="26" t="s">
        <v>1539</v>
      </c>
      <c r="G87" s="24" t="s">
        <v>1354</v>
      </c>
      <c r="H87" s="26" t="s">
        <v>1355</v>
      </c>
      <c r="I87" s="24" t="s">
        <v>1356</v>
      </c>
      <c r="J87" s="24" t="s">
        <v>71</v>
      </c>
      <c r="K87" s="24" t="s">
        <v>71</v>
      </c>
      <c r="L87" s="24" t="s">
        <v>71</v>
      </c>
      <c r="M87" s="24" t="s">
        <v>71</v>
      </c>
      <c r="N87" s="24" t="s">
        <v>71</v>
      </c>
      <c r="O87" s="24" t="s">
        <v>71</v>
      </c>
      <c r="P87" s="24" t="s">
        <v>71</v>
      </c>
      <c r="Q87" s="24" t="s">
        <v>71</v>
      </c>
      <c r="R87" s="24" t="s">
        <v>71</v>
      </c>
      <c r="S87" s="24" t="s">
        <v>71</v>
      </c>
      <c r="T87" s="24" t="s">
        <v>71</v>
      </c>
      <c r="U87" s="24" t="s">
        <v>71</v>
      </c>
      <c r="V87" s="24" t="s">
        <v>71</v>
      </c>
      <c r="W87" s="24" t="s">
        <v>71</v>
      </c>
      <c r="X87" s="24" t="s">
        <v>71</v>
      </c>
      <c r="Y87" s="24" t="s">
        <v>71</v>
      </c>
      <c r="Z87" s="24" t="s">
        <v>71</v>
      </c>
      <c r="AA87" s="27" t="s">
        <v>1367</v>
      </c>
      <c r="AB87" s="24" t="s">
        <v>1368</v>
      </c>
      <c r="AC87" s="25" t="s">
        <v>1367</v>
      </c>
    </row>
    <row r="88" spans="1:29" ht="15" hidden="1" x14ac:dyDescent="0.15">
      <c r="A88" s="26">
        <v>32729377</v>
      </c>
      <c r="B88" s="26">
        <v>87</v>
      </c>
      <c r="C88" s="26" t="s">
        <v>1351</v>
      </c>
      <c r="D88" s="26" t="s">
        <v>1503</v>
      </c>
      <c r="E88" s="26">
        <v>3042134524</v>
      </c>
      <c r="F88" s="26" t="s">
        <v>1540</v>
      </c>
      <c r="G88" s="24" t="s">
        <v>1354</v>
      </c>
      <c r="H88" s="26" t="s">
        <v>1355</v>
      </c>
      <c r="I88" s="24" t="s">
        <v>1363</v>
      </c>
      <c r="J88" s="24" t="s">
        <v>76</v>
      </c>
      <c r="K88" s="24" t="s">
        <v>76</v>
      </c>
      <c r="L88" s="24" t="s">
        <v>72</v>
      </c>
      <c r="M88" s="24" t="s">
        <v>71</v>
      </c>
      <c r="N88" s="24" t="s">
        <v>72</v>
      </c>
      <c r="O88" s="24" t="s">
        <v>72</v>
      </c>
      <c r="P88" s="24" t="s">
        <v>72</v>
      </c>
      <c r="Q88" s="24" t="s">
        <v>72</v>
      </c>
      <c r="R88" s="24" t="s">
        <v>72</v>
      </c>
      <c r="S88" s="24" t="s">
        <v>72</v>
      </c>
      <c r="T88" s="24" t="s">
        <v>72</v>
      </c>
      <c r="U88" s="24" t="s">
        <v>71</v>
      </c>
      <c r="V88" s="24" t="s">
        <v>72</v>
      </c>
      <c r="W88" s="24" t="s">
        <v>72</v>
      </c>
      <c r="X88" s="24" t="s">
        <v>72</v>
      </c>
      <c r="Y88" s="24" t="s">
        <v>72</v>
      </c>
      <c r="Z88" s="24" t="s">
        <v>71</v>
      </c>
      <c r="AA88" s="27" t="s">
        <v>91</v>
      </c>
      <c r="AC88" s="25">
        <v>1</v>
      </c>
    </row>
    <row r="89" spans="1:29" ht="15" hidden="1" x14ac:dyDescent="0.15">
      <c r="A89" s="26">
        <v>1193456461</v>
      </c>
      <c r="B89" s="26">
        <v>88</v>
      </c>
      <c r="C89" s="26" t="s">
        <v>1351</v>
      </c>
      <c r="D89" s="26" t="s">
        <v>1541</v>
      </c>
      <c r="E89" s="26">
        <v>3215943409</v>
      </c>
      <c r="F89" s="26" t="s">
        <v>1542</v>
      </c>
      <c r="G89" s="24" t="s">
        <v>1354</v>
      </c>
      <c r="H89" s="26" t="s">
        <v>1355</v>
      </c>
      <c r="I89" s="24" t="s">
        <v>1363</v>
      </c>
      <c r="J89" s="24" t="s">
        <v>76</v>
      </c>
      <c r="K89" s="24" t="s">
        <v>76</v>
      </c>
      <c r="L89" s="24" t="s">
        <v>76</v>
      </c>
      <c r="M89" s="24" t="s">
        <v>71</v>
      </c>
      <c r="N89" s="24" t="s">
        <v>72</v>
      </c>
      <c r="O89" s="24" t="s">
        <v>72</v>
      </c>
      <c r="P89" s="24" t="s">
        <v>72</v>
      </c>
      <c r="Q89" s="24" t="s">
        <v>76</v>
      </c>
      <c r="R89" s="24" t="s">
        <v>72</v>
      </c>
      <c r="S89" s="24" t="s">
        <v>72</v>
      </c>
      <c r="T89" s="24" t="s">
        <v>72</v>
      </c>
      <c r="U89" s="24" t="s">
        <v>71</v>
      </c>
      <c r="V89" s="24" t="s">
        <v>72</v>
      </c>
      <c r="W89" s="24" t="s">
        <v>72</v>
      </c>
      <c r="X89" s="24" t="s">
        <v>72</v>
      </c>
      <c r="Y89" s="24" t="s">
        <v>72</v>
      </c>
      <c r="Z89" s="24" t="s">
        <v>72</v>
      </c>
      <c r="AA89" s="27" t="s">
        <v>91</v>
      </c>
      <c r="AC89" s="25">
        <v>1</v>
      </c>
    </row>
    <row r="90" spans="1:29" ht="15" hidden="1" x14ac:dyDescent="0.15">
      <c r="A90" s="26">
        <v>32636512</v>
      </c>
      <c r="B90" s="26">
        <v>89</v>
      </c>
      <c r="C90" s="26" t="s">
        <v>1351</v>
      </c>
      <c r="D90" s="26" t="s">
        <v>1543</v>
      </c>
      <c r="E90" s="26">
        <v>3044142119</v>
      </c>
      <c r="F90" s="26" t="s">
        <v>1544</v>
      </c>
      <c r="G90" s="24" t="s">
        <v>1354</v>
      </c>
      <c r="H90" s="26" t="s">
        <v>1355</v>
      </c>
      <c r="I90" s="24" t="s">
        <v>1356</v>
      </c>
      <c r="J90" s="24" t="s">
        <v>71</v>
      </c>
      <c r="K90" s="24" t="s">
        <v>71</v>
      </c>
      <c r="L90" s="24" t="s">
        <v>71</v>
      </c>
      <c r="M90" s="24" t="s">
        <v>71</v>
      </c>
      <c r="N90" s="24" t="s">
        <v>71</v>
      </c>
      <c r="O90" s="24" t="s">
        <v>71</v>
      </c>
      <c r="P90" s="24" t="s">
        <v>71</v>
      </c>
      <c r="Q90" s="24" t="s">
        <v>71</v>
      </c>
      <c r="R90" s="24" t="s">
        <v>71</v>
      </c>
      <c r="S90" s="24" t="s">
        <v>71</v>
      </c>
      <c r="T90" s="24" t="s">
        <v>71</v>
      </c>
      <c r="U90" s="24" t="s">
        <v>71</v>
      </c>
      <c r="V90" s="24" t="s">
        <v>71</v>
      </c>
      <c r="W90" s="24" t="s">
        <v>71</v>
      </c>
      <c r="X90" s="24" t="s">
        <v>71</v>
      </c>
      <c r="Y90" s="24" t="s">
        <v>71</v>
      </c>
      <c r="Z90" s="24" t="s">
        <v>71</v>
      </c>
      <c r="AA90" s="27" t="s">
        <v>1367</v>
      </c>
      <c r="AB90" s="24" t="s">
        <v>1368</v>
      </c>
      <c r="AC90" s="25" t="s">
        <v>1367</v>
      </c>
    </row>
    <row r="91" spans="1:29" ht="15" hidden="1" x14ac:dyDescent="0.15">
      <c r="A91" s="26">
        <v>32811740</v>
      </c>
      <c r="B91" s="26">
        <v>90</v>
      </c>
      <c r="C91" s="26" t="s">
        <v>1351</v>
      </c>
      <c r="D91" s="26" t="s">
        <v>1545</v>
      </c>
      <c r="E91" s="26">
        <v>3044310765</v>
      </c>
      <c r="F91" s="26" t="s">
        <v>1546</v>
      </c>
      <c r="G91" s="24" t="s">
        <v>1354</v>
      </c>
      <c r="H91" s="26" t="s">
        <v>1355</v>
      </c>
      <c r="I91" s="24" t="s">
        <v>1356</v>
      </c>
      <c r="J91" s="24" t="s">
        <v>71</v>
      </c>
      <c r="K91" s="24" t="s">
        <v>71</v>
      </c>
      <c r="L91" s="24" t="s">
        <v>71</v>
      </c>
      <c r="M91" s="24" t="s">
        <v>71</v>
      </c>
      <c r="N91" s="24" t="s">
        <v>71</v>
      </c>
      <c r="O91" s="24" t="s">
        <v>71</v>
      </c>
      <c r="P91" s="24" t="s">
        <v>71</v>
      </c>
      <c r="Q91" s="24" t="s">
        <v>71</v>
      </c>
      <c r="R91" s="24" t="s">
        <v>71</v>
      </c>
      <c r="S91" s="24" t="s">
        <v>71</v>
      </c>
      <c r="T91" s="24" t="s">
        <v>72</v>
      </c>
      <c r="U91" s="24" t="s">
        <v>72</v>
      </c>
      <c r="V91" s="24" t="s">
        <v>72</v>
      </c>
      <c r="W91" s="24" t="s">
        <v>72</v>
      </c>
      <c r="X91" s="24" t="s">
        <v>72</v>
      </c>
      <c r="Y91" s="24" t="s">
        <v>72</v>
      </c>
      <c r="Z91" s="24" t="s">
        <v>72</v>
      </c>
      <c r="AA91" s="27" t="s">
        <v>179</v>
      </c>
      <c r="AC91" s="25">
        <v>3</v>
      </c>
    </row>
    <row r="92" spans="1:29" ht="15" hidden="1" x14ac:dyDescent="0.15">
      <c r="A92" s="26">
        <v>22506208</v>
      </c>
      <c r="B92" s="26">
        <v>91</v>
      </c>
      <c r="C92" s="26" t="s">
        <v>1351</v>
      </c>
      <c r="D92" s="26" t="s">
        <v>1547</v>
      </c>
      <c r="E92" s="26">
        <v>3016105744</v>
      </c>
      <c r="F92" s="26" t="s">
        <v>1548</v>
      </c>
      <c r="G92" s="24" t="s">
        <v>1354</v>
      </c>
      <c r="H92" s="26" t="s">
        <v>1355</v>
      </c>
      <c r="I92" s="24" t="s">
        <v>1356</v>
      </c>
      <c r="J92" s="24" t="s">
        <v>76</v>
      </c>
      <c r="K92" s="24" t="s">
        <v>76</v>
      </c>
      <c r="L92" s="24" t="s">
        <v>72</v>
      </c>
      <c r="M92" s="24" t="s">
        <v>71</v>
      </c>
      <c r="N92" s="24" t="s">
        <v>72</v>
      </c>
      <c r="O92" s="24" t="s">
        <v>72</v>
      </c>
      <c r="P92" s="24" t="s">
        <v>72</v>
      </c>
      <c r="Q92" s="24" t="s">
        <v>76</v>
      </c>
      <c r="R92" s="24" t="s">
        <v>72</v>
      </c>
      <c r="S92" s="24" t="s">
        <v>72</v>
      </c>
      <c r="T92" s="24" t="s">
        <v>72</v>
      </c>
      <c r="U92" s="24" t="s">
        <v>72</v>
      </c>
      <c r="V92" s="24" t="s">
        <v>72</v>
      </c>
      <c r="W92" s="24" t="s">
        <v>72</v>
      </c>
      <c r="X92" s="24" t="s">
        <v>72</v>
      </c>
      <c r="Y92" s="24" t="s">
        <v>72</v>
      </c>
      <c r="Z92" s="24" t="s">
        <v>72</v>
      </c>
      <c r="AA92" s="27" t="s">
        <v>91</v>
      </c>
      <c r="AC92" s="25">
        <v>1</v>
      </c>
    </row>
    <row r="93" spans="1:29" ht="15" hidden="1" x14ac:dyDescent="0.15">
      <c r="A93" s="26">
        <v>7447628</v>
      </c>
      <c r="B93" s="26">
        <v>92</v>
      </c>
      <c r="C93" s="26" t="s">
        <v>1351</v>
      </c>
      <c r="D93" s="26" t="s">
        <v>1549</v>
      </c>
      <c r="E93" s="26">
        <v>3243309504</v>
      </c>
      <c r="F93" s="26" t="s">
        <v>1550</v>
      </c>
      <c r="G93" s="24" t="s">
        <v>1354</v>
      </c>
      <c r="H93" s="26" t="s">
        <v>1355</v>
      </c>
      <c r="I93" s="24" t="s">
        <v>1363</v>
      </c>
      <c r="J93" s="24" t="s">
        <v>76</v>
      </c>
      <c r="K93" s="24" t="s">
        <v>76</v>
      </c>
      <c r="L93" s="24" t="s">
        <v>72</v>
      </c>
      <c r="M93" s="24" t="s">
        <v>71</v>
      </c>
      <c r="N93" s="24" t="s">
        <v>72</v>
      </c>
      <c r="O93" s="24" t="s">
        <v>72</v>
      </c>
      <c r="P93" s="24" t="s">
        <v>72</v>
      </c>
      <c r="Q93" s="24" t="s">
        <v>76</v>
      </c>
      <c r="R93" s="24" t="s">
        <v>72</v>
      </c>
      <c r="S93" s="24" t="s">
        <v>72</v>
      </c>
      <c r="T93" s="24" t="s">
        <v>72</v>
      </c>
      <c r="U93" s="24" t="s">
        <v>72</v>
      </c>
      <c r="V93" s="24" t="s">
        <v>72</v>
      </c>
      <c r="W93" s="24" t="s">
        <v>72</v>
      </c>
      <c r="X93" s="24" t="s">
        <v>72</v>
      </c>
      <c r="Y93" s="24" t="s">
        <v>72</v>
      </c>
      <c r="Z93" s="24" t="s">
        <v>72</v>
      </c>
      <c r="AA93" s="27" t="s">
        <v>91</v>
      </c>
      <c r="AC93" s="25">
        <v>1</v>
      </c>
    </row>
    <row r="94" spans="1:29" ht="15" hidden="1" x14ac:dyDescent="0.15">
      <c r="A94" s="26">
        <v>3774099</v>
      </c>
      <c r="B94" s="26">
        <v>93</v>
      </c>
      <c r="C94" s="26" t="s">
        <v>1351</v>
      </c>
      <c r="D94" s="26" t="s">
        <v>1551</v>
      </c>
      <c r="E94" s="26">
        <v>3215797036</v>
      </c>
      <c r="F94" s="26" t="s">
        <v>1552</v>
      </c>
      <c r="G94" s="24" t="s">
        <v>1354</v>
      </c>
      <c r="H94" s="26" t="s">
        <v>1355</v>
      </c>
      <c r="I94" s="24" t="s">
        <v>1363</v>
      </c>
      <c r="J94" s="24" t="s">
        <v>71</v>
      </c>
      <c r="K94" s="24" t="s">
        <v>71</v>
      </c>
      <c r="L94" s="24" t="s">
        <v>72</v>
      </c>
      <c r="M94" s="24" t="s">
        <v>71</v>
      </c>
      <c r="N94" s="24" t="s">
        <v>76</v>
      </c>
      <c r="O94" s="24" t="s">
        <v>72</v>
      </c>
      <c r="P94" s="24" t="s">
        <v>72</v>
      </c>
      <c r="Q94" s="24" t="s">
        <v>72</v>
      </c>
      <c r="R94" s="24" t="s">
        <v>72</v>
      </c>
      <c r="S94" s="24" t="s">
        <v>71</v>
      </c>
      <c r="T94" s="24" t="s">
        <v>72</v>
      </c>
      <c r="U94" s="24" t="s">
        <v>71</v>
      </c>
      <c r="V94" s="24" t="s">
        <v>72</v>
      </c>
      <c r="W94" s="24" t="s">
        <v>72</v>
      </c>
      <c r="X94" s="24" t="s">
        <v>71</v>
      </c>
      <c r="Y94" s="24" t="s">
        <v>71</v>
      </c>
      <c r="Z94" s="24" t="s">
        <v>71</v>
      </c>
      <c r="AA94" s="27" t="s">
        <v>256</v>
      </c>
      <c r="AB94" s="24" t="s">
        <v>1553</v>
      </c>
      <c r="AC94" s="25">
        <v>2</v>
      </c>
    </row>
    <row r="95" spans="1:29" ht="15" hidden="1" x14ac:dyDescent="0.15">
      <c r="A95" s="26">
        <v>32783639</v>
      </c>
      <c r="B95" s="26">
        <v>94</v>
      </c>
      <c r="C95" s="26" t="s">
        <v>1351</v>
      </c>
      <c r="D95" s="26" t="s">
        <v>1554</v>
      </c>
      <c r="E95" s="26">
        <v>3002050979</v>
      </c>
      <c r="F95" s="26" t="s">
        <v>1555</v>
      </c>
      <c r="G95" s="24" t="s">
        <v>1354</v>
      </c>
      <c r="H95" s="26" t="s">
        <v>1355</v>
      </c>
      <c r="I95" s="24" t="s">
        <v>1356</v>
      </c>
      <c r="J95" s="24" t="s">
        <v>71</v>
      </c>
      <c r="K95" s="24" t="s">
        <v>71</v>
      </c>
      <c r="L95" s="24" t="s">
        <v>71</v>
      </c>
      <c r="M95" s="24" t="s">
        <v>71</v>
      </c>
      <c r="N95" s="24" t="s">
        <v>71</v>
      </c>
      <c r="O95" s="24" t="s">
        <v>71</v>
      </c>
      <c r="P95" s="24" t="s">
        <v>71</v>
      </c>
      <c r="Q95" s="24" t="s">
        <v>71</v>
      </c>
      <c r="R95" s="24" t="s">
        <v>71</v>
      </c>
      <c r="S95" s="24" t="s">
        <v>71</v>
      </c>
      <c r="T95" s="24" t="s">
        <v>71</v>
      </c>
      <c r="U95" s="24" t="s">
        <v>71</v>
      </c>
      <c r="V95" s="24" t="s">
        <v>71</v>
      </c>
      <c r="W95" s="24" t="s">
        <v>71</v>
      </c>
      <c r="X95" s="24" t="s">
        <v>71</v>
      </c>
      <c r="Y95" s="24" t="s">
        <v>71</v>
      </c>
      <c r="Z95" s="24" t="s">
        <v>71</v>
      </c>
      <c r="AA95" s="27" t="s">
        <v>1367</v>
      </c>
      <c r="AB95" s="24" t="s">
        <v>1368</v>
      </c>
      <c r="AC95" s="25" t="s">
        <v>1367</v>
      </c>
    </row>
    <row r="96" spans="1:29" ht="15" hidden="1" x14ac:dyDescent="0.15">
      <c r="A96" s="26">
        <v>22362412</v>
      </c>
      <c r="B96" s="26">
        <v>95</v>
      </c>
      <c r="C96" s="26" t="s">
        <v>1351</v>
      </c>
      <c r="D96" s="26" t="s">
        <v>1556</v>
      </c>
      <c r="E96" s="26">
        <v>3456391</v>
      </c>
      <c r="F96" s="26" t="s">
        <v>1557</v>
      </c>
      <c r="G96" s="24" t="s">
        <v>1354</v>
      </c>
      <c r="H96" s="26" t="s">
        <v>1355</v>
      </c>
      <c r="I96" s="24" t="s">
        <v>1356</v>
      </c>
      <c r="J96" s="24" t="s">
        <v>76</v>
      </c>
      <c r="K96" s="24" t="s">
        <v>76</v>
      </c>
      <c r="L96" s="24" t="s">
        <v>72</v>
      </c>
      <c r="M96" s="24" t="s">
        <v>71</v>
      </c>
      <c r="N96" s="24" t="s">
        <v>76</v>
      </c>
      <c r="O96" s="24" t="s">
        <v>72</v>
      </c>
      <c r="P96" s="24" t="s">
        <v>72</v>
      </c>
      <c r="Q96" s="24" t="s">
        <v>72</v>
      </c>
      <c r="R96" s="24" t="s">
        <v>72</v>
      </c>
      <c r="S96" s="24" t="s">
        <v>71</v>
      </c>
      <c r="T96" s="24" t="s">
        <v>72</v>
      </c>
      <c r="U96" s="24" t="s">
        <v>71</v>
      </c>
      <c r="V96" s="24" t="s">
        <v>71</v>
      </c>
      <c r="W96" s="24" t="s">
        <v>71</v>
      </c>
      <c r="X96" s="24" t="s">
        <v>71</v>
      </c>
      <c r="Y96" s="24" t="s">
        <v>71</v>
      </c>
      <c r="Z96" s="24" t="s">
        <v>71</v>
      </c>
      <c r="AA96" s="27" t="s">
        <v>85</v>
      </c>
      <c r="AC96" s="25">
        <v>2</v>
      </c>
    </row>
    <row r="97" spans="1:29" ht="15" hidden="1" x14ac:dyDescent="0.15">
      <c r="A97" s="26">
        <v>22599446</v>
      </c>
      <c r="B97" s="26">
        <v>96</v>
      </c>
      <c r="C97" s="26" t="s">
        <v>1351</v>
      </c>
      <c r="D97" s="26" t="s">
        <v>1558</v>
      </c>
      <c r="E97" s="26">
        <v>3043398059</v>
      </c>
      <c r="F97" s="26" t="s">
        <v>1559</v>
      </c>
      <c r="G97" s="24" t="s">
        <v>1354</v>
      </c>
      <c r="H97" s="26" t="s">
        <v>1355</v>
      </c>
      <c r="I97" s="24" t="s">
        <v>1363</v>
      </c>
      <c r="J97" s="24" t="s">
        <v>71</v>
      </c>
      <c r="K97" s="24" t="s">
        <v>71</v>
      </c>
      <c r="L97" s="24" t="s">
        <v>71</v>
      </c>
      <c r="M97" s="24" t="s">
        <v>71</v>
      </c>
      <c r="N97" s="24" t="s">
        <v>71</v>
      </c>
      <c r="O97" s="24" t="s">
        <v>72</v>
      </c>
      <c r="P97" s="24" t="s">
        <v>72</v>
      </c>
      <c r="Q97" s="24" t="s">
        <v>71</v>
      </c>
      <c r="R97" s="24" t="s">
        <v>72</v>
      </c>
      <c r="S97" s="24" t="s">
        <v>71</v>
      </c>
      <c r="T97" s="24" t="s">
        <v>71</v>
      </c>
      <c r="U97" s="24" t="s">
        <v>72</v>
      </c>
      <c r="V97" s="24" t="s">
        <v>72</v>
      </c>
      <c r="W97" s="24" t="s">
        <v>72</v>
      </c>
      <c r="X97" s="24" t="s">
        <v>72</v>
      </c>
      <c r="Y97" s="24" t="s">
        <v>72</v>
      </c>
      <c r="Z97" s="24" t="s">
        <v>72</v>
      </c>
      <c r="AA97" s="27" t="s">
        <v>80</v>
      </c>
      <c r="AC97" s="25">
        <v>2</v>
      </c>
    </row>
    <row r="98" spans="1:29" ht="15" hidden="1" x14ac:dyDescent="0.15">
      <c r="A98" s="26">
        <v>22474518</v>
      </c>
      <c r="B98" s="26">
        <v>97</v>
      </c>
      <c r="C98" s="26" t="s">
        <v>1351</v>
      </c>
      <c r="D98" s="26" t="s">
        <v>1560</v>
      </c>
      <c r="E98" s="26">
        <v>3016233071</v>
      </c>
      <c r="F98" s="26" t="s">
        <v>1561</v>
      </c>
      <c r="G98" s="24" t="s">
        <v>1354</v>
      </c>
      <c r="H98" s="26" t="s">
        <v>1355</v>
      </c>
      <c r="I98" s="24" t="s">
        <v>1363</v>
      </c>
      <c r="J98" s="24" t="s">
        <v>71</v>
      </c>
      <c r="K98" s="24" t="s">
        <v>71</v>
      </c>
      <c r="L98" s="24" t="s">
        <v>71</v>
      </c>
      <c r="M98" s="24" t="s">
        <v>71</v>
      </c>
      <c r="N98" s="24" t="s">
        <v>71</v>
      </c>
      <c r="O98" s="24" t="s">
        <v>72</v>
      </c>
      <c r="P98" s="24" t="s">
        <v>72</v>
      </c>
      <c r="Q98" s="24" t="s">
        <v>71</v>
      </c>
      <c r="R98" s="24" t="s">
        <v>72</v>
      </c>
      <c r="S98" s="24" t="s">
        <v>71</v>
      </c>
      <c r="T98" s="24" t="s">
        <v>71</v>
      </c>
      <c r="U98" s="24" t="s">
        <v>72</v>
      </c>
      <c r="V98" s="24" t="s">
        <v>72</v>
      </c>
      <c r="W98" s="24" t="s">
        <v>72</v>
      </c>
      <c r="X98" s="24" t="s">
        <v>72</v>
      </c>
      <c r="Y98" s="24" t="s">
        <v>72</v>
      </c>
      <c r="Z98" s="24" t="s">
        <v>72</v>
      </c>
      <c r="AA98" s="27" t="s">
        <v>80</v>
      </c>
      <c r="AC98" s="25">
        <v>2</v>
      </c>
    </row>
    <row r="99" spans="1:29" ht="15" hidden="1" x14ac:dyDescent="0.15">
      <c r="A99" s="26">
        <v>7473926</v>
      </c>
      <c r="B99" s="26">
        <v>98</v>
      </c>
      <c r="C99" s="26" t="s">
        <v>1351</v>
      </c>
      <c r="D99" s="26" t="s">
        <v>1525</v>
      </c>
      <c r="E99" s="26">
        <v>3244078612</v>
      </c>
      <c r="F99" s="26" t="s">
        <v>1562</v>
      </c>
      <c r="G99" s="24" t="s">
        <v>1354</v>
      </c>
      <c r="H99" s="26" t="s">
        <v>1355</v>
      </c>
      <c r="I99" s="24" t="s">
        <v>1356</v>
      </c>
      <c r="J99" s="24" t="s">
        <v>71</v>
      </c>
      <c r="K99" s="24" t="s">
        <v>71</v>
      </c>
      <c r="L99" s="24"/>
      <c r="M99" s="24"/>
      <c r="N99" s="24"/>
      <c r="O99" s="24"/>
      <c r="P99" s="24"/>
      <c r="Q99" s="24"/>
      <c r="R99" s="24"/>
      <c r="S99" s="24"/>
      <c r="T99" s="24"/>
      <c r="U99" s="24" t="s">
        <v>72</v>
      </c>
      <c r="V99" s="24" t="s">
        <v>72</v>
      </c>
      <c r="W99" s="24" t="s">
        <v>72</v>
      </c>
      <c r="X99" s="24" t="s">
        <v>72</v>
      </c>
      <c r="Y99" s="24" t="s">
        <v>72</v>
      </c>
      <c r="Z99" s="24" t="s">
        <v>72</v>
      </c>
      <c r="AA99" s="27" t="s">
        <v>179</v>
      </c>
      <c r="AB99" s="24" t="s">
        <v>1489</v>
      </c>
      <c r="AC99" s="25">
        <v>3</v>
      </c>
    </row>
    <row r="100" spans="1:29" ht="15" hidden="1" x14ac:dyDescent="0.15">
      <c r="A100" s="26">
        <v>55226186</v>
      </c>
      <c r="B100" s="26">
        <v>99</v>
      </c>
      <c r="C100" s="26" t="s">
        <v>1351</v>
      </c>
      <c r="D100" s="26" t="s">
        <v>1454</v>
      </c>
      <c r="E100" s="26"/>
      <c r="F100" s="26" t="s">
        <v>1563</v>
      </c>
      <c r="G100" s="24" t="s">
        <v>1354</v>
      </c>
      <c r="H100" s="26" t="s">
        <v>1355</v>
      </c>
      <c r="I100" s="24" t="s">
        <v>1356</v>
      </c>
      <c r="J100" s="24" t="s">
        <v>76</v>
      </c>
      <c r="K100" s="24" t="s">
        <v>76</v>
      </c>
      <c r="L100" s="24" t="s">
        <v>72</v>
      </c>
      <c r="M100" s="24" t="s">
        <v>71</v>
      </c>
      <c r="N100" s="24" t="s">
        <v>71</v>
      </c>
      <c r="O100" s="24" t="s">
        <v>76</v>
      </c>
      <c r="P100" s="24" t="s">
        <v>76</v>
      </c>
      <c r="Q100" s="24" t="s">
        <v>72</v>
      </c>
      <c r="R100" s="24" t="s">
        <v>76</v>
      </c>
      <c r="S100" s="24" t="s">
        <v>72</v>
      </c>
      <c r="T100" s="24" t="s">
        <v>72</v>
      </c>
      <c r="U100" s="24" t="s">
        <v>71</v>
      </c>
      <c r="V100" s="24" t="s">
        <v>71</v>
      </c>
      <c r="W100" s="24" t="s">
        <v>71</v>
      </c>
      <c r="X100" s="24" t="s">
        <v>71</v>
      </c>
      <c r="Y100" s="24" t="s">
        <v>76</v>
      </c>
      <c r="Z100" s="24" t="s">
        <v>76</v>
      </c>
      <c r="AA100" s="27" t="s">
        <v>91</v>
      </c>
      <c r="AC100" s="25">
        <v>2</v>
      </c>
    </row>
    <row r="101" spans="1:29" ht="15" hidden="1" x14ac:dyDescent="0.15">
      <c r="A101" s="26">
        <v>32652678</v>
      </c>
      <c r="B101" s="26">
        <v>100</v>
      </c>
      <c r="C101" s="26" t="s">
        <v>1351</v>
      </c>
      <c r="D101" s="26" t="s">
        <v>1564</v>
      </c>
      <c r="E101" s="26">
        <v>3144578837</v>
      </c>
      <c r="F101" s="26" t="s">
        <v>1496</v>
      </c>
      <c r="G101" s="24" t="s">
        <v>1354</v>
      </c>
      <c r="H101" s="26" t="s">
        <v>1355</v>
      </c>
      <c r="I101" s="24" t="s">
        <v>1356</v>
      </c>
      <c r="J101" s="24" t="s">
        <v>71</v>
      </c>
      <c r="K101" s="24" t="s">
        <v>71</v>
      </c>
      <c r="L101" s="24" t="s">
        <v>71</v>
      </c>
      <c r="M101" s="24" t="s">
        <v>71</v>
      </c>
      <c r="N101" s="24" t="s">
        <v>71</v>
      </c>
      <c r="O101" s="24" t="s">
        <v>71</v>
      </c>
      <c r="P101" s="24" t="s">
        <v>71</v>
      </c>
      <c r="Q101" s="24" t="s">
        <v>71</v>
      </c>
      <c r="R101" s="24" t="s">
        <v>71</v>
      </c>
      <c r="S101" s="24" t="s">
        <v>71</v>
      </c>
      <c r="T101" s="24" t="s">
        <v>71</v>
      </c>
      <c r="U101" s="24" t="s">
        <v>71</v>
      </c>
      <c r="V101" s="24" t="s">
        <v>71</v>
      </c>
      <c r="W101" s="24" t="s">
        <v>71</v>
      </c>
      <c r="X101" s="24" t="s">
        <v>72</v>
      </c>
      <c r="Y101" s="24" t="s">
        <v>72</v>
      </c>
      <c r="Z101" s="24" t="s">
        <v>72</v>
      </c>
      <c r="AA101" s="27" t="s">
        <v>179</v>
      </c>
      <c r="AC101" s="25">
        <v>3</v>
      </c>
    </row>
    <row r="102" spans="1:29" ht="15" hidden="1" x14ac:dyDescent="0.15">
      <c r="A102" s="26">
        <v>8668925</v>
      </c>
      <c r="B102" s="26">
        <v>101</v>
      </c>
      <c r="C102" s="26" t="s">
        <v>1351</v>
      </c>
      <c r="D102" s="26" t="s">
        <v>1565</v>
      </c>
      <c r="E102" s="26">
        <v>3014468736</v>
      </c>
      <c r="F102" s="26" t="s">
        <v>1566</v>
      </c>
      <c r="G102" s="24" t="s">
        <v>1354</v>
      </c>
      <c r="H102" s="26" t="s">
        <v>1355</v>
      </c>
      <c r="I102" s="24" t="s">
        <v>1356</v>
      </c>
      <c r="J102" s="24" t="s">
        <v>71</v>
      </c>
      <c r="K102" s="24" t="s">
        <v>71</v>
      </c>
      <c r="L102" s="24" t="s">
        <v>72</v>
      </c>
      <c r="M102" s="24" t="s">
        <v>71</v>
      </c>
      <c r="N102" s="24" t="s">
        <v>72</v>
      </c>
      <c r="O102" s="24" t="s">
        <v>72</v>
      </c>
      <c r="P102" s="24" t="s">
        <v>72</v>
      </c>
      <c r="Q102" s="24" t="s">
        <v>72</v>
      </c>
      <c r="R102" s="24" t="s">
        <v>72</v>
      </c>
      <c r="S102" s="24" t="s">
        <v>72</v>
      </c>
      <c r="T102" s="24" t="s">
        <v>72</v>
      </c>
      <c r="U102" s="24" t="s">
        <v>76</v>
      </c>
      <c r="V102" s="24" t="s">
        <v>76</v>
      </c>
      <c r="W102" s="24" t="s">
        <v>76</v>
      </c>
      <c r="X102" s="24" t="s">
        <v>72</v>
      </c>
      <c r="Y102" s="24" t="s">
        <v>72</v>
      </c>
      <c r="Z102" s="24" t="s">
        <v>72</v>
      </c>
      <c r="AA102" s="27" t="s">
        <v>80</v>
      </c>
      <c r="AB102" s="24" t="s">
        <v>1567</v>
      </c>
      <c r="AC102" s="25">
        <v>1</v>
      </c>
    </row>
    <row r="103" spans="1:29" ht="15" hidden="1" x14ac:dyDescent="0.15">
      <c r="A103" s="26">
        <v>22446902</v>
      </c>
      <c r="B103" s="26">
        <v>102</v>
      </c>
      <c r="C103" s="26" t="s">
        <v>1351</v>
      </c>
      <c r="D103" s="26" t="s">
        <v>1568</v>
      </c>
      <c r="E103" s="26"/>
      <c r="F103" s="26" t="s">
        <v>1569</v>
      </c>
      <c r="G103" s="24" t="s">
        <v>1354</v>
      </c>
      <c r="H103" s="26" t="s">
        <v>1355</v>
      </c>
      <c r="I103" s="24" t="s">
        <v>1356</v>
      </c>
      <c r="J103" s="24" t="s">
        <v>71</v>
      </c>
      <c r="K103" s="24" t="s">
        <v>71</v>
      </c>
      <c r="L103" s="24" t="s">
        <v>71</v>
      </c>
      <c r="M103" s="24" t="s">
        <v>71</v>
      </c>
      <c r="N103" s="24" t="s">
        <v>71</v>
      </c>
      <c r="O103" s="24" t="s">
        <v>71</v>
      </c>
      <c r="P103" s="24" t="s">
        <v>71</v>
      </c>
      <c r="Q103" s="24" t="s">
        <v>71</v>
      </c>
      <c r="R103" s="24" t="s">
        <v>71</v>
      </c>
      <c r="S103" s="24" t="s">
        <v>71</v>
      </c>
      <c r="T103" s="24" t="s">
        <v>71</v>
      </c>
      <c r="U103" s="24" t="s">
        <v>71</v>
      </c>
      <c r="V103" s="24" t="s">
        <v>71</v>
      </c>
      <c r="W103" s="24" t="s">
        <v>71</v>
      </c>
      <c r="X103" s="24" t="s">
        <v>71</v>
      </c>
      <c r="Y103" s="24" t="s">
        <v>71</v>
      </c>
      <c r="Z103" s="24" t="s">
        <v>71</v>
      </c>
      <c r="AA103" s="27" t="s">
        <v>1367</v>
      </c>
      <c r="AB103" s="24" t="s">
        <v>1570</v>
      </c>
      <c r="AC103" s="25" t="s">
        <v>1367</v>
      </c>
    </row>
    <row r="104" spans="1:29" ht="15" hidden="1" x14ac:dyDescent="0.15">
      <c r="A104" s="26">
        <v>22564910</v>
      </c>
      <c r="B104" s="26">
        <v>103</v>
      </c>
      <c r="C104" s="26" t="s">
        <v>1351</v>
      </c>
      <c r="D104" s="26" t="s">
        <v>1571</v>
      </c>
      <c r="E104" s="26">
        <v>3245269083</v>
      </c>
      <c r="F104" s="26" t="s">
        <v>1572</v>
      </c>
      <c r="G104" s="24" t="s">
        <v>1354</v>
      </c>
      <c r="H104" s="26" t="s">
        <v>1355</v>
      </c>
      <c r="I104" s="24" t="s">
        <v>1363</v>
      </c>
      <c r="J104" s="24" t="s">
        <v>71</v>
      </c>
      <c r="K104" s="24" t="s">
        <v>71</v>
      </c>
      <c r="L104" s="24" t="s">
        <v>72</v>
      </c>
      <c r="M104" s="24" t="s">
        <v>72</v>
      </c>
      <c r="N104" s="24" t="s">
        <v>72</v>
      </c>
      <c r="O104" s="24" t="s">
        <v>72</v>
      </c>
      <c r="P104" s="24" t="s">
        <v>72</v>
      </c>
      <c r="Q104" s="24" t="s">
        <v>72</v>
      </c>
      <c r="R104" s="24" t="s">
        <v>72</v>
      </c>
      <c r="S104" s="24" t="s">
        <v>72</v>
      </c>
      <c r="T104" s="24" t="s">
        <v>72</v>
      </c>
      <c r="U104" s="24" t="s">
        <v>72</v>
      </c>
      <c r="V104" s="24" t="s">
        <v>72</v>
      </c>
      <c r="W104" s="24" t="s">
        <v>72</v>
      </c>
      <c r="X104" s="24" t="s">
        <v>71</v>
      </c>
      <c r="Y104" s="24" t="s">
        <v>72</v>
      </c>
      <c r="Z104" s="24" t="s">
        <v>72</v>
      </c>
      <c r="AA104" s="27" t="s">
        <v>80</v>
      </c>
      <c r="AB104" s="24" t="s">
        <v>1573</v>
      </c>
      <c r="AC104" s="25">
        <v>2</v>
      </c>
    </row>
    <row r="105" spans="1:29" ht="15" hidden="1" x14ac:dyDescent="0.15">
      <c r="A105" s="26">
        <v>44158176</v>
      </c>
      <c r="B105" s="26">
        <v>104</v>
      </c>
      <c r="C105" s="26" t="s">
        <v>1351</v>
      </c>
      <c r="D105" s="26" t="s">
        <v>1574</v>
      </c>
      <c r="E105" s="26">
        <v>3183050857</v>
      </c>
      <c r="F105" s="26" t="s">
        <v>1575</v>
      </c>
      <c r="G105" s="24" t="s">
        <v>1354</v>
      </c>
      <c r="H105" s="26" t="s">
        <v>1355</v>
      </c>
      <c r="I105" s="24" t="s">
        <v>1356</v>
      </c>
      <c r="J105" s="24" t="s">
        <v>71</v>
      </c>
      <c r="K105" s="24" t="s">
        <v>71</v>
      </c>
      <c r="L105" s="24" t="s">
        <v>71</v>
      </c>
      <c r="M105" s="24" t="s">
        <v>71</v>
      </c>
      <c r="N105" s="24" t="s">
        <v>71</v>
      </c>
      <c r="O105" s="24" t="s">
        <v>71</v>
      </c>
      <c r="P105" s="24" t="s">
        <v>71</v>
      </c>
      <c r="Q105" s="24" t="s">
        <v>71</v>
      </c>
      <c r="R105" s="24" t="s">
        <v>71</v>
      </c>
      <c r="S105" s="24" t="s">
        <v>71</v>
      </c>
      <c r="T105" s="24" t="s">
        <v>71</v>
      </c>
      <c r="U105" s="24" t="s">
        <v>71</v>
      </c>
      <c r="V105" s="24" t="s">
        <v>71</v>
      </c>
      <c r="W105" s="24" t="s">
        <v>71</v>
      </c>
      <c r="X105" s="24" t="s">
        <v>71</v>
      </c>
      <c r="Y105" s="24" t="s">
        <v>71</v>
      </c>
      <c r="Z105" s="24" t="s">
        <v>71</v>
      </c>
      <c r="AA105" s="27" t="s">
        <v>1367</v>
      </c>
      <c r="AB105" s="24" t="s">
        <v>1570</v>
      </c>
      <c r="AC105" s="25" t="s">
        <v>1367</v>
      </c>
    </row>
    <row r="106" spans="1:29" ht="15" hidden="1" x14ac:dyDescent="0.15">
      <c r="A106" s="26">
        <v>32684085</v>
      </c>
      <c r="B106" s="26">
        <v>105</v>
      </c>
      <c r="C106" s="26" t="s">
        <v>1351</v>
      </c>
      <c r="D106" s="26" t="s">
        <v>1576</v>
      </c>
      <c r="E106" s="26">
        <v>3046006423</v>
      </c>
      <c r="F106" s="26" t="s">
        <v>1577</v>
      </c>
      <c r="G106" s="24" t="s">
        <v>1354</v>
      </c>
      <c r="H106" s="26" t="s">
        <v>1355</v>
      </c>
      <c r="I106" s="24" t="s">
        <v>1363</v>
      </c>
      <c r="J106" s="24" t="s">
        <v>71</v>
      </c>
      <c r="K106" s="24" t="s">
        <v>71</v>
      </c>
      <c r="L106" s="24" t="s">
        <v>72</v>
      </c>
      <c r="M106" s="24" t="s">
        <v>71</v>
      </c>
      <c r="N106" s="24" t="s">
        <v>72</v>
      </c>
      <c r="O106" s="24" t="s">
        <v>72</v>
      </c>
      <c r="P106" s="24" t="s">
        <v>72</v>
      </c>
      <c r="Q106" s="24" t="s">
        <v>72</v>
      </c>
      <c r="R106" s="24" t="s">
        <v>72</v>
      </c>
      <c r="S106" s="24" t="s">
        <v>72</v>
      </c>
      <c r="T106" s="24" t="s">
        <v>72</v>
      </c>
      <c r="U106" s="24" t="s">
        <v>71</v>
      </c>
      <c r="V106" s="24" t="s">
        <v>71</v>
      </c>
      <c r="W106" s="24" t="s">
        <v>71</v>
      </c>
      <c r="X106" s="24" t="s">
        <v>71</v>
      </c>
      <c r="Y106" s="24" t="s">
        <v>72</v>
      </c>
      <c r="Z106" s="24" t="s">
        <v>71</v>
      </c>
      <c r="AA106" s="27" t="s">
        <v>80</v>
      </c>
      <c r="AC106" s="25">
        <v>2</v>
      </c>
    </row>
    <row r="107" spans="1:29" ht="15" hidden="1" x14ac:dyDescent="0.15">
      <c r="A107" s="26">
        <v>55300439</v>
      </c>
      <c r="B107" s="26">
        <v>106</v>
      </c>
      <c r="C107" s="26" t="s">
        <v>1351</v>
      </c>
      <c r="D107" s="26" t="s">
        <v>1578</v>
      </c>
      <c r="E107" s="26">
        <v>3146732141</v>
      </c>
      <c r="F107" s="26" t="s">
        <v>1579</v>
      </c>
      <c r="G107" s="24" t="s">
        <v>1354</v>
      </c>
      <c r="H107" s="26" t="s">
        <v>1355</v>
      </c>
      <c r="I107" s="24" t="s">
        <v>1356</v>
      </c>
      <c r="J107" s="24" t="s">
        <v>71</v>
      </c>
      <c r="K107" s="24" t="s">
        <v>71</v>
      </c>
      <c r="L107" s="24" t="s">
        <v>72</v>
      </c>
      <c r="M107" s="24"/>
      <c r="N107" s="24" t="s">
        <v>72</v>
      </c>
      <c r="O107" s="24" t="s">
        <v>72</v>
      </c>
      <c r="P107" s="24" t="s">
        <v>72</v>
      </c>
      <c r="Q107" s="24" t="s">
        <v>72</v>
      </c>
      <c r="R107" s="24" t="s">
        <v>72</v>
      </c>
      <c r="S107" s="24" t="s">
        <v>72</v>
      </c>
      <c r="T107" s="24" t="s">
        <v>72</v>
      </c>
      <c r="U107" s="24" t="s">
        <v>71</v>
      </c>
      <c r="V107" s="24" t="s">
        <v>71</v>
      </c>
      <c r="W107" s="24" t="s">
        <v>71</v>
      </c>
      <c r="X107" s="24" t="s">
        <v>71</v>
      </c>
      <c r="Y107" s="24" t="s">
        <v>76</v>
      </c>
      <c r="Z107" s="24" t="s">
        <v>76</v>
      </c>
      <c r="AA107" s="27" t="s">
        <v>85</v>
      </c>
      <c r="AB107" s="24" t="s">
        <v>1580</v>
      </c>
      <c r="AC107" s="25">
        <v>2</v>
      </c>
    </row>
    <row r="108" spans="1:29" ht="15" hidden="1" x14ac:dyDescent="0.15">
      <c r="A108" s="26">
        <v>33172386</v>
      </c>
      <c r="B108" s="26">
        <v>107</v>
      </c>
      <c r="C108" s="26" t="s">
        <v>1351</v>
      </c>
      <c r="D108" s="26" t="s">
        <v>1581</v>
      </c>
      <c r="E108" s="26">
        <v>3004475987</v>
      </c>
      <c r="F108" s="26" t="s">
        <v>1582</v>
      </c>
      <c r="G108" s="24" t="s">
        <v>1354</v>
      </c>
      <c r="H108" s="26" t="s">
        <v>1355</v>
      </c>
      <c r="I108" s="24" t="s">
        <v>1363</v>
      </c>
      <c r="J108" s="24" t="s">
        <v>71</v>
      </c>
      <c r="K108" s="24" t="s">
        <v>71</v>
      </c>
      <c r="L108" s="24" t="s">
        <v>72</v>
      </c>
      <c r="M108" s="24" t="s">
        <v>71</v>
      </c>
      <c r="N108" s="24" t="s">
        <v>72</v>
      </c>
      <c r="O108" s="24" t="s">
        <v>72</v>
      </c>
      <c r="P108" s="24" t="s">
        <v>72</v>
      </c>
      <c r="Q108" s="24" t="s">
        <v>72</v>
      </c>
      <c r="R108" s="24" t="s">
        <v>72</v>
      </c>
      <c r="S108" s="24" t="s">
        <v>72</v>
      </c>
      <c r="T108" s="24" t="s">
        <v>72</v>
      </c>
      <c r="U108" s="24" t="s">
        <v>76</v>
      </c>
      <c r="V108" s="24" t="s">
        <v>76</v>
      </c>
      <c r="W108" s="24" t="s">
        <v>76</v>
      </c>
      <c r="X108" s="24" t="s">
        <v>71</v>
      </c>
      <c r="Y108" s="24" t="s">
        <v>72</v>
      </c>
      <c r="Z108" s="24" t="s">
        <v>72</v>
      </c>
      <c r="AA108" s="27" t="s">
        <v>80</v>
      </c>
      <c r="AB108" s="24" t="s">
        <v>1583</v>
      </c>
      <c r="AC108" s="25">
        <v>2</v>
      </c>
    </row>
    <row r="109" spans="1:29" ht="15" hidden="1" x14ac:dyDescent="0.15">
      <c r="A109" s="26">
        <v>32678914</v>
      </c>
      <c r="B109" s="26">
        <v>108</v>
      </c>
      <c r="C109" s="26" t="s">
        <v>1351</v>
      </c>
      <c r="D109" s="26" t="s">
        <v>1584</v>
      </c>
      <c r="E109" s="26">
        <v>315799876</v>
      </c>
      <c r="F109" s="26" t="s">
        <v>1585</v>
      </c>
      <c r="G109" s="24" t="s">
        <v>1354</v>
      </c>
      <c r="H109" s="26" t="s">
        <v>1355</v>
      </c>
      <c r="I109" s="24" t="s">
        <v>1356</v>
      </c>
      <c r="J109" s="24" t="s">
        <v>76</v>
      </c>
      <c r="K109" s="24" t="s">
        <v>76</v>
      </c>
      <c r="L109" s="24" t="s">
        <v>71</v>
      </c>
      <c r="M109" s="24" t="s">
        <v>71</v>
      </c>
      <c r="N109" s="24" t="s">
        <v>71</v>
      </c>
      <c r="O109" s="24" t="s">
        <v>71</v>
      </c>
      <c r="P109" s="24" t="s">
        <v>71</v>
      </c>
      <c r="Q109" s="24" t="s">
        <v>71</v>
      </c>
      <c r="R109" s="24" t="s">
        <v>71</v>
      </c>
      <c r="S109" s="24" t="s">
        <v>71</v>
      </c>
      <c r="T109" s="24" t="s">
        <v>71</v>
      </c>
      <c r="U109" s="24" t="s">
        <v>71</v>
      </c>
      <c r="V109" s="24" t="s">
        <v>71</v>
      </c>
      <c r="W109" s="24" t="s">
        <v>71</v>
      </c>
      <c r="X109" s="24" t="s">
        <v>71</v>
      </c>
      <c r="Y109" s="24" t="s">
        <v>71</v>
      </c>
      <c r="Z109" s="24" t="s">
        <v>71</v>
      </c>
      <c r="AA109" s="27" t="s">
        <v>73</v>
      </c>
      <c r="AB109" s="24" t="s">
        <v>1586</v>
      </c>
      <c r="AC109" s="25">
        <v>2</v>
      </c>
    </row>
    <row r="110" spans="1:29" ht="15" hidden="1" customHeight="1" x14ac:dyDescent="0.15">
      <c r="A110" s="26">
        <v>1047217469</v>
      </c>
      <c r="B110" s="26">
        <v>109</v>
      </c>
      <c r="C110" s="26" t="s">
        <v>1351</v>
      </c>
      <c r="D110" s="26" t="s">
        <v>1587</v>
      </c>
      <c r="E110" s="26">
        <v>3242055747</v>
      </c>
      <c r="F110" s="26" t="s">
        <v>1588</v>
      </c>
      <c r="G110" s="24" t="s">
        <v>1354</v>
      </c>
      <c r="H110" s="26" t="s">
        <v>1355</v>
      </c>
      <c r="I110" s="24" t="s">
        <v>1363</v>
      </c>
      <c r="J110" s="24" t="s">
        <v>72</v>
      </c>
      <c r="K110" s="24" t="s">
        <v>72</v>
      </c>
      <c r="L110" s="24"/>
      <c r="M110" s="24"/>
      <c r="N110" s="24"/>
      <c r="O110" s="24"/>
      <c r="P110" s="24"/>
      <c r="Q110" s="24"/>
      <c r="R110" s="24"/>
      <c r="S110" s="24"/>
      <c r="T110" s="24"/>
      <c r="U110" s="24" t="s">
        <v>72</v>
      </c>
      <c r="V110" s="24" t="s">
        <v>72</v>
      </c>
      <c r="W110" s="24" t="s">
        <v>72</v>
      </c>
      <c r="X110" s="24" t="s">
        <v>71</v>
      </c>
      <c r="Y110" s="24" t="s">
        <v>72</v>
      </c>
      <c r="Z110" s="24" t="s">
        <v>72</v>
      </c>
      <c r="AA110" s="27" t="s">
        <v>77</v>
      </c>
      <c r="AB110" s="24" t="s">
        <v>1589</v>
      </c>
      <c r="AC110" s="25">
        <v>2</v>
      </c>
    </row>
    <row r="111" spans="1:29" ht="15" hidden="1" x14ac:dyDescent="0.15">
      <c r="A111" s="26">
        <v>32843467</v>
      </c>
      <c r="B111" s="26">
        <v>110</v>
      </c>
      <c r="C111" s="26" t="s">
        <v>1351</v>
      </c>
      <c r="D111" s="26" t="s">
        <v>1590</v>
      </c>
      <c r="E111" s="26">
        <v>3023661240</v>
      </c>
      <c r="F111" s="26" t="s">
        <v>1591</v>
      </c>
      <c r="G111" s="24" t="s">
        <v>1354</v>
      </c>
      <c r="H111" s="26" t="s">
        <v>1355</v>
      </c>
      <c r="I111" s="24" t="s">
        <v>1363</v>
      </c>
      <c r="J111" s="24" t="s">
        <v>71</v>
      </c>
      <c r="K111" s="24" t="s">
        <v>71</v>
      </c>
      <c r="L111" s="24"/>
      <c r="M111" s="24"/>
      <c r="N111" s="24"/>
      <c r="O111" s="24"/>
      <c r="P111" s="24"/>
      <c r="Q111" s="24"/>
      <c r="R111" s="24"/>
      <c r="S111" s="24"/>
      <c r="T111" s="24"/>
      <c r="U111" s="24"/>
      <c r="V111" s="24"/>
      <c r="W111" s="24"/>
      <c r="X111" s="24"/>
      <c r="Y111" s="24"/>
      <c r="Z111" s="24"/>
      <c r="AA111" s="27" t="s">
        <v>1367</v>
      </c>
      <c r="AB111" s="24" t="s">
        <v>1592</v>
      </c>
      <c r="AC111" s="25" t="s">
        <v>1367</v>
      </c>
    </row>
    <row r="112" spans="1:29" ht="15" hidden="1" x14ac:dyDescent="0.15">
      <c r="A112" s="26">
        <v>32786242</v>
      </c>
      <c r="B112" s="26">
        <v>111</v>
      </c>
      <c r="C112" s="26" t="s">
        <v>1351</v>
      </c>
      <c r="D112" s="26" t="s">
        <v>1593</v>
      </c>
      <c r="E112" s="26">
        <v>3016344722</v>
      </c>
      <c r="F112" s="26" t="s">
        <v>1594</v>
      </c>
      <c r="G112" s="24" t="s">
        <v>1354</v>
      </c>
      <c r="H112" s="26" t="s">
        <v>1355</v>
      </c>
      <c r="I112" s="24" t="s">
        <v>1356</v>
      </c>
      <c r="J112" s="24" t="s">
        <v>71</v>
      </c>
      <c r="K112" s="24" t="s">
        <v>71</v>
      </c>
      <c r="L112" s="24" t="s">
        <v>71</v>
      </c>
      <c r="M112" s="24" t="s">
        <v>71</v>
      </c>
      <c r="N112" s="24" t="s">
        <v>71</v>
      </c>
      <c r="O112" s="24" t="s">
        <v>71</v>
      </c>
      <c r="P112" s="24" t="s">
        <v>71</v>
      </c>
      <c r="Q112" s="24" t="s">
        <v>71</v>
      </c>
      <c r="R112" s="24" t="s">
        <v>71</v>
      </c>
      <c r="S112" s="24" t="s">
        <v>71</v>
      </c>
      <c r="T112" s="24" t="s">
        <v>71</v>
      </c>
      <c r="U112" s="24" t="s">
        <v>71</v>
      </c>
      <c r="V112" s="24" t="s">
        <v>71</v>
      </c>
      <c r="W112" s="24" t="s">
        <v>71</v>
      </c>
      <c r="X112" s="24" t="s">
        <v>71</v>
      </c>
      <c r="Y112" s="24" t="s">
        <v>71</v>
      </c>
      <c r="Z112" s="24" t="s">
        <v>71</v>
      </c>
      <c r="AA112" s="27" t="s">
        <v>1367</v>
      </c>
      <c r="AB112" s="24" t="s">
        <v>1595</v>
      </c>
      <c r="AC112" s="25" t="s">
        <v>1367</v>
      </c>
    </row>
    <row r="113" spans="1:29" ht="15" hidden="1" x14ac:dyDescent="0.15">
      <c r="A113" s="26">
        <v>72146165</v>
      </c>
      <c r="B113" s="26">
        <v>112</v>
      </c>
      <c r="C113" s="26" t="s">
        <v>1351</v>
      </c>
      <c r="D113" s="26" t="s">
        <v>1596</v>
      </c>
      <c r="E113" s="26">
        <v>3126465958</v>
      </c>
      <c r="F113" s="26" t="s">
        <v>1597</v>
      </c>
      <c r="G113" s="24" t="s">
        <v>1354</v>
      </c>
      <c r="H113" s="26" t="s">
        <v>1355</v>
      </c>
      <c r="I113" s="24" t="s">
        <v>1356</v>
      </c>
      <c r="J113" s="24" t="s">
        <v>71</v>
      </c>
      <c r="K113" s="24" t="s">
        <v>71</v>
      </c>
      <c r="L113" s="24" t="s">
        <v>71</v>
      </c>
      <c r="M113" s="24" t="s">
        <v>71</v>
      </c>
      <c r="N113" s="24" t="s">
        <v>71</v>
      </c>
      <c r="O113" s="24" t="s">
        <v>71</v>
      </c>
      <c r="P113" s="24" t="s">
        <v>71</v>
      </c>
      <c r="Q113" s="24" t="s">
        <v>71</v>
      </c>
      <c r="R113" s="24" t="s">
        <v>71</v>
      </c>
      <c r="S113" s="24" t="s">
        <v>71</v>
      </c>
      <c r="T113" s="24" t="s">
        <v>71</v>
      </c>
      <c r="U113" s="24" t="s">
        <v>71</v>
      </c>
      <c r="V113" s="24" t="s">
        <v>71</v>
      </c>
      <c r="W113" s="24" t="s">
        <v>71</v>
      </c>
      <c r="X113" s="24" t="s">
        <v>71</v>
      </c>
      <c r="Y113" s="24" t="s">
        <v>71</v>
      </c>
      <c r="Z113" s="24" t="s">
        <v>71</v>
      </c>
      <c r="AA113" s="27" t="s">
        <v>1367</v>
      </c>
      <c r="AB113" s="24" t="s">
        <v>1598</v>
      </c>
      <c r="AC113" s="25" t="s">
        <v>1367</v>
      </c>
    </row>
    <row r="114" spans="1:29" ht="15" hidden="1" x14ac:dyDescent="0.15">
      <c r="A114" s="26">
        <v>73153652</v>
      </c>
      <c r="B114" s="26">
        <v>113</v>
      </c>
      <c r="C114" s="26" t="s">
        <v>1351</v>
      </c>
      <c r="D114" s="26" t="s">
        <v>1599</v>
      </c>
      <c r="E114" s="26">
        <v>3144150920</v>
      </c>
      <c r="F114" s="26" t="s">
        <v>1600</v>
      </c>
      <c r="G114" s="24" t="s">
        <v>1354</v>
      </c>
      <c r="H114" s="26" t="s">
        <v>1355</v>
      </c>
      <c r="I114" s="24" t="s">
        <v>1363</v>
      </c>
      <c r="J114" s="24" t="s">
        <v>72</v>
      </c>
      <c r="K114" s="24" t="s">
        <v>72</v>
      </c>
      <c r="L114" s="24" t="s">
        <v>71</v>
      </c>
      <c r="M114" s="24" t="s">
        <v>71</v>
      </c>
      <c r="N114" s="24" t="s">
        <v>71</v>
      </c>
      <c r="O114" s="24" t="s">
        <v>71</v>
      </c>
      <c r="P114" s="24" t="s">
        <v>71</v>
      </c>
      <c r="Q114" s="24" t="s">
        <v>71</v>
      </c>
      <c r="R114" s="24" t="s">
        <v>76</v>
      </c>
      <c r="S114" s="24" t="s">
        <v>71</v>
      </c>
      <c r="T114" s="24" t="s">
        <v>71</v>
      </c>
      <c r="U114" s="24" t="s">
        <v>71</v>
      </c>
      <c r="V114" s="24" t="s">
        <v>71</v>
      </c>
      <c r="W114" s="24" t="s">
        <v>76</v>
      </c>
      <c r="X114" s="24" t="s">
        <v>71</v>
      </c>
      <c r="Y114" s="24" t="s">
        <v>72</v>
      </c>
      <c r="Z114" s="24" t="s">
        <v>76</v>
      </c>
      <c r="AA114" s="27" t="s">
        <v>77</v>
      </c>
      <c r="AB114" s="24" t="s">
        <v>1601</v>
      </c>
      <c r="AC114" s="25">
        <v>2</v>
      </c>
    </row>
    <row r="115" spans="1:29" ht="15" hidden="1" x14ac:dyDescent="0.15">
      <c r="A115" s="26">
        <v>32867107</v>
      </c>
      <c r="B115" s="26">
        <v>114</v>
      </c>
      <c r="C115" s="26" t="s">
        <v>1351</v>
      </c>
      <c r="D115" s="26" t="s">
        <v>1602</v>
      </c>
      <c r="E115" s="26">
        <v>3244516944</v>
      </c>
      <c r="F115" s="26" t="s">
        <v>1603</v>
      </c>
      <c r="G115" s="24" t="s">
        <v>1354</v>
      </c>
      <c r="H115" s="26" t="s">
        <v>1355</v>
      </c>
      <c r="I115" s="24" t="s">
        <v>1356</v>
      </c>
      <c r="J115" s="24" t="s">
        <v>76</v>
      </c>
      <c r="K115" s="24" t="s">
        <v>76</v>
      </c>
      <c r="L115" s="24" t="s">
        <v>71</v>
      </c>
      <c r="M115" s="24" t="s">
        <v>71</v>
      </c>
      <c r="N115" s="24" t="s">
        <v>71</v>
      </c>
      <c r="O115" s="24" t="s">
        <v>71</v>
      </c>
      <c r="P115" s="24" t="s">
        <v>71</v>
      </c>
      <c r="Q115" s="24" t="s">
        <v>71</v>
      </c>
      <c r="R115" s="24" t="s">
        <v>71</v>
      </c>
      <c r="S115" s="24" t="s">
        <v>71</v>
      </c>
      <c r="T115" s="24" t="s">
        <v>71</v>
      </c>
      <c r="U115" s="24" t="s">
        <v>71</v>
      </c>
      <c r="V115" s="24" t="s">
        <v>71</v>
      </c>
      <c r="W115" s="24" t="s">
        <v>71</v>
      </c>
      <c r="X115" s="24" t="s">
        <v>71</v>
      </c>
      <c r="Y115" s="24" t="s">
        <v>71</v>
      </c>
      <c r="Z115" s="24" t="s">
        <v>71</v>
      </c>
      <c r="AA115" s="27" t="s">
        <v>73</v>
      </c>
      <c r="AB115" s="24" t="s">
        <v>1604</v>
      </c>
      <c r="AC115" s="25">
        <v>2</v>
      </c>
    </row>
    <row r="116" spans="1:29" ht="15" hidden="1" x14ac:dyDescent="0.15">
      <c r="A116" s="26">
        <v>32873927</v>
      </c>
      <c r="B116" s="26">
        <v>115</v>
      </c>
      <c r="C116" s="26" t="s">
        <v>1351</v>
      </c>
      <c r="D116" s="26" t="s">
        <v>1380</v>
      </c>
      <c r="E116" s="26">
        <v>3244301654</v>
      </c>
      <c r="F116" s="26" t="s">
        <v>1605</v>
      </c>
      <c r="G116" s="24" t="s">
        <v>1354</v>
      </c>
      <c r="H116" s="26" t="s">
        <v>1355</v>
      </c>
      <c r="I116" s="24" t="s">
        <v>1356</v>
      </c>
      <c r="J116" s="24" t="s">
        <v>71</v>
      </c>
      <c r="K116" s="24" t="s">
        <v>71</v>
      </c>
      <c r="L116" s="24" t="s">
        <v>72</v>
      </c>
      <c r="M116" s="24"/>
      <c r="N116" s="24" t="s">
        <v>72</v>
      </c>
      <c r="O116" s="24" t="s">
        <v>72</v>
      </c>
      <c r="P116" s="24" t="s">
        <v>72</v>
      </c>
      <c r="Q116" s="24" t="s">
        <v>72</v>
      </c>
      <c r="R116" s="24" t="s">
        <v>72</v>
      </c>
      <c r="S116" s="24" t="s">
        <v>72</v>
      </c>
      <c r="T116" s="24" t="s">
        <v>72</v>
      </c>
      <c r="U116" s="24" t="s">
        <v>72</v>
      </c>
      <c r="V116" s="24" t="s">
        <v>72</v>
      </c>
      <c r="W116" s="24" t="s">
        <v>72</v>
      </c>
      <c r="X116" s="24" t="s">
        <v>72</v>
      </c>
      <c r="Y116" s="24" t="s">
        <v>72</v>
      </c>
      <c r="Z116" s="24" t="s">
        <v>72</v>
      </c>
      <c r="AA116" s="27" t="s">
        <v>80</v>
      </c>
      <c r="AB116" s="24" t="s">
        <v>1606</v>
      </c>
      <c r="AC116" s="25">
        <v>1</v>
      </c>
    </row>
    <row r="117" spans="1:29" ht="15" hidden="1" x14ac:dyDescent="0.15">
      <c r="A117" s="26">
        <v>22478356</v>
      </c>
      <c r="B117" s="26">
        <v>116</v>
      </c>
      <c r="C117" s="26" t="s">
        <v>1351</v>
      </c>
      <c r="D117" s="26" t="s">
        <v>1607</v>
      </c>
      <c r="E117" s="26">
        <v>3135792772</v>
      </c>
      <c r="F117" s="26" t="s">
        <v>1608</v>
      </c>
      <c r="G117" s="24" t="s">
        <v>1354</v>
      </c>
      <c r="H117" s="26" t="s">
        <v>1355</v>
      </c>
      <c r="I117" s="24" t="s">
        <v>1356</v>
      </c>
      <c r="J117" s="24" t="s">
        <v>72</v>
      </c>
      <c r="K117" s="24" t="s">
        <v>72</v>
      </c>
      <c r="L117" s="24" t="s">
        <v>72</v>
      </c>
      <c r="M117" s="24" t="s">
        <v>72</v>
      </c>
      <c r="N117" s="24" t="s">
        <v>72</v>
      </c>
      <c r="O117" s="24" t="s">
        <v>72</v>
      </c>
      <c r="P117" s="24" t="s">
        <v>72</v>
      </c>
      <c r="Q117" s="24" t="s">
        <v>72</v>
      </c>
      <c r="R117" s="24" t="s">
        <v>72</v>
      </c>
      <c r="S117" s="24" t="s">
        <v>72</v>
      </c>
      <c r="T117" s="24" t="s">
        <v>72</v>
      </c>
      <c r="U117" s="24" t="s">
        <v>72</v>
      </c>
      <c r="V117" s="24" t="s">
        <v>72</v>
      </c>
      <c r="W117" s="24" t="s">
        <v>72</v>
      </c>
      <c r="X117" s="24" t="s">
        <v>72</v>
      </c>
      <c r="Y117" s="24" t="s">
        <v>72</v>
      </c>
      <c r="Z117" s="24" t="s">
        <v>72</v>
      </c>
      <c r="AA117" s="27" t="s">
        <v>91</v>
      </c>
      <c r="AB117" s="24" t="s">
        <v>1609</v>
      </c>
      <c r="AC117" s="25">
        <v>1</v>
      </c>
    </row>
    <row r="118" spans="1:29" ht="15" hidden="1" x14ac:dyDescent="0.15">
      <c r="A118" s="26">
        <v>32620693</v>
      </c>
      <c r="B118" s="26">
        <v>117</v>
      </c>
      <c r="C118" s="26" t="s">
        <v>1351</v>
      </c>
      <c r="D118" s="26" t="s">
        <v>1610</v>
      </c>
      <c r="E118" s="26">
        <v>3008360005</v>
      </c>
      <c r="F118" s="26" t="s">
        <v>1611</v>
      </c>
      <c r="G118" s="24" t="s">
        <v>1354</v>
      </c>
      <c r="H118" s="26" t="s">
        <v>1355</v>
      </c>
      <c r="I118" s="24" t="s">
        <v>1356</v>
      </c>
      <c r="J118" s="24" t="s">
        <v>72</v>
      </c>
      <c r="K118" s="24" t="s">
        <v>72</v>
      </c>
      <c r="L118" s="24" t="s">
        <v>71</v>
      </c>
      <c r="M118" s="24" t="s">
        <v>71</v>
      </c>
      <c r="N118" s="24" t="s">
        <v>71</v>
      </c>
      <c r="O118" s="24" t="s">
        <v>71</v>
      </c>
      <c r="P118" s="24" t="s">
        <v>71</v>
      </c>
      <c r="Q118" s="24" t="s">
        <v>71</v>
      </c>
      <c r="R118" s="24" t="s">
        <v>71</v>
      </c>
      <c r="S118" s="24" t="s">
        <v>71</v>
      </c>
      <c r="T118" s="24" t="s">
        <v>71</v>
      </c>
      <c r="U118" s="24" t="s">
        <v>72</v>
      </c>
      <c r="V118" s="24" t="s">
        <v>72</v>
      </c>
      <c r="W118" s="24" t="s">
        <v>72</v>
      </c>
      <c r="X118" s="24" t="s">
        <v>72</v>
      </c>
      <c r="Y118" s="24" t="s">
        <v>72</v>
      </c>
      <c r="Z118" s="24" t="s">
        <v>72</v>
      </c>
      <c r="AA118" s="27" t="s">
        <v>77</v>
      </c>
      <c r="AB118" s="24" t="s">
        <v>1612</v>
      </c>
      <c r="AC118" s="25">
        <v>2</v>
      </c>
    </row>
    <row r="119" spans="1:29" ht="15" hidden="1" x14ac:dyDescent="0.2">
      <c r="A119">
        <v>72183434</v>
      </c>
      <c r="B119">
        <v>118</v>
      </c>
      <c r="C119" s="26" t="s">
        <v>1351</v>
      </c>
      <c r="D119" t="s">
        <v>1613</v>
      </c>
      <c r="E119">
        <v>3105123154</v>
      </c>
      <c r="F119" t="s">
        <v>1614</v>
      </c>
      <c r="G119" s="20" t="s">
        <v>1354</v>
      </c>
      <c r="H119" t="s">
        <v>1355</v>
      </c>
      <c r="I119" s="20" t="s">
        <v>1356</v>
      </c>
      <c r="J119" s="20" t="s">
        <v>76</v>
      </c>
      <c r="K119" s="20" t="s">
        <v>76</v>
      </c>
      <c r="L119" s="20" t="s">
        <v>71</v>
      </c>
      <c r="M119" s="20" t="s">
        <v>71</v>
      </c>
      <c r="N119" s="20" t="s">
        <v>71</v>
      </c>
      <c r="O119" s="20" t="s">
        <v>71</v>
      </c>
      <c r="P119" s="20" t="s">
        <v>71</v>
      </c>
      <c r="Q119" s="20" t="s">
        <v>71</v>
      </c>
      <c r="R119" s="20" t="s">
        <v>71</v>
      </c>
      <c r="S119" s="20" t="s">
        <v>71</v>
      </c>
      <c r="T119" s="20" t="s">
        <v>71</v>
      </c>
      <c r="U119" s="20" t="s">
        <v>71</v>
      </c>
      <c r="V119" s="20" t="s">
        <v>71</v>
      </c>
      <c r="W119" s="20" t="s">
        <v>71</v>
      </c>
      <c r="X119" s="20" t="s">
        <v>71</v>
      </c>
      <c r="Y119" s="20" t="s">
        <v>71</v>
      </c>
      <c r="Z119" s="20" t="s">
        <v>71</v>
      </c>
      <c r="AA119" s="23" t="s">
        <v>73</v>
      </c>
      <c r="AB119" s="24" t="s">
        <v>1615</v>
      </c>
      <c r="AC119" s="25">
        <v>3</v>
      </c>
    </row>
    <row r="120" spans="1:29" ht="15" hidden="1" x14ac:dyDescent="0.2">
      <c r="A120">
        <v>32792195</v>
      </c>
      <c r="B120">
        <v>119</v>
      </c>
      <c r="C120" s="26" t="s">
        <v>1351</v>
      </c>
      <c r="D120" t="s">
        <v>1616</v>
      </c>
      <c r="E120">
        <v>3135896774</v>
      </c>
      <c r="F120" t="s">
        <v>1617</v>
      </c>
      <c r="G120" s="20" t="s">
        <v>1354</v>
      </c>
      <c r="H120" t="s">
        <v>1355</v>
      </c>
      <c r="I120" s="20" t="s">
        <v>1363</v>
      </c>
      <c r="J120" s="20" t="s">
        <v>76</v>
      </c>
      <c r="K120" s="20" t="s">
        <v>76</v>
      </c>
      <c r="L120" s="20" t="s">
        <v>71</v>
      </c>
      <c r="M120" s="20" t="s">
        <v>71</v>
      </c>
      <c r="N120" s="20" t="s">
        <v>71</v>
      </c>
      <c r="O120" s="20" t="s">
        <v>71</v>
      </c>
      <c r="P120" s="20" t="s">
        <v>71</v>
      </c>
      <c r="Q120" s="20" t="s">
        <v>71</v>
      </c>
      <c r="R120" s="20" t="s">
        <v>71</v>
      </c>
      <c r="S120" s="20" t="s">
        <v>71</v>
      </c>
      <c r="T120" s="20" t="s">
        <v>71</v>
      </c>
      <c r="U120" s="20" t="s">
        <v>71</v>
      </c>
      <c r="V120" s="20" t="s">
        <v>71</v>
      </c>
      <c r="W120" s="20" t="s">
        <v>71</v>
      </c>
      <c r="X120" s="20" t="s">
        <v>71</v>
      </c>
      <c r="Y120" s="20" t="s">
        <v>71</v>
      </c>
      <c r="Z120" s="20" t="s">
        <v>71</v>
      </c>
      <c r="AA120" s="23" t="s">
        <v>73</v>
      </c>
      <c r="AB120" s="24" t="s">
        <v>1615</v>
      </c>
      <c r="AC120" s="25">
        <v>3</v>
      </c>
    </row>
    <row r="121" spans="1:29" ht="15" hidden="1" x14ac:dyDescent="0.2">
      <c r="A121">
        <v>77020562</v>
      </c>
      <c r="B121">
        <v>120</v>
      </c>
      <c r="C121" s="26" t="s">
        <v>1351</v>
      </c>
      <c r="D121" t="s">
        <v>1618</v>
      </c>
      <c r="E121">
        <v>3015674496</v>
      </c>
      <c r="F121" t="s">
        <v>1619</v>
      </c>
      <c r="G121" s="20" t="s">
        <v>1354</v>
      </c>
      <c r="H121" t="s">
        <v>1355</v>
      </c>
      <c r="I121" s="20" t="s">
        <v>1356</v>
      </c>
      <c r="J121" s="20" t="s">
        <v>76</v>
      </c>
      <c r="K121" s="20" t="s">
        <v>76</v>
      </c>
      <c r="L121" s="20" t="s">
        <v>71</v>
      </c>
      <c r="M121" s="20" t="s">
        <v>71</v>
      </c>
      <c r="N121" s="20" t="s">
        <v>71</v>
      </c>
      <c r="O121" s="20" t="s">
        <v>71</v>
      </c>
      <c r="P121" s="20" t="s">
        <v>71</v>
      </c>
      <c r="Q121" s="20" t="s">
        <v>71</v>
      </c>
      <c r="R121" s="20" t="s">
        <v>71</v>
      </c>
      <c r="S121" s="20" t="s">
        <v>71</v>
      </c>
      <c r="T121" s="20" t="s">
        <v>71</v>
      </c>
      <c r="U121" s="20" t="s">
        <v>71</v>
      </c>
      <c r="V121" s="20" t="s">
        <v>71</v>
      </c>
      <c r="W121" s="20" t="s">
        <v>71</v>
      </c>
      <c r="X121" s="20" t="s">
        <v>71</v>
      </c>
      <c r="Y121" s="20" t="s">
        <v>71</v>
      </c>
      <c r="Z121" s="20" t="s">
        <v>71</v>
      </c>
      <c r="AA121" s="23" t="s">
        <v>73</v>
      </c>
      <c r="AB121" s="24" t="s">
        <v>1615</v>
      </c>
      <c r="AC121" s="25">
        <v>3</v>
      </c>
    </row>
    <row r="122" spans="1:29" ht="15" hidden="1" x14ac:dyDescent="0.2">
      <c r="A122">
        <v>32771620</v>
      </c>
      <c r="B122">
        <v>121</v>
      </c>
      <c r="C122" s="26" t="s">
        <v>1351</v>
      </c>
      <c r="D122" t="s">
        <v>1620</v>
      </c>
      <c r="E122">
        <v>3013679845</v>
      </c>
      <c r="F122" t="s">
        <v>1621</v>
      </c>
      <c r="G122" s="20" t="s">
        <v>1354</v>
      </c>
      <c r="H122" t="s">
        <v>1355</v>
      </c>
      <c r="I122" s="20" t="s">
        <v>1363</v>
      </c>
      <c r="J122" s="20" t="s">
        <v>71</v>
      </c>
      <c r="K122" s="20" t="s">
        <v>71</v>
      </c>
      <c r="L122" s="20" t="s">
        <v>71</v>
      </c>
      <c r="M122" s="20" t="s">
        <v>71</v>
      </c>
      <c r="N122" s="20" t="s">
        <v>71</v>
      </c>
      <c r="O122" s="20" t="s">
        <v>71</v>
      </c>
      <c r="P122" s="20" t="s">
        <v>71</v>
      </c>
      <c r="Q122" s="20" t="s">
        <v>71</v>
      </c>
      <c r="R122" s="20" t="s">
        <v>71</v>
      </c>
      <c r="S122" s="20" t="s">
        <v>71</v>
      </c>
      <c r="T122" s="20" t="s">
        <v>71</v>
      </c>
      <c r="U122" s="20" t="s">
        <v>71</v>
      </c>
      <c r="V122" s="20" t="s">
        <v>71</v>
      </c>
      <c r="W122" s="20" t="s">
        <v>71</v>
      </c>
      <c r="X122" s="20" t="s">
        <v>71</v>
      </c>
      <c r="Y122" s="20" t="s">
        <v>71</v>
      </c>
      <c r="Z122" s="20" t="s">
        <v>71</v>
      </c>
      <c r="AA122" s="27" t="s">
        <v>1367</v>
      </c>
      <c r="AB122" s="24" t="s">
        <v>1622</v>
      </c>
      <c r="AC122" s="25" t="s">
        <v>1367</v>
      </c>
    </row>
    <row r="123" spans="1:29" ht="15" hidden="1" x14ac:dyDescent="0.2">
      <c r="A123">
        <v>22733884</v>
      </c>
      <c r="B123">
        <v>122</v>
      </c>
      <c r="C123" s="26" t="s">
        <v>1351</v>
      </c>
      <c r="D123" t="s">
        <v>1623</v>
      </c>
      <c r="E123">
        <v>3008766117</v>
      </c>
      <c r="F123" t="s">
        <v>1624</v>
      </c>
      <c r="G123" s="20" t="s">
        <v>1354</v>
      </c>
      <c r="H123" t="s">
        <v>1355</v>
      </c>
      <c r="I123" s="20" t="s">
        <v>1356</v>
      </c>
      <c r="J123" s="20" t="s">
        <v>71</v>
      </c>
      <c r="K123" s="20" t="s">
        <v>71</v>
      </c>
      <c r="L123" s="20" t="s">
        <v>72</v>
      </c>
      <c r="M123" s="20" t="s">
        <v>71</v>
      </c>
      <c r="N123" s="20" t="s">
        <v>71</v>
      </c>
      <c r="O123" s="20" t="s">
        <v>71</v>
      </c>
      <c r="P123" s="20" t="s">
        <v>71</v>
      </c>
      <c r="Q123" s="20" t="s">
        <v>72</v>
      </c>
      <c r="R123" s="20" t="s">
        <v>71</v>
      </c>
      <c r="S123" s="20" t="s">
        <v>71</v>
      </c>
      <c r="T123" s="20" t="s">
        <v>71</v>
      </c>
      <c r="U123" s="20" t="s">
        <v>71</v>
      </c>
      <c r="V123" s="20" t="s">
        <v>71</v>
      </c>
      <c r="W123" s="20" t="s">
        <v>71</v>
      </c>
      <c r="X123" s="20" t="s">
        <v>71</v>
      </c>
      <c r="Y123" s="20" t="s">
        <v>71</v>
      </c>
      <c r="Z123" s="20" t="s">
        <v>76</v>
      </c>
      <c r="AA123" s="23" t="s">
        <v>80</v>
      </c>
      <c r="AB123" s="24" t="s">
        <v>1625</v>
      </c>
      <c r="AC123" s="25">
        <v>3</v>
      </c>
    </row>
    <row r="124" spans="1:29" ht="15" hidden="1" x14ac:dyDescent="0.2">
      <c r="A124">
        <v>12621053</v>
      </c>
      <c r="B124">
        <v>123</v>
      </c>
      <c r="C124" s="26" t="s">
        <v>1351</v>
      </c>
      <c r="D124" t="s">
        <v>1626</v>
      </c>
      <c r="E124">
        <v>3001736487</v>
      </c>
      <c r="F124" t="s">
        <v>1627</v>
      </c>
      <c r="G124" s="20" t="s">
        <v>1354</v>
      </c>
      <c r="H124" t="s">
        <v>1355</v>
      </c>
      <c r="I124" s="20" t="s">
        <v>1363</v>
      </c>
      <c r="J124" s="20" t="s">
        <v>71</v>
      </c>
      <c r="K124" s="20" t="s">
        <v>71</v>
      </c>
      <c r="L124" s="20" t="s">
        <v>72</v>
      </c>
      <c r="M124" s="20" t="s">
        <v>71</v>
      </c>
      <c r="N124" s="20" t="s">
        <v>72</v>
      </c>
      <c r="O124" s="20" t="s">
        <v>72</v>
      </c>
      <c r="P124" s="20" t="s">
        <v>72</v>
      </c>
      <c r="Q124" s="20" t="s">
        <v>72</v>
      </c>
      <c r="R124" s="20" t="s">
        <v>72</v>
      </c>
      <c r="S124" s="20" t="s">
        <v>72</v>
      </c>
      <c r="T124" s="20" t="s">
        <v>72</v>
      </c>
      <c r="U124" s="20" t="s">
        <v>72</v>
      </c>
      <c r="V124" s="20" t="s">
        <v>72</v>
      </c>
      <c r="W124" s="20" t="s">
        <v>72</v>
      </c>
      <c r="X124" s="20" t="s">
        <v>71</v>
      </c>
      <c r="Y124" s="20" t="s">
        <v>72</v>
      </c>
      <c r="Z124" s="20" t="s">
        <v>71</v>
      </c>
      <c r="AA124" s="23" t="s">
        <v>80</v>
      </c>
      <c r="AB124" s="24" t="s">
        <v>1628</v>
      </c>
      <c r="AC124" s="25">
        <v>2</v>
      </c>
    </row>
    <row r="125" spans="1:29" ht="15" hidden="1" x14ac:dyDescent="0.2">
      <c r="A125">
        <v>32619848</v>
      </c>
      <c r="B125">
        <v>124</v>
      </c>
      <c r="C125" s="26" t="s">
        <v>1351</v>
      </c>
      <c r="D125" t="s">
        <v>1629</v>
      </c>
      <c r="E125">
        <v>3018028327</v>
      </c>
      <c r="F125" t="s">
        <v>1630</v>
      </c>
      <c r="G125" s="20" t="s">
        <v>1354</v>
      </c>
      <c r="H125" t="s">
        <v>1355</v>
      </c>
      <c r="I125" s="20" t="s">
        <v>1356</v>
      </c>
      <c r="J125" s="20" t="s">
        <v>71</v>
      </c>
      <c r="K125" s="20" t="s">
        <v>71</v>
      </c>
      <c r="L125" s="20" t="s">
        <v>72</v>
      </c>
      <c r="M125" s="20" t="s">
        <v>71</v>
      </c>
      <c r="N125" s="20" t="s">
        <v>72</v>
      </c>
      <c r="O125" s="20" t="s">
        <v>72</v>
      </c>
      <c r="P125" s="20" t="s">
        <v>72</v>
      </c>
      <c r="Q125" s="20" t="s">
        <v>72</v>
      </c>
      <c r="R125" s="20" t="s">
        <v>72</v>
      </c>
      <c r="S125" s="20" t="s">
        <v>72</v>
      </c>
      <c r="T125" s="20" t="s">
        <v>72</v>
      </c>
      <c r="U125" s="20" t="s">
        <v>72</v>
      </c>
      <c r="V125" s="20" t="s">
        <v>72</v>
      </c>
      <c r="W125" s="20" t="s">
        <v>72</v>
      </c>
      <c r="X125" s="20" t="s">
        <v>71</v>
      </c>
      <c r="Y125" s="20" t="s">
        <v>72</v>
      </c>
      <c r="Z125" s="20" t="s">
        <v>71</v>
      </c>
      <c r="AA125" s="23" t="s">
        <v>80</v>
      </c>
      <c r="AC125" s="25">
        <v>2</v>
      </c>
    </row>
    <row r="126" spans="1:29" ht="15" hidden="1" x14ac:dyDescent="0.2">
      <c r="A126">
        <v>44150186</v>
      </c>
      <c r="B126">
        <v>125</v>
      </c>
      <c r="C126" s="26" t="s">
        <v>1351</v>
      </c>
      <c r="D126" t="s">
        <v>1631</v>
      </c>
      <c r="E126">
        <v>3044586035</v>
      </c>
      <c r="F126" t="s">
        <v>1632</v>
      </c>
      <c r="G126" s="20" t="s">
        <v>1354</v>
      </c>
      <c r="H126" t="s">
        <v>1355</v>
      </c>
      <c r="I126" s="20" t="s">
        <v>1363</v>
      </c>
      <c r="J126" s="20" t="s">
        <v>72</v>
      </c>
      <c r="K126" s="20" t="s">
        <v>72</v>
      </c>
      <c r="U126" s="20" t="s">
        <v>72</v>
      </c>
      <c r="V126" s="20" t="s">
        <v>72</v>
      </c>
      <c r="W126" s="20" t="s">
        <v>72</v>
      </c>
      <c r="X126" s="20" t="s">
        <v>72</v>
      </c>
      <c r="Y126" s="20" t="s">
        <v>72</v>
      </c>
      <c r="Z126" s="20" t="s">
        <v>72</v>
      </c>
      <c r="AA126" s="23" t="s">
        <v>77</v>
      </c>
      <c r="AB126" s="24" t="s">
        <v>1633</v>
      </c>
      <c r="AC126" s="25">
        <v>1</v>
      </c>
    </row>
    <row r="127" spans="1:29" ht="15" hidden="1" x14ac:dyDescent="0.2">
      <c r="A127">
        <v>1143122394</v>
      </c>
      <c r="B127">
        <v>126</v>
      </c>
      <c r="C127" s="26" t="s">
        <v>1351</v>
      </c>
      <c r="D127" t="s">
        <v>1634</v>
      </c>
      <c r="E127">
        <v>3012536463</v>
      </c>
      <c r="F127" t="s">
        <v>1635</v>
      </c>
      <c r="G127" s="20" t="s">
        <v>1354</v>
      </c>
      <c r="H127" t="s">
        <v>1355</v>
      </c>
      <c r="I127" s="20" t="s">
        <v>1356</v>
      </c>
      <c r="J127" s="20" t="s">
        <v>71</v>
      </c>
      <c r="K127" s="20" t="s">
        <v>71</v>
      </c>
      <c r="L127" s="20" t="s">
        <v>72</v>
      </c>
      <c r="M127" s="20" t="s">
        <v>71</v>
      </c>
      <c r="N127" s="20" t="s">
        <v>72</v>
      </c>
      <c r="O127" s="20" t="s">
        <v>72</v>
      </c>
      <c r="P127" s="20" t="s">
        <v>72</v>
      </c>
      <c r="Q127" s="20" t="s">
        <v>72</v>
      </c>
      <c r="R127" s="20" t="s">
        <v>72</v>
      </c>
      <c r="S127" s="20" t="s">
        <v>72</v>
      </c>
      <c r="T127" s="20" t="s">
        <v>72</v>
      </c>
      <c r="U127" s="20" t="s">
        <v>71</v>
      </c>
      <c r="V127" s="20" t="s">
        <v>71</v>
      </c>
      <c r="W127" s="20" t="s">
        <v>71</v>
      </c>
      <c r="X127" s="20" t="s">
        <v>71</v>
      </c>
      <c r="Y127" s="20" t="s">
        <v>71</v>
      </c>
      <c r="Z127" s="20" t="s">
        <v>71</v>
      </c>
      <c r="AA127" s="23" t="s">
        <v>256</v>
      </c>
      <c r="AC127" s="25">
        <v>2</v>
      </c>
    </row>
    <row r="128" spans="1:29" ht="15" hidden="1" customHeight="1" x14ac:dyDescent="0.2">
      <c r="A128">
        <v>1002163129</v>
      </c>
      <c r="B128">
        <v>127</v>
      </c>
      <c r="C128" s="26" t="s">
        <v>1351</v>
      </c>
      <c r="D128" t="s">
        <v>1636</v>
      </c>
      <c r="E128">
        <v>3148663024</v>
      </c>
      <c r="F128" t="s">
        <v>1637</v>
      </c>
      <c r="G128" s="20" t="s">
        <v>1354</v>
      </c>
      <c r="H128" t="s">
        <v>1355</v>
      </c>
      <c r="I128" s="20" t="s">
        <v>1363</v>
      </c>
      <c r="J128" s="20" t="s">
        <v>72</v>
      </c>
      <c r="K128" s="20" t="s">
        <v>72</v>
      </c>
      <c r="L128" s="20" t="s">
        <v>72</v>
      </c>
      <c r="M128" s="20" t="s">
        <v>71</v>
      </c>
      <c r="N128" s="20" t="s">
        <v>72</v>
      </c>
      <c r="O128" s="20" t="s">
        <v>72</v>
      </c>
      <c r="P128" s="20" t="s">
        <v>72</v>
      </c>
      <c r="Q128" s="20" t="s">
        <v>72</v>
      </c>
      <c r="R128" s="20" t="s">
        <v>72</v>
      </c>
      <c r="S128" s="20" t="s">
        <v>72</v>
      </c>
      <c r="T128" s="20" t="s">
        <v>72</v>
      </c>
      <c r="U128" s="20" t="s">
        <v>72</v>
      </c>
      <c r="V128" s="20" t="s">
        <v>72</v>
      </c>
      <c r="W128" s="20" t="s">
        <v>72</v>
      </c>
      <c r="X128" s="20" t="s">
        <v>72</v>
      </c>
      <c r="Y128" s="20" t="s">
        <v>72</v>
      </c>
      <c r="Z128" s="20" t="s">
        <v>72</v>
      </c>
      <c r="AA128" s="23" t="s">
        <v>91</v>
      </c>
      <c r="AB128" s="24" t="s">
        <v>1638</v>
      </c>
      <c r="AC128" s="25">
        <v>1</v>
      </c>
    </row>
    <row r="129" spans="1:29" ht="15" hidden="1" customHeight="1" x14ac:dyDescent="0.2">
      <c r="A129">
        <v>8722562</v>
      </c>
      <c r="B129">
        <v>128</v>
      </c>
      <c r="C129" s="26" t="s">
        <v>1351</v>
      </c>
      <c r="D129" t="s">
        <v>1639</v>
      </c>
      <c r="E129">
        <v>3001918396</v>
      </c>
      <c r="F129" t="s">
        <v>1640</v>
      </c>
      <c r="G129" s="20" t="s">
        <v>1354</v>
      </c>
      <c r="H129" t="s">
        <v>1355</v>
      </c>
      <c r="I129" s="20" t="s">
        <v>1363</v>
      </c>
      <c r="J129" s="20" t="s">
        <v>76</v>
      </c>
      <c r="K129" s="20" t="s">
        <v>76</v>
      </c>
      <c r="L129" s="20" t="s">
        <v>72</v>
      </c>
      <c r="M129" s="20" t="s">
        <v>71</v>
      </c>
      <c r="N129" s="20" t="s">
        <v>72</v>
      </c>
      <c r="O129" s="20" t="s">
        <v>72</v>
      </c>
      <c r="P129" s="20" t="s">
        <v>72</v>
      </c>
      <c r="Q129" s="20" t="s">
        <v>72</v>
      </c>
      <c r="R129" s="20" t="s">
        <v>72</v>
      </c>
      <c r="S129" s="20" t="s">
        <v>72</v>
      </c>
      <c r="T129" s="20" t="s">
        <v>72</v>
      </c>
      <c r="AA129" s="23" t="s">
        <v>73</v>
      </c>
      <c r="AB129" s="24" t="s">
        <v>1641</v>
      </c>
      <c r="AC129" s="25">
        <v>2</v>
      </c>
    </row>
    <row r="130" spans="1:29" ht="15" hidden="1" customHeight="1" x14ac:dyDescent="0.2">
      <c r="A130">
        <v>32843461</v>
      </c>
      <c r="B130">
        <v>129</v>
      </c>
      <c r="C130" s="26" t="s">
        <v>1351</v>
      </c>
      <c r="D130" t="s">
        <v>1642</v>
      </c>
      <c r="E130">
        <v>3001262650</v>
      </c>
      <c r="F130" t="s">
        <v>1643</v>
      </c>
      <c r="G130" s="20" t="s">
        <v>1354</v>
      </c>
      <c r="H130" t="s">
        <v>1355</v>
      </c>
      <c r="I130" s="20" t="s">
        <v>1363</v>
      </c>
      <c r="J130" s="20" t="s">
        <v>71</v>
      </c>
      <c r="K130" s="20" t="s">
        <v>71</v>
      </c>
      <c r="L130" s="20" t="s">
        <v>72</v>
      </c>
      <c r="M130" s="20" t="s">
        <v>71</v>
      </c>
      <c r="N130" s="20" t="s">
        <v>72</v>
      </c>
      <c r="O130" s="20" t="s">
        <v>72</v>
      </c>
      <c r="P130" s="20" t="s">
        <v>72</v>
      </c>
      <c r="Q130" s="20" t="s">
        <v>72</v>
      </c>
      <c r="R130" s="20" t="s">
        <v>72</v>
      </c>
      <c r="S130" s="20" t="s">
        <v>72</v>
      </c>
      <c r="T130" s="20" t="s">
        <v>72</v>
      </c>
      <c r="U130" s="20" t="s">
        <v>71</v>
      </c>
      <c r="V130" s="20" t="s">
        <v>72</v>
      </c>
      <c r="W130" s="20" t="s">
        <v>72</v>
      </c>
      <c r="X130" s="20" t="s">
        <v>71</v>
      </c>
      <c r="Y130" s="20" t="s">
        <v>72</v>
      </c>
      <c r="Z130" s="20" t="s">
        <v>76</v>
      </c>
      <c r="AA130" s="23" t="s">
        <v>80</v>
      </c>
      <c r="AB130" s="24" t="s">
        <v>1644</v>
      </c>
      <c r="AC130" s="25">
        <v>2</v>
      </c>
    </row>
    <row r="131" spans="1:29" ht="15" hidden="1" customHeight="1" x14ac:dyDescent="0.2">
      <c r="A131">
        <v>7420358</v>
      </c>
      <c r="B131">
        <v>130</v>
      </c>
      <c r="C131" s="26" t="s">
        <v>1351</v>
      </c>
      <c r="D131" t="s">
        <v>1645</v>
      </c>
      <c r="E131">
        <v>3001920330</v>
      </c>
      <c r="F131" t="s">
        <v>1646</v>
      </c>
      <c r="G131" s="20" t="s">
        <v>1354</v>
      </c>
      <c r="H131" t="s">
        <v>1355</v>
      </c>
      <c r="I131" s="20" t="s">
        <v>1356</v>
      </c>
      <c r="J131" s="20" t="s">
        <v>72</v>
      </c>
      <c r="K131" s="20" t="s">
        <v>72</v>
      </c>
      <c r="L131" s="20" t="s">
        <v>72</v>
      </c>
      <c r="M131" s="20" t="s">
        <v>71</v>
      </c>
      <c r="N131" s="20" t="s">
        <v>72</v>
      </c>
      <c r="O131" s="20" t="s">
        <v>72</v>
      </c>
      <c r="P131" s="20" t="s">
        <v>72</v>
      </c>
      <c r="Q131" s="20" t="s">
        <v>72</v>
      </c>
      <c r="R131" s="20" t="s">
        <v>72</v>
      </c>
      <c r="S131" s="20" t="s">
        <v>72</v>
      </c>
      <c r="T131" s="20" t="s">
        <v>72</v>
      </c>
      <c r="U131" s="20" t="s">
        <v>72</v>
      </c>
      <c r="V131" s="20" t="s">
        <v>72</v>
      </c>
      <c r="W131" s="20" t="s">
        <v>72</v>
      </c>
      <c r="X131" s="20" t="s">
        <v>72</v>
      </c>
      <c r="Y131" s="20" t="s">
        <v>72</v>
      </c>
      <c r="Z131" s="20" t="s">
        <v>72</v>
      </c>
      <c r="AA131" s="23" t="s">
        <v>91</v>
      </c>
      <c r="AB131" s="24" t="s">
        <v>1647</v>
      </c>
      <c r="AC131" s="25">
        <v>1</v>
      </c>
    </row>
    <row r="132" spans="1:29" ht="15" hidden="1" x14ac:dyDescent="0.2">
      <c r="A132">
        <v>33107491</v>
      </c>
      <c r="B132">
        <v>131</v>
      </c>
      <c r="C132" s="26" t="s">
        <v>1351</v>
      </c>
      <c r="D132" t="s">
        <v>1648</v>
      </c>
      <c r="E132">
        <v>3015318804</v>
      </c>
      <c r="F132" t="s">
        <v>1649</v>
      </c>
      <c r="G132" s="20" t="s">
        <v>1354</v>
      </c>
      <c r="H132" t="s">
        <v>1355</v>
      </c>
      <c r="I132" s="20" t="s">
        <v>1363</v>
      </c>
      <c r="J132" s="20" t="s">
        <v>76</v>
      </c>
      <c r="K132" s="20" t="s">
        <v>76</v>
      </c>
      <c r="L132" s="20" t="s">
        <v>72</v>
      </c>
      <c r="M132" s="20" t="s">
        <v>71</v>
      </c>
      <c r="N132" s="20" t="s">
        <v>72</v>
      </c>
      <c r="O132" s="20" t="s">
        <v>72</v>
      </c>
      <c r="P132" s="20" t="s">
        <v>72</v>
      </c>
      <c r="Q132" s="20" t="s">
        <v>72</v>
      </c>
      <c r="R132" s="20" t="s">
        <v>72</v>
      </c>
      <c r="S132" s="20" t="s">
        <v>72</v>
      </c>
      <c r="T132" s="20" t="s">
        <v>72</v>
      </c>
      <c r="U132" s="20" t="s">
        <v>72</v>
      </c>
      <c r="V132" s="20" t="s">
        <v>72</v>
      </c>
      <c r="W132" s="20" t="s">
        <v>72</v>
      </c>
      <c r="X132" s="20" t="s">
        <v>72</v>
      </c>
      <c r="Y132" s="20" t="s">
        <v>72</v>
      </c>
      <c r="Z132" s="20" t="s">
        <v>72</v>
      </c>
      <c r="AA132" s="23" t="s">
        <v>91</v>
      </c>
      <c r="AB132" s="24" t="s">
        <v>1650</v>
      </c>
      <c r="AC132" s="25">
        <v>1</v>
      </c>
    </row>
    <row r="133" spans="1:29" ht="15" hidden="1" x14ac:dyDescent="0.2">
      <c r="A133">
        <v>32754634</v>
      </c>
      <c r="B133">
        <v>132</v>
      </c>
      <c r="C133" s="26" t="s">
        <v>1351</v>
      </c>
      <c r="D133" t="s">
        <v>1651</v>
      </c>
      <c r="E133">
        <v>3001137693</v>
      </c>
      <c r="F133" t="s">
        <v>1652</v>
      </c>
      <c r="G133" s="20" t="s">
        <v>1354</v>
      </c>
      <c r="H133" t="s">
        <v>1355</v>
      </c>
      <c r="I133" s="20" t="s">
        <v>1363</v>
      </c>
      <c r="J133" s="20" t="s">
        <v>71</v>
      </c>
      <c r="K133" s="20" t="s">
        <v>71</v>
      </c>
      <c r="L133" s="20" t="s">
        <v>71</v>
      </c>
      <c r="M133" s="20" t="s">
        <v>71</v>
      </c>
      <c r="N133" s="20" t="s">
        <v>71</v>
      </c>
      <c r="O133" s="20" t="s">
        <v>71</v>
      </c>
      <c r="P133" s="20" t="s">
        <v>71</v>
      </c>
      <c r="Q133" s="20" t="s">
        <v>71</v>
      </c>
      <c r="R133" s="20" t="s">
        <v>71</v>
      </c>
      <c r="S133" s="20" t="s">
        <v>71</v>
      </c>
      <c r="T133" s="20" t="s">
        <v>71</v>
      </c>
      <c r="U133" s="20" t="s">
        <v>76</v>
      </c>
      <c r="V133" s="20" t="s">
        <v>76</v>
      </c>
      <c r="W133" s="20" t="s">
        <v>76</v>
      </c>
      <c r="X133" s="20" t="s">
        <v>71</v>
      </c>
      <c r="Y133" s="20" t="s">
        <v>76</v>
      </c>
      <c r="Z133" s="20" t="s">
        <v>76</v>
      </c>
      <c r="AA133" s="23" t="s">
        <v>179</v>
      </c>
      <c r="AB133" s="32" t="s">
        <v>1653</v>
      </c>
      <c r="AC133" s="25">
        <v>3</v>
      </c>
    </row>
    <row r="134" spans="1:29" ht="15" hidden="1" x14ac:dyDescent="0.2">
      <c r="A134">
        <v>72234487</v>
      </c>
      <c r="B134">
        <v>133</v>
      </c>
      <c r="C134" s="26" t="s">
        <v>1351</v>
      </c>
      <c r="D134" t="s">
        <v>1654</v>
      </c>
      <c r="E134">
        <v>3122450238</v>
      </c>
      <c r="F134" t="s">
        <v>1655</v>
      </c>
      <c r="G134" s="20" t="s">
        <v>1354</v>
      </c>
      <c r="H134" t="s">
        <v>1355</v>
      </c>
      <c r="I134" s="20" t="s">
        <v>1356</v>
      </c>
      <c r="J134" s="20" t="s">
        <v>71</v>
      </c>
      <c r="K134" s="20" t="s">
        <v>71</v>
      </c>
      <c r="L134" s="20" t="s">
        <v>71</v>
      </c>
      <c r="M134" s="20" t="s">
        <v>71</v>
      </c>
      <c r="N134" s="20" t="s">
        <v>71</v>
      </c>
      <c r="O134" s="20" t="s">
        <v>71</v>
      </c>
      <c r="P134" s="20" t="s">
        <v>71</v>
      </c>
      <c r="Q134" s="20" t="s">
        <v>71</v>
      </c>
      <c r="R134" s="20" t="s">
        <v>71</v>
      </c>
      <c r="S134" s="20" t="s">
        <v>71</v>
      </c>
      <c r="T134" s="20" t="s">
        <v>71</v>
      </c>
      <c r="U134" s="20" t="s">
        <v>71</v>
      </c>
      <c r="V134" s="20" t="s">
        <v>71</v>
      </c>
      <c r="W134" s="20" t="s">
        <v>71</v>
      </c>
      <c r="X134" s="20" t="s">
        <v>71</v>
      </c>
      <c r="Y134" s="20" t="s">
        <v>71</v>
      </c>
      <c r="Z134" s="20" t="s">
        <v>71</v>
      </c>
      <c r="AA134" s="27" t="s">
        <v>1367</v>
      </c>
      <c r="AB134" s="24" t="s">
        <v>1656</v>
      </c>
      <c r="AC134" s="25" t="s">
        <v>1367</v>
      </c>
    </row>
    <row r="135" spans="1:29" ht="15" hidden="1" x14ac:dyDescent="0.2">
      <c r="A135">
        <v>1051360142</v>
      </c>
      <c r="B135">
        <v>134</v>
      </c>
      <c r="C135" s="26" t="s">
        <v>1351</v>
      </c>
      <c r="D135" t="s">
        <v>1657</v>
      </c>
      <c r="E135">
        <v>3206940144</v>
      </c>
      <c r="F135" t="s">
        <v>1658</v>
      </c>
      <c r="G135" s="20" t="s">
        <v>1354</v>
      </c>
      <c r="H135" t="s">
        <v>1355</v>
      </c>
      <c r="I135" s="20" t="s">
        <v>1363</v>
      </c>
      <c r="J135" s="20" t="s">
        <v>76</v>
      </c>
      <c r="K135" s="20" t="s">
        <v>76</v>
      </c>
      <c r="L135" s="20" t="s">
        <v>72</v>
      </c>
      <c r="M135" s="20" t="s">
        <v>71</v>
      </c>
      <c r="N135" s="20" t="s">
        <v>76</v>
      </c>
      <c r="O135" s="20" t="s">
        <v>72</v>
      </c>
      <c r="P135" s="20" t="s">
        <v>72</v>
      </c>
      <c r="Q135" s="20" t="s">
        <v>72</v>
      </c>
      <c r="R135" s="20" t="s">
        <v>72</v>
      </c>
      <c r="S135" s="20" t="s">
        <v>72</v>
      </c>
      <c r="T135" s="20" t="s">
        <v>72</v>
      </c>
      <c r="U135" s="20" t="s">
        <v>71</v>
      </c>
      <c r="V135" s="20" t="s">
        <v>71</v>
      </c>
      <c r="W135" s="20" t="s">
        <v>71</v>
      </c>
      <c r="X135" s="20" t="s">
        <v>71</v>
      </c>
      <c r="Y135" s="20" t="s">
        <v>71</v>
      </c>
      <c r="Z135" s="20" t="s">
        <v>76</v>
      </c>
      <c r="AA135" s="23" t="s">
        <v>77</v>
      </c>
      <c r="AB135" s="32" t="s">
        <v>1659</v>
      </c>
      <c r="AC135" s="25">
        <v>2</v>
      </c>
    </row>
    <row r="136" spans="1:29" ht="15" hidden="1" x14ac:dyDescent="0.2">
      <c r="A136">
        <v>8775124</v>
      </c>
      <c r="B136">
        <v>135</v>
      </c>
      <c r="C136" s="26" t="s">
        <v>1351</v>
      </c>
      <c r="D136" t="s">
        <v>1660</v>
      </c>
      <c r="E136">
        <v>3108998110</v>
      </c>
      <c r="F136" t="s">
        <v>1661</v>
      </c>
      <c r="G136" s="20" t="s">
        <v>1354</v>
      </c>
      <c r="H136" t="s">
        <v>1355</v>
      </c>
      <c r="I136" s="20" t="s">
        <v>1363</v>
      </c>
      <c r="J136" s="20" t="s">
        <v>76</v>
      </c>
      <c r="K136" s="20" t="s">
        <v>76</v>
      </c>
      <c r="L136" s="20" t="s">
        <v>71</v>
      </c>
      <c r="M136" s="20" t="s">
        <v>71</v>
      </c>
      <c r="N136" s="20" t="s">
        <v>76</v>
      </c>
      <c r="O136" s="20" t="s">
        <v>72</v>
      </c>
      <c r="P136" s="20" t="s">
        <v>72</v>
      </c>
      <c r="Q136" s="20" t="s">
        <v>71</v>
      </c>
      <c r="R136" s="20" t="s">
        <v>72</v>
      </c>
      <c r="S136" s="20" t="s">
        <v>72</v>
      </c>
      <c r="T136" s="20" t="s">
        <v>72</v>
      </c>
      <c r="U136" s="20" t="s">
        <v>76</v>
      </c>
      <c r="V136" s="20" t="s">
        <v>76</v>
      </c>
      <c r="W136" s="20" t="s">
        <v>72</v>
      </c>
      <c r="X136" s="20" t="s">
        <v>71</v>
      </c>
      <c r="Y136" s="20" t="s">
        <v>72</v>
      </c>
      <c r="Z136" s="20" t="s">
        <v>76</v>
      </c>
      <c r="AA136" s="23" t="s">
        <v>77</v>
      </c>
      <c r="AB136" s="24" t="s">
        <v>1662</v>
      </c>
      <c r="AC136" s="25">
        <v>2</v>
      </c>
    </row>
    <row r="137" spans="1:29" ht="15" hidden="1" x14ac:dyDescent="0.2">
      <c r="A137">
        <v>8686397</v>
      </c>
      <c r="B137">
        <v>136</v>
      </c>
      <c r="C137" s="26" t="s">
        <v>1351</v>
      </c>
      <c r="D137" t="s">
        <v>1663</v>
      </c>
      <c r="E137">
        <v>3017187176</v>
      </c>
      <c r="F137" t="s">
        <v>1664</v>
      </c>
      <c r="G137" s="20" t="s">
        <v>1354</v>
      </c>
      <c r="H137" t="s">
        <v>1355</v>
      </c>
      <c r="I137" s="20" t="s">
        <v>1363</v>
      </c>
      <c r="AA137" s="27" t="s">
        <v>1367</v>
      </c>
      <c r="AB137" s="24" t="s">
        <v>1665</v>
      </c>
      <c r="AC137" s="25" t="s">
        <v>1367</v>
      </c>
    </row>
    <row r="138" spans="1:29" ht="15" hidden="1" x14ac:dyDescent="0.2">
      <c r="A138">
        <v>19218873</v>
      </c>
      <c r="B138">
        <v>137</v>
      </c>
      <c r="C138" s="26" t="s">
        <v>1351</v>
      </c>
      <c r="D138" t="s">
        <v>1666</v>
      </c>
      <c r="E138">
        <v>3126615056</v>
      </c>
      <c r="F138" t="s">
        <v>1667</v>
      </c>
      <c r="G138" s="20" t="s">
        <v>1354</v>
      </c>
      <c r="H138" t="s">
        <v>1355</v>
      </c>
      <c r="I138" s="20" t="s">
        <v>1363</v>
      </c>
      <c r="J138" s="20" t="s">
        <v>76</v>
      </c>
      <c r="K138" s="20" t="s">
        <v>76</v>
      </c>
      <c r="L138" s="20" t="s">
        <v>72</v>
      </c>
      <c r="M138" s="20" t="s">
        <v>71</v>
      </c>
      <c r="N138" s="20" t="s">
        <v>72</v>
      </c>
      <c r="O138" s="20" t="s">
        <v>72</v>
      </c>
      <c r="P138" s="20" t="s">
        <v>72</v>
      </c>
      <c r="Q138" s="20" t="s">
        <v>72</v>
      </c>
      <c r="R138" s="20" t="s">
        <v>72</v>
      </c>
      <c r="S138" s="20" t="s">
        <v>72</v>
      </c>
      <c r="T138" s="20" t="s">
        <v>72</v>
      </c>
      <c r="U138" s="20" t="s">
        <v>72</v>
      </c>
      <c r="V138" s="20" t="s">
        <v>72</v>
      </c>
      <c r="W138" s="20" t="s">
        <v>72</v>
      </c>
      <c r="X138" s="20" t="s">
        <v>72</v>
      </c>
      <c r="Y138" s="20" t="s">
        <v>72</v>
      </c>
      <c r="Z138" s="20" t="s">
        <v>72</v>
      </c>
      <c r="AA138" s="23" t="s">
        <v>91</v>
      </c>
      <c r="AB138" s="24" t="s">
        <v>1668</v>
      </c>
      <c r="AC138" s="25">
        <v>1</v>
      </c>
    </row>
    <row r="139" spans="1:29" ht="15" hidden="1" x14ac:dyDescent="0.2">
      <c r="A139">
        <v>32749067</v>
      </c>
      <c r="B139">
        <v>138</v>
      </c>
      <c r="C139" s="26" t="s">
        <v>1351</v>
      </c>
      <c r="D139" t="s">
        <v>1669</v>
      </c>
      <c r="E139">
        <v>3015532397</v>
      </c>
      <c r="F139" t="s">
        <v>1670</v>
      </c>
      <c r="G139" s="20" t="s">
        <v>1354</v>
      </c>
      <c r="H139" t="s">
        <v>1355</v>
      </c>
      <c r="I139" s="20" t="s">
        <v>1356</v>
      </c>
      <c r="J139" s="20" t="s">
        <v>71</v>
      </c>
      <c r="K139" s="20" t="s">
        <v>71</v>
      </c>
      <c r="L139" s="20" t="s">
        <v>76</v>
      </c>
      <c r="M139" s="20" t="s">
        <v>71</v>
      </c>
      <c r="N139" s="20" t="s">
        <v>76</v>
      </c>
      <c r="O139" s="20" t="s">
        <v>71</v>
      </c>
      <c r="P139" s="20" t="s">
        <v>71</v>
      </c>
      <c r="Q139" s="20" t="s">
        <v>76</v>
      </c>
      <c r="R139" s="20" t="s">
        <v>72</v>
      </c>
      <c r="S139" s="20" t="s">
        <v>71</v>
      </c>
      <c r="T139" s="20" t="s">
        <v>72</v>
      </c>
      <c r="U139" s="20" t="s">
        <v>76</v>
      </c>
      <c r="V139" s="20" t="s">
        <v>72</v>
      </c>
      <c r="W139" s="20" t="s">
        <v>76</v>
      </c>
      <c r="X139" s="20" t="s">
        <v>72</v>
      </c>
      <c r="Y139" s="20" t="s">
        <v>76</v>
      </c>
      <c r="Z139" s="20" t="s">
        <v>76</v>
      </c>
      <c r="AA139" s="23" t="s">
        <v>80</v>
      </c>
      <c r="AB139" s="24" t="s">
        <v>1671</v>
      </c>
      <c r="AC139" s="25">
        <v>2</v>
      </c>
    </row>
    <row r="140" spans="1:29" ht="15" hidden="1" x14ac:dyDescent="0.2">
      <c r="A140">
        <v>23142186</v>
      </c>
      <c r="B140">
        <v>139</v>
      </c>
      <c r="C140" s="26" t="s">
        <v>1351</v>
      </c>
      <c r="D140" t="s">
        <v>1417</v>
      </c>
      <c r="E140">
        <v>3011349813</v>
      </c>
      <c r="F140" t="s">
        <v>1672</v>
      </c>
      <c r="G140" s="20" t="s">
        <v>1354</v>
      </c>
      <c r="H140" t="s">
        <v>1355</v>
      </c>
      <c r="I140" s="20" t="s">
        <v>1363</v>
      </c>
      <c r="J140" s="20" t="s">
        <v>71</v>
      </c>
      <c r="K140" s="20" t="s">
        <v>71</v>
      </c>
      <c r="L140" s="20" t="s">
        <v>71</v>
      </c>
      <c r="M140" s="20" t="s">
        <v>71</v>
      </c>
      <c r="N140" s="20" t="s">
        <v>71</v>
      </c>
      <c r="O140" s="20" t="s">
        <v>71</v>
      </c>
      <c r="P140" s="20" t="s">
        <v>71</v>
      </c>
      <c r="Q140" s="20" t="s">
        <v>71</v>
      </c>
      <c r="R140" s="20" t="s">
        <v>71</v>
      </c>
      <c r="S140" s="20" t="s">
        <v>71</v>
      </c>
      <c r="T140" s="20" t="s">
        <v>71</v>
      </c>
      <c r="U140" s="20" t="s">
        <v>76</v>
      </c>
      <c r="V140" s="20" t="s">
        <v>76</v>
      </c>
      <c r="W140" s="20" t="s">
        <v>76</v>
      </c>
      <c r="X140" s="20" t="s">
        <v>71</v>
      </c>
      <c r="Y140" s="20" t="s">
        <v>72</v>
      </c>
      <c r="Z140" s="20" t="s">
        <v>76</v>
      </c>
      <c r="AA140" s="23" t="s">
        <v>179</v>
      </c>
      <c r="AB140" s="24" t="s">
        <v>1673</v>
      </c>
      <c r="AC140" s="25">
        <v>3</v>
      </c>
    </row>
    <row r="141" spans="1:29" ht="15" hidden="1" x14ac:dyDescent="0.2">
      <c r="A141">
        <v>55228378</v>
      </c>
      <c r="B141">
        <v>140</v>
      </c>
      <c r="C141" s="26" t="s">
        <v>1351</v>
      </c>
      <c r="D141" t="s">
        <v>1674</v>
      </c>
      <c r="E141">
        <v>3044116282</v>
      </c>
      <c r="F141" t="s">
        <v>1675</v>
      </c>
      <c r="G141" s="20" t="s">
        <v>1354</v>
      </c>
      <c r="H141" t="s">
        <v>1355</v>
      </c>
      <c r="I141" s="20" t="s">
        <v>1363</v>
      </c>
      <c r="J141" s="20" t="s">
        <v>76</v>
      </c>
      <c r="K141" s="20" t="s">
        <v>76</v>
      </c>
      <c r="L141" s="20" t="s">
        <v>72</v>
      </c>
      <c r="M141" s="20" t="s">
        <v>71</v>
      </c>
      <c r="N141" s="20" t="s">
        <v>72</v>
      </c>
      <c r="O141" s="20" t="s">
        <v>72</v>
      </c>
      <c r="P141" s="20" t="s">
        <v>72</v>
      </c>
      <c r="Q141" s="20" t="s">
        <v>72</v>
      </c>
      <c r="R141" s="20" t="s">
        <v>72</v>
      </c>
      <c r="S141" s="20" t="s">
        <v>72</v>
      </c>
      <c r="T141" s="20" t="s">
        <v>72</v>
      </c>
      <c r="U141" s="20" t="s">
        <v>71</v>
      </c>
      <c r="V141" s="20" t="s">
        <v>71</v>
      </c>
      <c r="W141" s="20" t="s">
        <v>71</v>
      </c>
      <c r="X141" s="20" t="s">
        <v>71</v>
      </c>
      <c r="Y141" s="20" t="s">
        <v>71</v>
      </c>
      <c r="Z141" s="20" t="s">
        <v>71</v>
      </c>
      <c r="AA141" s="23" t="s">
        <v>85</v>
      </c>
      <c r="AC141" s="25">
        <v>2</v>
      </c>
    </row>
    <row r="142" spans="1:29" ht="15" hidden="1" x14ac:dyDescent="0.2">
      <c r="A142">
        <v>32609231</v>
      </c>
      <c r="B142">
        <v>141</v>
      </c>
      <c r="C142" s="26" t="s">
        <v>1351</v>
      </c>
      <c r="D142" t="s">
        <v>1676</v>
      </c>
      <c r="E142">
        <v>3013449969</v>
      </c>
      <c r="F142" t="s">
        <v>1677</v>
      </c>
      <c r="G142" s="20" t="s">
        <v>1354</v>
      </c>
      <c r="H142" t="s">
        <v>1355</v>
      </c>
      <c r="I142" s="20" t="s">
        <v>1356</v>
      </c>
      <c r="J142" s="20" t="s">
        <v>71</v>
      </c>
      <c r="K142" s="20" t="s">
        <v>71</v>
      </c>
      <c r="L142" s="20" t="s">
        <v>71</v>
      </c>
      <c r="M142" s="20" t="s">
        <v>71</v>
      </c>
      <c r="N142" s="20" t="s">
        <v>71</v>
      </c>
      <c r="O142" s="20" t="s">
        <v>71</v>
      </c>
      <c r="P142" s="20" t="s">
        <v>71</v>
      </c>
      <c r="Q142" s="20" t="s">
        <v>71</v>
      </c>
      <c r="R142" s="20" t="s">
        <v>71</v>
      </c>
      <c r="S142" s="20" t="s">
        <v>71</v>
      </c>
      <c r="T142" s="20" t="s">
        <v>71</v>
      </c>
      <c r="U142" s="20" t="s">
        <v>71</v>
      </c>
      <c r="V142" s="20" t="s">
        <v>71</v>
      </c>
      <c r="W142" s="20" t="s">
        <v>71</v>
      </c>
      <c r="X142" s="20" t="s">
        <v>71</v>
      </c>
      <c r="Y142" s="20" t="s">
        <v>71</v>
      </c>
      <c r="Z142" s="20" t="s">
        <v>71</v>
      </c>
      <c r="AA142" s="27" t="s">
        <v>1367</v>
      </c>
      <c r="AB142" s="24" t="s">
        <v>1570</v>
      </c>
      <c r="AC142" s="25" t="s">
        <v>1367</v>
      </c>
    </row>
    <row r="143" spans="1:29" ht="15" hidden="1" x14ac:dyDescent="0.2">
      <c r="A143">
        <v>1063282279</v>
      </c>
      <c r="B143">
        <v>142</v>
      </c>
      <c r="C143" s="26" t="s">
        <v>1351</v>
      </c>
      <c r="D143" t="s">
        <v>1678</v>
      </c>
      <c r="E143">
        <v>3146373906</v>
      </c>
      <c r="F143" t="s">
        <v>1679</v>
      </c>
      <c r="G143" s="20" t="s">
        <v>1354</v>
      </c>
      <c r="H143" t="s">
        <v>1355</v>
      </c>
      <c r="I143" s="20" t="s">
        <v>1363</v>
      </c>
      <c r="J143" s="20" t="s">
        <v>71</v>
      </c>
      <c r="K143" s="20" t="s">
        <v>71</v>
      </c>
      <c r="L143" s="20" t="s">
        <v>71</v>
      </c>
      <c r="M143" s="20" t="s">
        <v>71</v>
      </c>
      <c r="N143" s="20" t="s">
        <v>71</v>
      </c>
      <c r="O143" s="20" t="s">
        <v>71</v>
      </c>
      <c r="P143" s="20" t="s">
        <v>76</v>
      </c>
      <c r="Q143" s="20" t="s">
        <v>71</v>
      </c>
      <c r="R143" s="20" t="s">
        <v>76</v>
      </c>
      <c r="S143" s="20" t="s">
        <v>71</v>
      </c>
      <c r="T143" s="20" t="s">
        <v>72</v>
      </c>
      <c r="U143" s="20" t="s">
        <v>71</v>
      </c>
      <c r="V143" s="20" t="s">
        <v>71</v>
      </c>
      <c r="W143" s="20" t="s">
        <v>71</v>
      </c>
      <c r="X143" s="20" t="s">
        <v>71</v>
      </c>
      <c r="Y143" s="20" t="s">
        <v>71</v>
      </c>
      <c r="Z143" s="20" t="s">
        <v>71</v>
      </c>
      <c r="AA143" s="23" t="s">
        <v>256</v>
      </c>
      <c r="AB143" s="24" t="s">
        <v>1680</v>
      </c>
      <c r="AC143" s="25">
        <v>3</v>
      </c>
    </row>
    <row r="144" spans="1:29" ht="15" hidden="1" x14ac:dyDescent="0.2">
      <c r="A144">
        <v>8688105</v>
      </c>
      <c r="B144">
        <v>143</v>
      </c>
      <c r="C144" s="26" t="s">
        <v>1351</v>
      </c>
      <c r="D144" t="s">
        <v>1681</v>
      </c>
      <c r="E144">
        <v>3114082996</v>
      </c>
      <c r="F144" t="s">
        <v>1682</v>
      </c>
      <c r="G144" s="20" t="s">
        <v>1354</v>
      </c>
      <c r="H144" t="s">
        <v>1355</v>
      </c>
      <c r="I144" s="20" t="s">
        <v>1356</v>
      </c>
      <c r="J144" s="20" t="s">
        <v>76</v>
      </c>
      <c r="K144" s="20" t="s">
        <v>76</v>
      </c>
      <c r="L144" s="20" t="s">
        <v>76</v>
      </c>
      <c r="M144" s="20" t="s">
        <v>71</v>
      </c>
      <c r="N144" s="20" t="s">
        <v>72</v>
      </c>
      <c r="O144" s="20" t="s">
        <v>72</v>
      </c>
      <c r="P144" s="20" t="s">
        <v>72</v>
      </c>
      <c r="Q144" s="20" t="s">
        <v>72</v>
      </c>
      <c r="R144" s="20" t="s">
        <v>72</v>
      </c>
      <c r="S144" s="20" t="s">
        <v>72</v>
      </c>
      <c r="T144" s="20" t="s">
        <v>72</v>
      </c>
      <c r="U144" s="20" t="s">
        <v>72</v>
      </c>
      <c r="V144" s="20" t="s">
        <v>72</v>
      </c>
      <c r="W144" s="20" t="s">
        <v>72</v>
      </c>
      <c r="X144" s="20" t="s">
        <v>72</v>
      </c>
      <c r="Y144" s="20" t="s">
        <v>72</v>
      </c>
      <c r="Z144" s="20" t="s">
        <v>72</v>
      </c>
      <c r="AA144" s="23" t="s">
        <v>91</v>
      </c>
      <c r="AB144" s="24" t="s">
        <v>1683</v>
      </c>
      <c r="AC144" s="25">
        <v>1</v>
      </c>
    </row>
    <row r="145" spans="1:29" ht="15" hidden="1" x14ac:dyDescent="0.2">
      <c r="A145">
        <v>32709662</v>
      </c>
      <c r="B145">
        <v>144</v>
      </c>
      <c r="C145" s="26" t="s">
        <v>1351</v>
      </c>
      <c r="D145" t="s">
        <v>1684</v>
      </c>
      <c r="E145">
        <v>3013679845</v>
      </c>
      <c r="F145" t="s">
        <v>1685</v>
      </c>
      <c r="G145" s="20" t="s">
        <v>1354</v>
      </c>
      <c r="H145" t="s">
        <v>1355</v>
      </c>
      <c r="I145" s="20" t="s">
        <v>1363</v>
      </c>
      <c r="J145" s="20" t="s">
        <v>71</v>
      </c>
      <c r="K145" s="20" t="s">
        <v>71</v>
      </c>
      <c r="L145" s="20" t="s">
        <v>71</v>
      </c>
      <c r="M145" s="20" t="s">
        <v>71</v>
      </c>
      <c r="N145" s="20" t="s">
        <v>71</v>
      </c>
      <c r="O145" s="20" t="s">
        <v>71</v>
      </c>
      <c r="P145" s="20" t="s">
        <v>71</v>
      </c>
      <c r="Q145" s="20" t="s">
        <v>71</v>
      </c>
      <c r="R145" s="20" t="s">
        <v>71</v>
      </c>
      <c r="S145" s="20" t="s">
        <v>71</v>
      </c>
      <c r="T145" s="20" t="s">
        <v>71</v>
      </c>
      <c r="U145" s="20" t="s">
        <v>71</v>
      </c>
      <c r="V145" s="20" t="s">
        <v>71</v>
      </c>
      <c r="W145" s="20" t="s">
        <v>71</v>
      </c>
      <c r="X145" s="20" t="s">
        <v>71</v>
      </c>
      <c r="Y145" s="20" t="s">
        <v>71</v>
      </c>
      <c r="Z145" s="20" t="s">
        <v>71</v>
      </c>
      <c r="AA145" s="27" t="s">
        <v>1367</v>
      </c>
      <c r="AB145" s="24" t="s">
        <v>1570</v>
      </c>
      <c r="AC145" s="25" t="s">
        <v>1367</v>
      </c>
    </row>
    <row r="146" spans="1:29" ht="15" hidden="1" x14ac:dyDescent="0.2">
      <c r="A146">
        <v>22506504</v>
      </c>
      <c r="B146">
        <v>145</v>
      </c>
      <c r="C146" s="26" t="s">
        <v>1351</v>
      </c>
      <c r="D146" t="s">
        <v>1686</v>
      </c>
      <c r="E146">
        <v>3018013121</v>
      </c>
      <c r="F146" t="s">
        <v>1687</v>
      </c>
      <c r="G146" s="20" t="s">
        <v>1354</v>
      </c>
      <c r="H146" t="s">
        <v>1355</v>
      </c>
      <c r="I146" s="20" t="s">
        <v>1363</v>
      </c>
      <c r="J146" s="20" t="s">
        <v>76</v>
      </c>
      <c r="K146" s="20" t="s">
        <v>76</v>
      </c>
      <c r="L146" s="20" t="s">
        <v>72</v>
      </c>
      <c r="N146" s="20" t="s">
        <v>72</v>
      </c>
      <c r="O146" s="20" t="s">
        <v>72</v>
      </c>
      <c r="P146" s="20" t="s">
        <v>72</v>
      </c>
      <c r="Q146" s="20" t="s">
        <v>72</v>
      </c>
      <c r="R146" s="20" t="s">
        <v>72</v>
      </c>
      <c r="S146" s="20" t="s">
        <v>72</v>
      </c>
      <c r="T146" s="20" t="s">
        <v>72</v>
      </c>
      <c r="U146" s="20" t="s">
        <v>72</v>
      </c>
      <c r="V146" s="20" t="s">
        <v>72</v>
      </c>
      <c r="W146" s="20" t="s">
        <v>72</v>
      </c>
      <c r="X146" s="20" t="s">
        <v>72</v>
      </c>
      <c r="Y146" s="20" t="s">
        <v>72</v>
      </c>
      <c r="Z146" s="20" t="s">
        <v>76</v>
      </c>
      <c r="AA146" s="23" t="s">
        <v>91</v>
      </c>
      <c r="AB146" s="24" t="s">
        <v>1688</v>
      </c>
      <c r="AC146" s="25">
        <v>2</v>
      </c>
    </row>
    <row r="147" spans="1:29" ht="15" hidden="1" x14ac:dyDescent="0.2">
      <c r="A147">
        <v>22532796</v>
      </c>
      <c r="B147">
        <v>146</v>
      </c>
      <c r="C147" s="26" t="s">
        <v>1351</v>
      </c>
      <c r="D147" t="s">
        <v>1689</v>
      </c>
      <c r="E147">
        <v>3156998363</v>
      </c>
      <c r="F147" t="s">
        <v>1690</v>
      </c>
      <c r="G147" s="20" t="s">
        <v>1354</v>
      </c>
      <c r="H147" t="s">
        <v>1355</v>
      </c>
      <c r="I147" s="20" t="s">
        <v>1356</v>
      </c>
      <c r="J147" s="20" t="s">
        <v>76</v>
      </c>
      <c r="K147" s="20" t="s">
        <v>76</v>
      </c>
      <c r="U147" s="20" t="s">
        <v>72</v>
      </c>
      <c r="V147" s="20" t="s">
        <v>72</v>
      </c>
      <c r="W147" s="20" t="s">
        <v>72</v>
      </c>
      <c r="X147" s="20" t="s">
        <v>72</v>
      </c>
      <c r="Y147" s="20" t="s">
        <v>72</v>
      </c>
      <c r="Z147" s="20" t="s">
        <v>72</v>
      </c>
      <c r="AA147" s="23" t="s">
        <v>77</v>
      </c>
      <c r="AB147" s="24" t="s">
        <v>1691</v>
      </c>
      <c r="AC147" s="25">
        <v>1</v>
      </c>
    </row>
    <row r="148" spans="1:29" ht="15" hidden="1" x14ac:dyDescent="0.2">
      <c r="A148">
        <v>19596310</v>
      </c>
      <c r="B148">
        <v>147</v>
      </c>
      <c r="C148" s="26" t="s">
        <v>1351</v>
      </c>
      <c r="D148" t="s">
        <v>1692</v>
      </c>
      <c r="E148">
        <v>3044612317</v>
      </c>
      <c r="F148" t="s">
        <v>1693</v>
      </c>
      <c r="G148" s="20" t="s">
        <v>1354</v>
      </c>
      <c r="H148" t="s">
        <v>1355</v>
      </c>
      <c r="I148" s="20" t="s">
        <v>1356</v>
      </c>
      <c r="J148" s="20" t="s">
        <v>71</v>
      </c>
      <c r="K148" s="20" t="s">
        <v>71</v>
      </c>
      <c r="L148" s="20" t="s">
        <v>72</v>
      </c>
      <c r="M148" s="20" t="s">
        <v>71</v>
      </c>
      <c r="N148" s="20" t="s">
        <v>72</v>
      </c>
      <c r="O148" s="20" t="s">
        <v>72</v>
      </c>
      <c r="P148" s="20" t="s">
        <v>72</v>
      </c>
      <c r="Q148" s="20" t="s">
        <v>72</v>
      </c>
      <c r="R148" s="20" t="s">
        <v>72</v>
      </c>
      <c r="S148" s="20" t="s">
        <v>72</v>
      </c>
      <c r="T148" s="20" t="s">
        <v>72</v>
      </c>
      <c r="U148" s="20" t="s">
        <v>71</v>
      </c>
      <c r="V148" s="20" t="s">
        <v>71</v>
      </c>
      <c r="W148" s="20" t="s">
        <v>71</v>
      </c>
      <c r="X148" s="20" t="s">
        <v>71</v>
      </c>
      <c r="Y148" s="20" t="s">
        <v>71</v>
      </c>
      <c r="Z148" s="20" t="s">
        <v>76</v>
      </c>
      <c r="AA148" s="23" t="s">
        <v>80</v>
      </c>
      <c r="AB148" s="24" t="s">
        <v>1694</v>
      </c>
      <c r="AC148" s="25">
        <v>2</v>
      </c>
    </row>
    <row r="149" spans="1:29" ht="15" hidden="1" x14ac:dyDescent="0.2">
      <c r="A149">
        <v>32632016</v>
      </c>
      <c r="B149">
        <v>148</v>
      </c>
      <c r="C149" s="26" t="s">
        <v>1351</v>
      </c>
      <c r="D149" t="s">
        <v>1695</v>
      </c>
      <c r="E149">
        <v>3244485128</v>
      </c>
      <c r="F149" t="s">
        <v>1696</v>
      </c>
      <c r="G149" s="20" t="s">
        <v>1354</v>
      </c>
      <c r="H149" t="s">
        <v>1355</v>
      </c>
      <c r="I149" s="20" t="s">
        <v>1356</v>
      </c>
      <c r="J149" s="20" t="s">
        <v>72</v>
      </c>
      <c r="K149" s="20" t="s">
        <v>72</v>
      </c>
      <c r="L149" s="20" t="s">
        <v>76</v>
      </c>
      <c r="M149" s="20" t="s">
        <v>71</v>
      </c>
      <c r="N149" s="20" t="s">
        <v>76</v>
      </c>
      <c r="O149" s="20" t="s">
        <v>72</v>
      </c>
      <c r="P149" s="20" t="s">
        <v>72</v>
      </c>
      <c r="Q149" s="20" t="s">
        <v>76</v>
      </c>
      <c r="R149" s="20" t="s">
        <v>72</v>
      </c>
      <c r="S149" s="20" t="s">
        <v>72</v>
      </c>
      <c r="T149" s="20" t="s">
        <v>72</v>
      </c>
      <c r="U149" s="20" t="s">
        <v>72</v>
      </c>
      <c r="V149" s="20" t="s">
        <v>72</v>
      </c>
      <c r="W149" s="20" t="s">
        <v>72</v>
      </c>
      <c r="X149" s="20" t="s">
        <v>72</v>
      </c>
      <c r="Y149" s="20" t="s">
        <v>72</v>
      </c>
      <c r="Z149" s="20" t="s">
        <v>72</v>
      </c>
      <c r="AA149" s="23" t="s">
        <v>91</v>
      </c>
      <c r="AB149" s="24" t="s">
        <v>1697</v>
      </c>
      <c r="AC149" s="25">
        <v>2</v>
      </c>
    </row>
    <row r="150" spans="1:29" ht="15" hidden="1" x14ac:dyDescent="0.2">
      <c r="A150">
        <v>32639743</v>
      </c>
      <c r="B150">
        <v>149</v>
      </c>
      <c r="C150" s="26" t="s">
        <v>1351</v>
      </c>
      <c r="D150" t="s">
        <v>1698</v>
      </c>
      <c r="E150">
        <v>3006200029</v>
      </c>
      <c r="F150" t="s">
        <v>1699</v>
      </c>
      <c r="G150" s="20" t="s">
        <v>1354</v>
      </c>
      <c r="H150" t="s">
        <v>1355</v>
      </c>
      <c r="I150" s="20" t="s">
        <v>1356</v>
      </c>
      <c r="J150" s="20" t="s">
        <v>71</v>
      </c>
      <c r="K150" s="20" t="s">
        <v>71</v>
      </c>
      <c r="L150" s="20" t="s">
        <v>71</v>
      </c>
      <c r="M150" s="20" t="s">
        <v>71</v>
      </c>
      <c r="N150" s="20" t="s">
        <v>71</v>
      </c>
      <c r="O150" s="20" t="s">
        <v>71</v>
      </c>
      <c r="P150" s="20" t="s">
        <v>71</v>
      </c>
      <c r="Q150" s="20" t="s">
        <v>71</v>
      </c>
      <c r="R150" s="20" t="s">
        <v>71</v>
      </c>
      <c r="S150" s="20" t="s">
        <v>71</v>
      </c>
      <c r="T150" s="20" t="s">
        <v>71</v>
      </c>
      <c r="U150" s="20" t="s">
        <v>71</v>
      </c>
      <c r="V150" s="20" t="s">
        <v>71</v>
      </c>
      <c r="W150" s="20" t="s">
        <v>71</v>
      </c>
      <c r="X150" s="20" t="s">
        <v>71</v>
      </c>
      <c r="Y150" s="20" t="s">
        <v>71</v>
      </c>
      <c r="Z150" s="20" t="s">
        <v>71</v>
      </c>
      <c r="AA150" s="27" t="s">
        <v>1367</v>
      </c>
      <c r="AB150" s="24" t="s">
        <v>1570</v>
      </c>
      <c r="AC150" s="25" t="s">
        <v>1367</v>
      </c>
    </row>
    <row r="151" spans="1:29" ht="15" hidden="1" x14ac:dyDescent="0.2">
      <c r="A151">
        <v>22466720</v>
      </c>
      <c r="B151">
        <v>150</v>
      </c>
      <c r="C151" s="26" t="s">
        <v>1351</v>
      </c>
      <c r="D151" t="s">
        <v>1700</v>
      </c>
      <c r="E151">
        <v>3045427505</v>
      </c>
      <c r="F151" t="s">
        <v>1701</v>
      </c>
      <c r="G151" s="20" t="s">
        <v>1354</v>
      </c>
      <c r="H151" t="s">
        <v>1355</v>
      </c>
      <c r="I151" s="20" t="s">
        <v>1356</v>
      </c>
      <c r="J151" s="20" t="s">
        <v>71</v>
      </c>
      <c r="K151" s="20" t="s">
        <v>71</v>
      </c>
      <c r="L151" s="20" t="s">
        <v>72</v>
      </c>
      <c r="M151" s="20" t="s">
        <v>71</v>
      </c>
      <c r="N151" s="20" t="s">
        <v>72</v>
      </c>
      <c r="O151" s="20" t="s">
        <v>72</v>
      </c>
      <c r="P151" s="20" t="s">
        <v>72</v>
      </c>
      <c r="Q151" s="20" t="s">
        <v>72</v>
      </c>
      <c r="R151" s="20" t="s">
        <v>72</v>
      </c>
      <c r="S151" s="20" t="s">
        <v>72</v>
      </c>
      <c r="T151" s="20" t="s">
        <v>72</v>
      </c>
      <c r="U151" s="20" t="s">
        <v>76</v>
      </c>
      <c r="V151" s="20" t="s">
        <v>76</v>
      </c>
      <c r="W151" s="20" t="s">
        <v>72</v>
      </c>
      <c r="X151" s="20" t="s">
        <v>71</v>
      </c>
      <c r="Y151" s="20" t="s">
        <v>71</v>
      </c>
      <c r="Z151" s="20" t="s">
        <v>76</v>
      </c>
      <c r="AA151" s="23" t="s">
        <v>80</v>
      </c>
      <c r="AB151" s="24" t="s">
        <v>1702</v>
      </c>
      <c r="AC151" s="25">
        <v>2</v>
      </c>
    </row>
    <row r="152" spans="1:29" ht="15" hidden="1" x14ac:dyDescent="0.2">
      <c r="A152">
        <v>32732227</v>
      </c>
      <c r="B152">
        <v>151</v>
      </c>
      <c r="C152" s="26" t="s">
        <v>1351</v>
      </c>
      <c r="D152" t="s">
        <v>1703</v>
      </c>
      <c r="E152">
        <v>3007291892</v>
      </c>
      <c r="F152" t="s">
        <v>1704</v>
      </c>
      <c r="G152" s="20" t="s">
        <v>1354</v>
      </c>
      <c r="H152" t="s">
        <v>1355</v>
      </c>
      <c r="I152" s="20" t="s">
        <v>1363</v>
      </c>
      <c r="J152" s="20" t="s">
        <v>71</v>
      </c>
      <c r="K152" s="20" t="s">
        <v>71</v>
      </c>
      <c r="L152" s="20" t="s">
        <v>72</v>
      </c>
      <c r="M152" s="20" t="s">
        <v>71</v>
      </c>
      <c r="N152" s="20" t="s">
        <v>76</v>
      </c>
      <c r="O152" s="20" t="s">
        <v>72</v>
      </c>
      <c r="P152" s="20" t="s">
        <v>72</v>
      </c>
      <c r="Q152" s="20" t="s">
        <v>72</v>
      </c>
      <c r="R152" s="20" t="s">
        <v>72</v>
      </c>
      <c r="S152" s="20" t="s">
        <v>71</v>
      </c>
      <c r="T152" s="20" t="s">
        <v>71</v>
      </c>
      <c r="U152" s="20" t="s">
        <v>71</v>
      </c>
      <c r="V152" s="20" t="s">
        <v>71</v>
      </c>
      <c r="W152" s="20" t="s">
        <v>71</v>
      </c>
      <c r="X152" s="20" t="s">
        <v>71</v>
      </c>
      <c r="Y152" s="20" t="s">
        <v>71</v>
      </c>
      <c r="Z152" s="20" t="s">
        <v>71</v>
      </c>
      <c r="AA152" s="23" t="s">
        <v>256</v>
      </c>
      <c r="AB152" s="24" t="s">
        <v>1705</v>
      </c>
      <c r="AC152" s="25">
        <v>2</v>
      </c>
    </row>
    <row r="153" spans="1:29" ht="15" hidden="1" x14ac:dyDescent="0.2">
      <c r="A153">
        <v>1043873936</v>
      </c>
      <c r="B153">
        <v>152</v>
      </c>
      <c r="C153" s="26" t="s">
        <v>1351</v>
      </c>
      <c r="D153" t="s">
        <v>1657</v>
      </c>
      <c r="E153">
        <v>3022218978</v>
      </c>
      <c r="F153" t="s">
        <v>1706</v>
      </c>
      <c r="G153" s="20" t="s">
        <v>1354</v>
      </c>
      <c r="H153" t="s">
        <v>1355</v>
      </c>
      <c r="I153" s="20" t="s">
        <v>1363</v>
      </c>
      <c r="J153" s="20" t="s">
        <v>71</v>
      </c>
      <c r="K153" s="20" t="s">
        <v>71</v>
      </c>
      <c r="L153" s="20" t="s">
        <v>72</v>
      </c>
      <c r="M153" s="20" t="s">
        <v>71</v>
      </c>
      <c r="N153" s="20" t="s">
        <v>72</v>
      </c>
      <c r="O153" s="20" t="s">
        <v>72</v>
      </c>
      <c r="P153" s="20" t="s">
        <v>72</v>
      </c>
      <c r="Q153" s="20" t="s">
        <v>72</v>
      </c>
      <c r="R153" s="20" t="s">
        <v>72</v>
      </c>
      <c r="S153" s="20" t="s">
        <v>72</v>
      </c>
      <c r="T153" s="20" t="s">
        <v>72</v>
      </c>
      <c r="U153" s="20" t="s">
        <v>76</v>
      </c>
      <c r="V153" s="20" t="s">
        <v>76</v>
      </c>
      <c r="W153" s="20" t="s">
        <v>72</v>
      </c>
      <c r="X153" s="20" t="s">
        <v>71</v>
      </c>
      <c r="Y153" s="20" t="s">
        <v>72</v>
      </c>
      <c r="Z153" s="20" t="s">
        <v>71</v>
      </c>
      <c r="AA153" s="23" t="s">
        <v>80</v>
      </c>
      <c r="AB153" s="24" t="s">
        <v>1707</v>
      </c>
      <c r="AC153" s="25">
        <v>2</v>
      </c>
    </row>
    <row r="154" spans="1:29" ht="15" hidden="1" x14ac:dyDescent="0.2">
      <c r="A154">
        <v>22527893</v>
      </c>
      <c r="B154">
        <v>153</v>
      </c>
      <c r="C154" s="26" t="s">
        <v>1351</v>
      </c>
      <c r="D154" t="s">
        <v>1708</v>
      </c>
      <c r="E154">
        <v>3044954612</v>
      </c>
      <c r="F154" t="s">
        <v>1709</v>
      </c>
      <c r="G154" s="20" t="s">
        <v>1354</v>
      </c>
      <c r="H154" t="s">
        <v>1355</v>
      </c>
      <c r="I154" s="20" t="s">
        <v>1363</v>
      </c>
      <c r="J154" s="20" t="s">
        <v>71</v>
      </c>
      <c r="K154" s="20" t="s">
        <v>71</v>
      </c>
      <c r="L154" s="20" t="s">
        <v>72</v>
      </c>
      <c r="M154" s="20" t="s">
        <v>71</v>
      </c>
      <c r="N154" s="20" t="s">
        <v>72</v>
      </c>
      <c r="O154" s="20" t="s">
        <v>72</v>
      </c>
      <c r="P154" s="20" t="s">
        <v>72</v>
      </c>
      <c r="Q154" s="20" t="s">
        <v>72</v>
      </c>
      <c r="R154" s="20" t="s">
        <v>72</v>
      </c>
      <c r="S154" s="20" t="s">
        <v>72</v>
      </c>
      <c r="T154" s="20" t="s">
        <v>72</v>
      </c>
      <c r="U154" s="20" t="s">
        <v>71</v>
      </c>
      <c r="V154" s="20" t="s">
        <v>72</v>
      </c>
      <c r="W154" s="20" t="s">
        <v>72</v>
      </c>
      <c r="X154" s="20" t="s">
        <v>71</v>
      </c>
      <c r="Y154" s="20" t="s">
        <v>72</v>
      </c>
      <c r="Z154" s="20" t="s">
        <v>71</v>
      </c>
      <c r="AA154" s="23" t="s">
        <v>80</v>
      </c>
      <c r="AB154" s="24" t="s">
        <v>1710</v>
      </c>
      <c r="AC154" s="25">
        <v>2</v>
      </c>
    </row>
    <row r="155" spans="1:29" ht="15" hidden="1" customHeight="1" x14ac:dyDescent="0.2">
      <c r="A155">
        <v>30579593</v>
      </c>
      <c r="B155">
        <v>154</v>
      </c>
      <c r="C155" s="26" t="s">
        <v>1351</v>
      </c>
      <c r="D155" t="s">
        <v>1711</v>
      </c>
      <c r="E155">
        <v>3016603617</v>
      </c>
      <c r="F155" t="s">
        <v>1712</v>
      </c>
      <c r="G155" s="20" t="s">
        <v>1354</v>
      </c>
      <c r="H155" t="s">
        <v>1355</v>
      </c>
      <c r="I155" s="20" t="s">
        <v>1363</v>
      </c>
      <c r="J155" s="20" t="s">
        <v>76</v>
      </c>
      <c r="K155" s="20" t="s">
        <v>76</v>
      </c>
      <c r="L155" s="20" t="s">
        <v>72</v>
      </c>
      <c r="M155" s="20" t="s">
        <v>71</v>
      </c>
      <c r="N155" s="20" t="s">
        <v>72</v>
      </c>
      <c r="O155" s="20" t="s">
        <v>72</v>
      </c>
      <c r="P155" s="20" t="s">
        <v>72</v>
      </c>
      <c r="Q155" s="20" t="s">
        <v>72</v>
      </c>
      <c r="R155" s="20" t="s">
        <v>72</v>
      </c>
      <c r="S155" s="20" t="s">
        <v>72</v>
      </c>
      <c r="T155" s="20" t="s">
        <v>72</v>
      </c>
      <c r="U155" s="20" t="s">
        <v>72</v>
      </c>
      <c r="V155" s="20" t="s">
        <v>71</v>
      </c>
      <c r="W155" s="20" t="s">
        <v>72</v>
      </c>
      <c r="X155" s="20" t="s">
        <v>71</v>
      </c>
      <c r="Y155" s="20" t="s">
        <v>72</v>
      </c>
      <c r="Z155" s="20" t="s">
        <v>76</v>
      </c>
      <c r="AA155" s="23" t="s">
        <v>91</v>
      </c>
      <c r="AC155" s="25">
        <v>2</v>
      </c>
    </row>
    <row r="156" spans="1:29" ht="15" hidden="1" x14ac:dyDescent="0.2">
      <c r="A156">
        <v>72170241</v>
      </c>
      <c r="B156">
        <v>155</v>
      </c>
      <c r="C156" s="26" t="s">
        <v>1351</v>
      </c>
      <c r="D156" t="s">
        <v>1713</v>
      </c>
      <c r="E156">
        <v>3004818696</v>
      </c>
      <c r="F156" t="s">
        <v>1714</v>
      </c>
      <c r="G156" s="20" t="s">
        <v>1354</v>
      </c>
      <c r="H156" t="s">
        <v>1355</v>
      </c>
      <c r="I156" s="20" t="s">
        <v>1356</v>
      </c>
      <c r="J156" s="20" t="s">
        <v>71</v>
      </c>
      <c r="K156" s="20" t="s">
        <v>71</v>
      </c>
      <c r="L156" s="20" t="s">
        <v>71</v>
      </c>
      <c r="M156" s="20" t="s">
        <v>71</v>
      </c>
      <c r="N156" s="20" t="s">
        <v>71</v>
      </c>
      <c r="O156" s="20" t="s">
        <v>71</v>
      </c>
      <c r="P156" s="20" t="s">
        <v>71</v>
      </c>
      <c r="Q156" s="20" t="s">
        <v>71</v>
      </c>
      <c r="R156" s="20" t="s">
        <v>71</v>
      </c>
      <c r="S156" s="20" t="s">
        <v>71</v>
      </c>
      <c r="T156" s="20" t="s">
        <v>71</v>
      </c>
      <c r="U156" s="20" t="s">
        <v>71</v>
      </c>
      <c r="V156" s="20" t="s">
        <v>71</v>
      </c>
      <c r="W156" s="20" t="s">
        <v>71</v>
      </c>
      <c r="X156" s="20" t="s">
        <v>71</v>
      </c>
      <c r="Y156" s="20" t="s">
        <v>71</v>
      </c>
      <c r="Z156" s="20" t="s">
        <v>71</v>
      </c>
      <c r="AA156" s="27" t="s">
        <v>1367</v>
      </c>
      <c r="AB156" s="24" t="s">
        <v>1570</v>
      </c>
      <c r="AC156" s="25" t="s">
        <v>1367</v>
      </c>
    </row>
    <row r="157" spans="1:29" ht="15" hidden="1" x14ac:dyDescent="0.2">
      <c r="A157">
        <v>32697995</v>
      </c>
      <c r="B157">
        <v>156</v>
      </c>
      <c r="C157" s="26" t="s">
        <v>1351</v>
      </c>
      <c r="D157" t="s">
        <v>1715</v>
      </c>
      <c r="E157">
        <v>3135877367</v>
      </c>
      <c r="F157" t="s">
        <v>1716</v>
      </c>
      <c r="G157" s="20" t="s">
        <v>1354</v>
      </c>
      <c r="H157" t="s">
        <v>1355</v>
      </c>
      <c r="I157" s="20" t="s">
        <v>1356</v>
      </c>
      <c r="J157" s="20" t="s">
        <v>71</v>
      </c>
      <c r="K157" s="20" t="s">
        <v>71</v>
      </c>
      <c r="L157" s="20" t="s">
        <v>71</v>
      </c>
      <c r="M157" s="20" t="s">
        <v>71</v>
      </c>
      <c r="N157" s="20" t="s">
        <v>71</v>
      </c>
      <c r="O157" s="20" t="s">
        <v>71</v>
      </c>
      <c r="P157" s="20" t="s">
        <v>71</v>
      </c>
      <c r="Q157" s="20" t="s">
        <v>71</v>
      </c>
      <c r="R157" s="20" t="s">
        <v>71</v>
      </c>
      <c r="S157" s="20" t="s">
        <v>71</v>
      </c>
      <c r="T157" s="20" t="s">
        <v>71</v>
      </c>
      <c r="U157" s="20" t="s">
        <v>71</v>
      </c>
      <c r="V157" s="20" t="s">
        <v>71</v>
      </c>
      <c r="W157" s="20" t="s">
        <v>71</v>
      </c>
      <c r="X157" s="20" t="s">
        <v>71</v>
      </c>
      <c r="Y157" s="20" t="s">
        <v>71</v>
      </c>
      <c r="Z157" s="20" t="s">
        <v>71</v>
      </c>
      <c r="AA157" s="27" t="s">
        <v>1367</v>
      </c>
      <c r="AB157" s="24" t="s">
        <v>1570</v>
      </c>
      <c r="AC157" s="25" t="s">
        <v>1367</v>
      </c>
    </row>
    <row r="158" spans="1:29" ht="15" hidden="1" x14ac:dyDescent="0.2">
      <c r="A158">
        <v>64865431</v>
      </c>
      <c r="B158">
        <v>157</v>
      </c>
      <c r="C158" s="26" t="s">
        <v>1351</v>
      </c>
      <c r="D158" t="s">
        <v>1717</v>
      </c>
      <c r="E158">
        <v>3008930557</v>
      </c>
      <c r="F158" t="s">
        <v>1718</v>
      </c>
      <c r="G158" s="20" t="s">
        <v>1354</v>
      </c>
      <c r="H158" t="s">
        <v>1355</v>
      </c>
      <c r="I158" s="20" t="s">
        <v>1356</v>
      </c>
      <c r="J158" s="20" t="s">
        <v>71</v>
      </c>
      <c r="K158" s="20" t="s">
        <v>71</v>
      </c>
      <c r="L158" s="20" t="s">
        <v>71</v>
      </c>
      <c r="M158" s="20" t="s">
        <v>71</v>
      </c>
      <c r="N158" s="20" t="s">
        <v>71</v>
      </c>
      <c r="O158" s="20" t="s">
        <v>71</v>
      </c>
      <c r="P158" s="20" t="s">
        <v>71</v>
      </c>
      <c r="Q158" s="20" t="s">
        <v>71</v>
      </c>
      <c r="R158" s="20" t="s">
        <v>71</v>
      </c>
      <c r="S158" s="20" t="s">
        <v>71</v>
      </c>
      <c r="T158" s="20" t="s">
        <v>71</v>
      </c>
      <c r="U158" s="20" t="s">
        <v>71</v>
      </c>
      <c r="V158" s="20" t="s">
        <v>71</v>
      </c>
      <c r="W158" s="20" t="s">
        <v>71</v>
      </c>
      <c r="X158" s="20" t="s">
        <v>71</v>
      </c>
      <c r="Y158" s="20" t="s">
        <v>71</v>
      </c>
      <c r="Z158" s="20" t="s">
        <v>71</v>
      </c>
      <c r="AA158" s="27" t="s">
        <v>1367</v>
      </c>
      <c r="AB158" s="24" t="s">
        <v>1570</v>
      </c>
      <c r="AC158" s="25" t="s">
        <v>1367</v>
      </c>
    </row>
    <row r="159" spans="1:29" ht="15" hidden="1" x14ac:dyDescent="0.2">
      <c r="A159">
        <v>32820161</v>
      </c>
      <c r="B159">
        <v>158</v>
      </c>
      <c r="C159" s="26" t="s">
        <v>1351</v>
      </c>
      <c r="D159" t="s">
        <v>1380</v>
      </c>
      <c r="E159">
        <v>3043666979</v>
      </c>
      <c r="F159" t="s">
        <v>1719</v>
      </c>
      <c r="G159" s="20" t="s">
        <v>1354</v>
      </c>
      <c r="H159" t="s">
        <v>1355</v>
      </c>
      <c r="I159" s="20" t="s">
        <v>1363</v>
      </c>
      <c r="J159" s="20" t="s">
        <v>71</v>
      </c>
      <c r="K159" s="20" t="s">
        <v>71</v>
      </c>
      <c r="L159" s="20" t="s">
        <v>71</v>
      </c>
      <c r="M159" s="20" t="s">
        <v>71</v>
      </c>
      <c r="N159" s="20" t="s">
        <v>76</v>
      </c>
      <c r="O159" s="20" t="s">
        <v>72</v>
      </c>
      <c r="P159" s="20" t="s">
        <v>72</v>
      </c>
      <c r="Q159" s="20" t="s">
        <v>71</v>
      </c>
      <c r="R159" s="20" t="s">
        <v>72</v>
      </c>
      <c r="S159" s="20" t="s">
        <v>72</v>
      </c>
      <c r="T159" s="20" t="s">
        <v>72</v>
      </c>
      <c r="U159" s="20" t="s">
        <v>72</v>
      </c>
      <c r="V159" s="20" t="s">
        <v>72</v>
      </c>
      <c r="W159" s="20" t="s">
        <v>72</v>
      </c>
      <c r="X159" s="20" t="s">
        <v>72</v>
      </c>
      <c r="Y159" s="20" t="s">
        <v>72</v>
      </c>
      <c r="Z159" s="20" t="s">
        <v>72</v>
      </c>
      <c r="AA159" s="23" t="s">
        <v>80</v>
      </c>
      <c r="AB159" s="24" t="s">
        <v>1720</v>
      </c>
      <c r="AC159" s="25">
        <v>2</v>
      </c>
    </row>
    <row r="160" spans="1:29" ht="15" hidden="1" x14ac:dyDescent="0.2">
      <c r="A160">
        <v>36489408</v>
      </c>
      <c r="B160">
        <v>159</v>
      </c>
      <c r="C160" s="26" t="s">
        <v>1351</v>
      </c>
      <c r="D160" t="s">
        <v>1721</v>
      </c>
      <c r="E160">
        <v>3005363738</v>
      </c>
      <c r="F160" t="s">
        <v>1722</v>
      </c>
      <c r="G160" s="20" t="s">
        <v>1354</v>
      </c>
      <c r="H160" t="s">
        <v>1355</v>
      </c>
      <c r="I160" s="20" t="s">
        <v>1363</v>
      </c>
      <c r="J160" s="20" t="s">
        <v>71</v>
      </c>
      <c r="K160" s="20" t="s">
        <v>71</v>
      </c>
      <c r="L160" s="20" t="s">
        <v>71</v>
      </c>
      <c r="M160" s="20" t="s">
        <v>71</v>
      </c>
      <c r="N160" s="20" t="s">
        <v>71</v>
      </c>
      <c r="O160" s="20" t="s">
        <v>71</v>
      </c>
      <c r="P160" s="20" t="s">
        <v>71</v>
      </c>
      <c r="Q160" s="20" t="s">
        <v>71</v>
      </c>
      <c r="R160" s="20" t="s">
        <v>71</v>
      </c>
      <c r="S160" s="20" t="s">
        <v>71</v>
      </c>
      <c r="T160" s="20" t="s">
        <v>71</v>
      </c>
      <c r="U160" s="20" t="s">
        <v>71</v>
      </c>
      <c r="V160" s="20" t="s">
        <v>71</v>
      </c>
      <c r="W160" s="20" t="s">
        <v>71</v>
      </c>
      <c r="X160" s="20" t="s">
        <v>71</v>
      </c>
      <c r="Y160" s="20" t="s">
        <v>71</v>
      </c>
      <c r="Z160" s="20" t="s">
        <v>71</v>
      </c>
      <c r="AA160" s="27" t="s">
        <v>1367</v>
      </c>
      <c r="AB160" s="24" t="s">
        <v>1723</v>
      </c>
      <c r="AC160" s="25" t="s">
        <v>1367</v>
      </c>
    </row>
    <row r="161" spans="1:29" ht="15" hidden="1" x14ac:dyDescent="0.2">
      <c r="A161">
        <v>8706854</v>
      </c>
      <c r="B161">
        <v>160</v>
      </c>
      <c r="C161" s="26" t="s">
        <v>1351</v>
      </c>
      <c r="D161" t="s">
        <v>1724</v>
      </c>
      <c r="E161">
        <v>3017934004</v>
      </c>
      <c r="F161" t="s">
        <v>1725</v>
      </c>
      <c r="G161" s="20" t="s">
        <v>1354</v>
      </c>
      <c r="H161" t="s">
        <v>1355</v>
      </c>
      <c r="I161" s="20" t="s">
        <v>1356</v>
      </c>
      <c r="J161" s="20" t="s">
        <v>71</v>
      </c>
      <c r="K161" s="20" t="s">
        <v>71</v>
      </c>
      <c r="L161" s="20" t="s">
        <v>71</v>
      </c>
      <c r="M161" s="20" t="s">
        <v>71</v>
      </c>
      <c r="N161" s="20" t="s">
        <v>76</v>
      </c>
      <c r="O161" s="20" t="s">
        <v>72</v>
      </c>
      <c r="P161" s="20" t="s">
        <v>76</v>
      </c>
      <c r="Q161" s="20" t="s">
        <v>71</v>
      </c>
      <c r="R161" s="20" t="s">
        <v>72</v>
      </c>
      <c r="S161" s="20" t="s">
        <v>72</v>
      </c>
      <c r="T161" s="20" t="s">
        <v>72</v>
      </c>
      <c r="U161" s="20" t="s">
        <v>71</v>
      </c>
      <c r="V161" s="20" t="s">
        <v>72</v>
      </c>
      <c r="W161" s="20" t="s">
        <v>72</v>
      </c>
      <c r="X161" s="20" t="s">
        <v>71</v>
      </c>
      <c r="Y161" s="20" t="s">
        <v>72</v>
      </c>
      <c r="Z161" s="20" t="s">
        <v>71</v>
      </c>
      <c r="AA161" s="23" t="s">
        <v>80</v>
      </c>
      <c r="AB161" s="24" t="s">
        <v>1726</v>
      </c>
      <c r="AC161" s="25">
        <v>2</v>
      </c>
    </row>
    <row r="162" spans="1:29" ht="15" hidden="1" x14ac:dyDescent="0.2">
      <c r="A162">
        <v>32661084</v>
      </c>
      <c r="B162">
        <v>161</v>
      </c>
      <c r="C162" s="26" t="s">
        <v>1351</v>
      </c>
      <c r="D162" t="s">
        <v>1727</v>
      </c>
      <c r="E162">
        <v>3017379073</v>
      </c>
      <c r="F162" t="s">
        <v>1728</v>
      </c>
      <c r="G162" s="20" t="s">
        <v>1354</v>
      </c>
      <c r="H162" t="s">
        <v>1355</v>
      </c>
      <c r="I162" s="20" t="s">
        <v>1356</v>
      </c>
      <c r="J162" s="20" t="s">
        <v>71</v>
      </c>
      <c r="K162" s="20" t="s">
        <v>71</v>
      </c>
      <c r="L162" s="20" t="s">
        <v>72</v>
      </c>
      <c r="M162" s="20" t="s">
        <v>71</v>
      </c>
      <c r="N162" s="20" t="s">
        <v>72</v>
      </c>
      <c r="O162" s="20" t="s">
        <v>72</v>
      </c>
      <c r="P162" s="20" t="s">
        <v>72</v>
      </c>
      <c r="Q162" s="20" t="s">
        <v>72</v>
      </c>
      <c r="R162" s="20" t="s">
        <v>72</v>
      </c>
      <c r="S162" s="20" t="s">
        <v>72</v>
      </c>
      <c r="T162" s="20" t="s">
        <v>72</v>
      </c>
      <c r="U162" s="20" t="s">
        <v>72</v>
      </c>
      <c r="V162" s="20" t="s">
        <v>72</v>
      </c>
      <c r="W162" s="20" t="s">
        <v>72</v>
      </c>
      <c r="X162" s="20" t="s">
        <v>72</v>
      </c>
      <c r="Y162" s="20" t="s">
        <v>72</v>
      </c>
      <c r="Z162" s="20" t="s">
        <v>72</v>
      </c>
      <c r="AA162" s="23" t="s">
        <v>80</v>
      </c>
      <c r="AB162" s="24" t="s">
        <v>1707</v>
      </c>
      <c r="AC162" s="25">
        <v>2</v>
      </c>
    </row>
    <row r="163" spans="1:29" ht="15" hidden="1" x14ac:dyDescent="0.2">
      <c r="A163">
        <v>41631902</v>
      </c>
      <c r="B163">
        <v>162</v>
      </c>
      <c r="C163" s="26" t="s">
        <v>1351</v>
      </c>
      <c r="D163" t="s">
        <v>1436</v>
      </c>
      <c r="E163">
        <v>3226954592</v>
      </c>
      <c r="F163" t="s">
        <v>1729</v>
      </c>
      <c r="G163" s="20" t="s">
        <v>1354</v>
      </c>
      <c r="H163" t="s">
        <v>1355</v>
      </c>
      <c r="I163" s="20" t="s">
        <v>1363</v>
      </c>
      <c r="J163" s="20" t="s">
        <v>72</v>
      </c>
      <c r="K163" s="20" t="s">
        <v>72</v>
      </c>
      <c r="L163" s="20" t="s">
        <v>72</v>
      </c>
      <c r="M163" s="20" t="s">
        <v>71</v>
      </c>
      <c r="N163" s="20" t="s">
        <v>72</v>
      </c>
      <c r="O163" s="20" t="s">
        <v>72</v>
      </c>
      <c r="P163" s="20" t="s">
        <v>72</v>
      </c>
      <c r="Q163" s="20" t="s">
        <v>72</v>
      </c>
      <c r="R163" s="20" t="s">
        <v>72</v>
      </c>
      <c r="S163" s="20" t="s">
        <v>72</v>
      </c>
      <c r="T163" s="20" t="s">
        <v>72</v>
      </c>
      <c r="AA163" s="23" t="s">
        <v>73</v>
      </c>
      <c r="AB163" s="24" t="s">
        <v>1730</v>
      </c>
      <c r="AC163" s="25">
        <v>2</v>
      </c>
    </row>
    <row r="164" spans="1:29" ht="15" hidden="1" x14ac:dyDescent="0.2">
      <c r="A164">
        <v>8538228</v>
      </c>
      <c r="B164">
        <v>163</v>
      </c>
      <c r="C164" s="26" t="s">
        <v>1351</v>
      </c>
      <c r="D164" t="s">
        <v>1501</v>
      </c>
      <c r="E164">
        <v>3206313124</v>
      </c>
      <c r="F164" t="s">
        <v>1731</v>
      </c>
      <c r="G164" s="20" t="s">
        <v>1354</v>
      </c>
      <c r="H164" t="s">
        <v>1355</v>
      </c>
      <c r="I164" s="20" t="s">
        <v>1363</v>
      </c>
      <c r="J164" s="20" t="s">
        <v>71</v>
      </c>
      <c r="K164" s="20" t="s">
        <v>71</v>
      </c>
      <c r="L164" s="20" t="s">
        <v>71</v>
      </c>
      <c r="M164" s="20" t="s">
        <v>71</v>
      </c>
      <c r="N164" s="20" t="s">
        <v>71</v>
      </c>
      <c r="O164" s="20" t="s">
        <v>71</v>
      </c>
      <c r="P164" s="20" t="s">
        <v>71</v>
      </c>
      <c r="Q164" s="20" t="s">
        <v>71</v>
      </c>
      <c r="R164" s="20" t="s">
        <v>71</v>
      </c>
      <c r="S164" s="20" t="s">
        <v>71</v>
      </c>
      <c r="T164" s="20" t="s">
        <v>71</v>
      </c>
      <c r="U164" s="20" t="s">
        <v>71</v>
      </c>
      <c r="V164" s="20" t="s">
        <v>71</v>
      </c>
      <c r="W164" s="20" t="s">
        <v>76</v>
      </c>
      <c r="X164" s="20" t="s">
        <v>71</v>
      </c>
      <c r="Y164" s="20" t="s">
        <v>76</v>
      </c>
      <c r="Z164" s="20" t="s">
        <v>76</v>
      </c>
      <c r="AA164" s="23" t="s">
        <v>179</v>
      </c>
      <c r="AB164" s="24" t="s">
        <v>1732</v>
      </c>
      <c r="AC164" s="25">
        <v>3</v>
      </c>
    </row>
    <row r="165" spans="1:29" ht="15" hidden="1" x14ac:dyDescent="0.2">
      <c r="A165">
        <v>22372597</v>
      </c>
      <c r="B165">
        <v>164</v>
      </c>
      <c r="C165" s="26" t="s">
        <v>1351</v>
      </c>
      <c r="D165" t="s">
        <v>1733</v>
      </c>
      <c r="E165">
        <v>3242904006</v>
      </c>
      <c r="F165" t="s">
        <v>1734</v>
      </c>
      <c r="G165" s="20" t="s">
        <v>1354</v>
      </c>
      <c r="H165" t="s">
        <v>1355</v>
      </c>
      <c r="I165" s="20" t="s">
        <v>1363</v>
      </c>
      <c r="J165" s="20" t="s">
        <v>71</v>
      </c>
      <c r="K165" s="20" t="s">
        <v>71</v>
      </c>
      <c r="L165" s="20" t="s">
        <v>71</v>
      </c>
      <c r="M165" s="20" t="s">
        <v>71</v>
      </c>
      <c r="N165" s="20" t="s">
        <v>71</v>
      </c>
      <c r="O165" s="20" t="s">
        <v>71</v>
      </c>
      <c r="P165" s="20" t="s">
        <v>71</v>
      </c>
      <c r="Q165" s="20" t="s">
        <v>71</v>
      </c>
      <c r="R165" s="20" t="s">
        <v>71</v>
      </c>
      <c r="S165" s="20" t="s">
        <v>71</v>
      </c>
      <c r="T165" s="20" t="s">
        <v>71</v>
      </c>
      <c r="U165" s="20" t="s">
        <v>76</v>
      </c>
      <c r="V165" s="20" t="s">
        <v>72</v>
      </c>
      <c r="W165" s="20" t="s">
        <v>72</v>
      </c>
      <c r="X165" s="20" t="s">
        <v>71</v>
      </c>
      <c r="Y165" s="20" t="s">
        <v>72</v>
      </c>
      <c r="Z165" s="20" t="s">
        <v>71</v>
      </c>
      <c r="AA165" s="23" t="s">
        <v>179</v>
      </c>
      <c r="AB165" s="24" t="s">
        <v>1732</v>
      </c>
      <c r="AC165" s="25">
        <v>3</v>
      </c>
    </row>
    <row r="166" spans="1:29" ht="15" hidden="1" x14ac:dyDescent="0.2">
      <c r="A166">
        <v>22436611</v>
      </c>
      <c r="B166">
        <v>165</v>
      </c>
      <c r="C166" s="26" t="s">
        <v>1351</v>
      </c>
      <c r="D166" t="s">
        <v>1735</v>
      </c>
      <c r="E166">
        <v>3023585014</v>
      </c>
      <c r="F166" t="s">
        <v>1736</v>
      </c>
      <c r="G166" s="20" t="s">
        <v>1354</v>
      </c>
      <c r="H166" t="s">
        <v>1355</v>
      </c>
      <c r="I166" s="20" t="s">
        <v>1356</v>
      </c>
      <c r="J166" s="20" t="s">
        <v>71</v>
      </c>
      <c r="K166" s="20" t="s">
        <v>71</v>
      </c>
      <c r="L166" s="20" t="s">
        <v>76</v>
      </c>
      <c r="M166" s="20" t="s">
        <v>71</v>
      </c>
      <c r="N166" s="20" t="s">
        <v>71</v>
      </c>
      <c r="O166" s="20" t="s">
        <v>71</v>
      </c>
      <c r="P166" s="20" t="s">
        <v>71</v>
      </c>
      <c r="Q166" s="20" t="s">
        <v>76</v>
      </c>
      <c r="R166" s="20" t="s">
        <v>71</v>
      </c>
      <c r="S166" s="20" t="s">
        <v>71</v>
      </c>
      <c r="T166" s="20" t="s">
        <v>71</v>
      </c>
      <c r="U166" s="20" t="s">
        <v>71</v>
      </c>
      <c r="V166" s="20" t="s">
        <v>71</v>
      </c>
      <c r="W166" s="20" t="s">
        <v>71</v>
      </c>
      <c r="X166" s="20" t="s">
        <v>71</v>
      </c>
      <c r="Y166" s="20" t="s">
        <v>71</v>
      </c>
      <c r="Z166" s="20" t="s">
        <v>76</v>
      </c>
      <c r="AA166" s="23" t="s">
        <v>77</v>
      </c>
      <c r="AB166" s="24" t="s">
        <v>1737</v>
      </c>
      <c r="AC166" s="25">
        <v>2</v>
      </c>
    </row>
    <row r="167" spans="1:29" ht="15" hidden="1" x14ac:dyDescent="0.2">
      <c r="A167">
        <v>55221885</v>
      </c>
      <c r="B167">
        <v>166</v>
      </c>
      <c r="C167" s="26" t="s">
        <v>1351</v>
      </c>
      <c r="D167" t="s">
        <v>1738</v>
      </c>
      <c r="E167">
        <v>3007117018</v>
      </c>
      <c r="F167" t="s">
        <v>1739</v>
      </c>
      <c r="G167" s="20" t="s">
        <v>1354</v>
      </c>
      <c r="H167" t="s">
        <v>1355</v>
      </c>
      <c r="I167" s="20" t="s">
        <v>1356</v>
      </c>
      <c r="J167" s="20" t="s">
        <v>71</v>
      </c>
      <c r="K167" s="20" t="s">
        <v>71</v>
      </c>
      <c r="L167" s="20" t="s">
        <v>71</v>
      </c>
      <c r="M167" s="20" t="s">
        <v>71</v>
      </c>
      <c r="N167" s="20" t="s">
        <v>71</v>
      </c>
      <c r="O167" s="20" t="s">
        <v>71</v>
      </c>
      <c r="P167" s="20" t="s">
        <v>71</v>
      </c>
      <c r="Q167" s="20" t="s">
        <v>71</v>
      </c>
      <c r="R167" s="20" t="s">
        <v>71</v>
      </c>
      <c r="S167" s="20" t="s">
        <v>71</v>
      </c>
      <c r="T167" s="20" t="s">
        <v>71</v>
      </c>
      <c r="U167" s="20" t="s">
        <v>71</v>
      </c>
      <c r="V167" s="20" t="s">
        <v>71</v>
      </c>
      <c r="W167" s="20" t="s">
        <v>71</v>
      </c>
      <c r="X167" s="20" t="s">
        <v>71</v>
      </c>
      <c r="Y167" s="20" t="s">
        <v>71</v>
      </c>
      <c r="Z167" s="20" t="s">
        <v>71</v>
      </c>
      <c r="AA167" s="27" t="s">
        <v>1367</v>
      </c>
      <c r="AB167" s="24" t="s">
        <v>1570</v>
      </c>
      <c r="AC167" s="25" t="s">
        <v>1367</v>
      </c>
    </row>
    <row r="168" spans="1:29" ht="15" hidden="1" x14ac:dyDescent="0.2">
      <c r="A168">
        <v>1143115892</v>
      </c>
      <c r="B168">
        <v>167</v>
      </c>
      <c r="C168" s="26" t="s">
        <v>1351</v>
      </c>
      <c r="D168" t="s">
        <v>1642</v>
      </c>
      <c r="E168">
        <v>3107158701</v>
      </c>
      <c r="F168" t="s">
        <v>1740</v>
      </c>
      <c r="G168" s="20" t="s">
        <v>1354</v>
      </c>
      <c r="H168" t="s">
        <v>1355</v>
      </c>
      <c r="I168" s="20" t="s">
        <v>1363</v>
      </c>
      <c r="J168" s="20" t="s">
        <v>71</v>
      </c>
      <c r="K168" s="20" t="s">
        <v>71</v>
      </c>
      <c r="L168" s="20" t="s">
        <v>72</v>
      </c>
      <c r="M168" s="20" t="s">
        <v>71</v>
      </c>
      <c r="N168" s="20" t="s">
        <v>72</v>
      </c>
      <c r="O168" s="20" t="s">
        <v>72</v>
      </c>
      <c r="P168" s="20" t="s">
        <v>72</v>
      </c>
      <c r="Q168" s="20" t="s">
        <v>72</v>
      </c>
      <c r="R168" s="20" t="s">
        <v>72</v>
      </c>
      <c r="S168" s="20" t="s">
        <v>71</v>
      </c>
      <c r="T168" s="20" t="s">
        <v>72</v>
      </c>
      <c r="U168" s="20" t="s">
        <v>71</v>
      </c>
      <c r="V168" s="20" t="s">
        <v>71</v>
      </c>
      <c r="W168" s="20" t="s">
        <v>71</v>
      </c>
      <c r="X168" s="20" t="s">
        <v>71</v>
      </c>
      <c r="Y168" s="20" t="s">
        <v>71</v>
      </c>
      <c r="Z168" s="20" t="s">
        <v>71</v>
      </c>
      <c r="AA168" s="23" t="s">
        <v>256</v>
      </c>
      <c r="AB168" s="24" t="s">
        <v>1741</v>
      </c>
      <c r="AC168" s="25">
        <v>3</v>
      </c>
    </row>
    <row r="169" spans="1:29" ht="15" hidden="1" x14ac:dyDescent="0.2">
      <c r="A169">
        <v>32719297</v>
      </c>
      <c r="B169">
        <v>168</v>
      </c>
      <c r="C169" s="26" t="s">
        <v>1351</v>
      </c>
      <c r="D169" t="s">
        <v>1742</v>
      </c>
      <c r="E169">
        <v>307868248</v>
      </c>
      <c r="F169" t="s">
        <v>1743</v>
      </c>
      <c r="G169" s="20" t="s">
        <v>1354</v>
      </c>
      <c r="H169" t="s">
        <v>1355</v>
      </c>
      <c r="I169" s="20" t="s">
        <v>1356</v>
      </c>
      <c r="J169" s="20" t="s">
        <v>71</v>
      </c>
      <c r="K169" s="20" t="s">
        <v>71</v>
      </c>
      <c r="L169" s="20" t="s">
        <v>76</v>
      </c>
      <c r="M169" s="20" t="s">
        <v>71</v>
      </c>
      <c r="N169" s="20" t="s">
        <v>71</v>
      </c>
      <c r="O169" s="20" t="s">
        <v>71</v>
      </c>
      <c r="P169" s="20" t="s">
        <v>76</v>
      </c>
      <c r="Q169" s="20" t="s">
        <v>72</v>
      </c>
      <c r="R169" s="20" t="s">
        <v>76</v>
      </c>
      <c r="S169" s="20" t="s">
        <v>71</v>
      </c>
      <c r="T169" s="20" t="s">
        <v>71</v>
      </c>
      <c r="U169" s="20" t="s">
        <v>71</v>
      </c>
      <c r="V169" s="20" t="s">
        <v>71</v>
      </c>
      <c r="W169" s="20" t="s">
        <v>71</v>
      </c>
      <c r="X169" s="20" t="s">
        <v>71</v>
      </c>
      <c r="Y169" s="20" t="s">
        <v>72</v>
      </c>
      <c r="Z169" s="20" t="s">
        <v>76</v>
      </c>
      <c r="AA169" s="23" t="s">
        <v>80</v>
      </c>
      <c r="AB169" s="24" t="s">
        <v>1744</v>
      </c>
      <c r="AC169" s="25">
        <v>2</v>
      </c>
    </row>
    <row r="170" spans="1:29" ht="15" hidden="1" x14ac:dyDescent="0.2">
      <c r="A170">
        <v>32821469</v>
      </c>
      <c r="B170">
        <v>169</v>
      </c>
      <c r="C170" s="26" t="s">
        <v>1351</v>
      </c>
      <c r="D170" t="s">
        <v>1745</v>
      </c>
      <c r="E170">
        <v>3002609737</v>
      </c>
      <c r="F170" t="s">
        <v>1746</v>
      </c>
      <c r="G170" s="20" t="s">
        <v>1354</v>
      </c>
      <c r="H170" t="s">
        <v>1355</v>
      </c>
      <c r="I170" s="20" t="s">
        <v>1356</v>
      </c>
      <c r="J170" s="20" t="s">
        <v>71</v>
      </c>
      <c r="K170" s="20" t="s">
        <v>71</v>
      </c>
      <c r="L170" s="20" t="s">
        <v>71</v>
      </c>
      <c r="M170" s="20" t="s">
        <v>71</v>
      </c>
      <c r="N170" s="20" t="s">
        <v>71</v>
      </c>
      <c r="O170" s="20" t="s">
        <v>71</v>
      </c>
      <c r="P170" s="20" t="s">
        <v>71</v>
      </c>
      <c r="Q170" s="20" t="s">
        <v>71</v>
      </c>
      <c r="R170" s="20" t="s">
        <v>71</v>
      </c>
      <c r="S170" s="20" t="s">
        <v>71</v>
      </c>
      <c r="T170" s="20" t="s">
        <v>71</v>
      </c>
      <c r="U170" s="20" t="s">
        <v>71</v>
      </c>
      <c r="V170" s="20" t="s">
        <v>71</v>
      </c>
      <c r="W170" s="20" t="s">
        <v>71</v>
      </c>
      <c r="X170" s="20" t="s">
        <v>71</v>
      </c>
      <c r="Y170" s="20" t="s">
        <v>71</v>
      </c>
      <c r="Z170" s="20" t="s">
        <v>71</v>
      </c>
      <c r="AA170" s="27" t="s">
        <v>1367</v>
      </c>
      <c r="AB170" s="24" t="s">
        <v>1747</v>
      </c>
      <c r="AC170" s="25" t="s">
        <v>1367</v>
      </c>
    </row>
    <row r="171" spans="1:29" ht="15" hidden="1" x14ac:dyDescent="0.2">
      <c r="A171">
        <v>36594665</v>
      </c>
      <c r="B171">
        <v>170</v>
      </c>
      <c r="C171" s="26" t="s">
        <v>1351</v>
      </c>
      <c r="D171" t="s">
        <v>1610</v>
      </c>
      <c r="E171">
        <v>3042556832</v>
      </c>
      <c r="F171" t="s">
        <v>1748</v>
      </c>
      <c r="G171" s="20" t="s">
        <v>1354</v>
      </c>
      <c r="H171" t="s">
        <v>1355</v>
      </c>
      <c r="I171" s="20" t="s">
        <v>1363</v>
      </c>
      <c r="J171" s="20" t="s">
        <v>76</v>
      </c>
      <c r="K171" s="20" t="s">
        <v>76</v>
      </c>
      <c r="L171" s="20" t="s">
        <v>72</v>
      </c>
      <c r="M171" s="20" t="s">
        <v>71</v>
      </c>
      <c r="N171" s="20" t="s">
        <v>72</v>
      </c>
      <c r="O171" s="20" t="s">
        <v>72</v>
      </c>
      <c r="P171" s="20" t="s">
        <v>72</v>
      </c>
      <c r="Q171" s="20" t="s">
        <v>72</v>
      </c>
      <c r="R171" s="20" t="s">
        <v>72</v>
      </c>
      <c r="S171" s="20" t="s">
        <v>72</v>
      </c>
      <c r="T171" s="20" t="s">
        <v>72</v>
      </c>
      <c r="U171" s="20" t="s">
        <v>72</v>
      </c>
      <c r="V171" s="20" t="s">
        <v>72</v>
      </c>
      <c r="W171" s="20" t="s">
        <v>72</v>
      </c>
      <c r="X171" s="20" t="s">
        <v>71</v>
      </c>
      <c r="Y171" s="20" t="s">
        <v>72</v>
      </c>
      <c r="AA171" s="23" t="s">
        <v>91</v>
      </c>
      <c r="AB171" s="24" t="s">
        <v>1749</v>
      </c>
      <c r="AC171" s="25">
        <v>2</v>
      </c>
    </row>
    <row r="172" spans="1:29" ht="15" hidden="1" x14ac:dyDescent="0.2">
      <c r="A172">
        <v>32842694</v>
      </c>
      <c r="B172">
        <v>171</v>
      </c>
      <c r="C172" s="26" t="s">
        <v>1351</v>
      </c>
      <c r="D172" t="s">
        <v>1750</v>
      </c>
      <c r="E172">
        <v>3148003577</v>
      </c>
      <c r="F172" t="s">
        <v>1751</v>
      </c>
      <c r="G172" s="20" t="s">
        <v>1354</v>
      </c>
      <c r="H172" t="s">
        <v>1355</v>
      </c>
      <c r="I172" s="20" t="s">
        <v>1363</v>
      </c>
      <c r="J172" s="20" t="s">
        <v>71</v>
      </c>
      <c r="K172" s="20" t="s">
        <v>71</v>
      </c>
      <c r="Y172" s="20" t="s">
        <v>76</v>
      </c>
      <c r="AA172" s="23" t="s">
        <v>179</v>
      </c>
      <c r="AC172" s="25">
        <v>3</v>
      </c>
    </row>
    <row r="173" spans="1:29" ht="15" hidden="1" x14ac:dyDescent="0.2">
      <c r="A173">
        <v>7460942</v>
      </c>
      <c r="B173">
        <v>172</v>
      </c>
      <c r="C173" s="26" t="s">
        <v>1351</v>
      </c>
      <c r="D173" t="s">
        <v>1752</v>
      </c>
      <c r="E173">
        <v>3015556999</v>
      </c>
      <c r="F173" t="s">
        <v>1753</v>
      </c>
      <c r="G173" s="20" t="s">
        <v>1354</v>
      </c>
      <c r="H173" t="s">
        <v>1355</v>
      </c>
      <c r="I173" s="20" t="s">
        <v>1356</v>
      </c>
      <c r="J173" s="20" t="s">
        <v>71</v>
      </c>
      <c r="K173" s="20" t="s">
        <v>71</v>
      </c>
      <c r="L173" s="20" t="s">
        <v>76</v>
      </c>
      <c r="M173" s="20" t="s">
        <v>71</v>
      </c>
      <c r="N173" s="20" t="s">
        <v>76</v>
      </c>
      <c r="O173" s="20" t="s">
        <v>72</v>
      </c>
      <c r="P173" s="20" t="s">
        <v>72</v>
      </c>
      <c r="Q173" s="20" t="s">
        <v>72</v>
      </c>
      <c r="R173" s="20" t="s">
        <v>72</v>
      </c>
      <c r="S173" s="20" t="s">
        <v>72</v>
      </c>
      <c r="T173" s="20" t="s">
        <v>72</v>
      </c>
      <c r="U173" s="20" t="s">
        <v>76</v>
      </c>
      <c r="V173" s="20" t="s">
        <v>72</v>
      </c>
      <c r="W173" s="20" t="s">
        <v>72</v>
      </c>
      <c r="X173" s="20" t="s">
        <v>71</v>
      </c>
      <c r="Y173" s="20" t="s">
        <v>72</v>
      </c>
      <c r="Z173" s="20" t="s">
        <v>76</v>
      </c>
      <c r="AA173" s="23" t="s">
        <v>80</v>
      </c>
      <c r="AB173" s="24" t="s">
        <v>1754</v>
      </c>
      <c r="AC173" s="25">
        <v>2</v>
      </c>
    </row>
    <row r="174" spans="1:29" ht="15" hidden="1" x14ac:dyDescent="0.2">
      <c r="A174">
        <v>8739487</v>
      </c>
      <c r="B174">
        <v>173</v>
      </c>
      <c r="C174" s="26" t="s">
        <v>1351</v>
      </c>
      <c r="D174" t="s">
        <v>1755</v>
      </c>
      <c r="E174">
        <v>3013482225</v>
      </c>
      <c r="F174" t="s">
        <v>1756</v>
      </c>
      <c r="G174" s="20" t="s">
        <v>1354</v>
      </c>
      <c r="H174" t="s">
        <v>1355</v>
      </c>
      <c r="I174" s="20" t="s">
        <v>1363</v>
      </c>
      <c r="J174" s="20" t="s">
        <v>76</v>
      </c>
      <c r="K174" s="20" t="s">
        <v>76</v>
      </c>
      <c r="L174" s="20" t="s">
        <v>72</v>
      </c>
      <c r="M174" s="20" t="s">
        <v>71</v>
      </c>
      <c r="N174" s="20" t="s">
        <v>72</v>
      </c>
      <c r="O174" s="20" t="s">
        <v>72</v>
      </c>
      <c r="P174" s="20" t="s">
        <v>72</v>
      </c>
      <c r="Q174" s="20" t="s">
        <v>72</v>
      </c>
      <c r="R174" s="20" t="s">
        <v>72</v>
      </c>
      <c r="S174" s="20" t="s">
        <v>72</v>
      </c>
      <c r="T174" s="20" t="s">
        <v>72</v>
      </c>
      <c r="U174" s="20" t="s">
        <v>72</v>
      </c>
      <c r="V174" s="20" t="s">
        <v>72</v>
      </c>
      <c r="W174" s="20" t="s">
        <v>72</v>
      </c>
      <c r="X174" s="20" t="s">
        <v>72</v>
      </c>
      <c r="Y174" s="20" t="s">
        <v>72</v>
      </c>
      <c r="Z174" s="20" t="s">
        <v>72</v>
      </c>
      <c r="AA174" s="23" t="s">
        <v>91</v>
      </c>
      <c r="AB174" s="24" t="s">
        <v>1757</v>
      </c>
      <c r="AC174" s="25">
        <v>1</v>
      </c>
    </row>
    <row r="175" spans="1:29" ht="15" hidden="1" x14ac:dyDescent="0.2">
      <c r="A175">
        <v>32694900</v>
      </c>
      <c r="B175">
        <v>174</v>
      </c>
      <c r="C175" s="26" t="s">
        <v>1351</v>
      </c>
      <c r="D175" t="s">
        <v>1758</v>
      </c>
      <c r="E175">
        <v>3023671013</v>
      </c>
      <c r="F175" t="s">
        <v>1759</v>
      </c>
      <c r="G175" s="20" t="s">
        <v>1354</v>
      </c>
      <c r="H175" t="s">
        <v>1355</v>
      </c>
      <c r="I175" s="20" t="s">
        <v>1356</v>
      </c>
      <c r="J175" s="20" t="s">
        <v>76</v>
      </c>
      <c r="K175" s="20" t="s">
        <v>76</v>
      </c>
      <c r="L175" s="20" t="s">
        <v>76</v>
      </c>
      <c r="M175" s="20" t="s">
        <v>71</v>
      </c>
      <c r="N175" s="20" t="s">
        <v>76</v>
      </c>
      <c r="O175" s="20" t="s">
        <v>72</v>
      </c>
      <c r="P175" s="20" t="s">
        <v>72</v>
      </c>
      <c r="Q175" s="20" t="s">
        <v>72</v>
      </c>
      <c r="R175" s="20" t="s">
        <v>72</v>
      </c>
      <c r="S175" s="20" t="s">
        <v>72</v>
      </c>
      <c r="T175" s="20" t="s">
        <v>72</v>
      </c>
      <c r="U175" s="20" t="s">
        <v>71</v>
      </c>
      <c r="V175" s="20" t="s">
        <v>71</v>
      </c>
      <c r="W175" s="20" t="s">
        <v>71</v>
      </c>
      <c r="X175" s="20" t="s">
        <v>71</v>
      </c>
      <c r="Y175" s="20" t="s">
        <v>71</v>
      </c>
      <c r="Z175" s="20" t="s">
        <v>71</v>
      </c>
      <c r="AA175" s="23" t="s">
        <v>85</v>
      </c>
      <c r="AB175" s="24" t="s">
        <v>1760</v>
      </c>
      <c r="AC175" s="25">
        <v>2</v>
      </c>
    </row>
    <row r="176" spans="1:29" ht="15" hidden="1" x14ac:dyDescent="0.2">
      <c r="A176">
        <v>26757731</v>
      </c>
      <c r="B176">
        <v>175</v>
      </c>
      <c r="C176" s="26" t="s">
        <v>1351</v>
      </c>
      <c r="D176" t="s">
        <v>1761</v>
      </c>
      <c r="E176">
        <v>3004906689</v>
      </c>
      <c r="F176" t="s">
        <v>1762</v>
      </c>
      <c r="G176" s="20" t="s">
        <v>1354</v>
      </c>
      <c r="H176" t="s">
        <v>1355</v>
      </c>
      <c r="I176" s="20" t="s">
        <v>1363</v>
      </c>
      <c r="J176" s="20" t="s">
        <v>76</v>
      </c>
      <c r="K176" s="20" t="s">
        <v>76</v>
      </c>
      <c r="L176" s="20" t="s">
        <v>72</v>
      </c>
      <c r="M176" s="20" t="s">
        <v>71</v>
      </c>
      <c r="N176" s="20" t="s">
        <v>72</v>
      </c>
      <c r="O176" s="20" t="s">
        <v>72</v>
      </c>
      <c r="P176" s="20" t="s">
        <v>72</v>
      </c>
      <c r="Q176" s="20" t="s">
        <v>72</v>
      </c>
      <c r="R176" s="20" t="s">
        <v>72</v>
      </c>
      <c r="S176" s="20" t="s">
        <v>72</v>
      </c>
      <c r="T176" s="20" t="s">
        <v>72</v>
      </c>
      <c r="U176" s="20" t="s">
        <v>71</v>
      </c>
      <c r="V176" s="20" t="s">
        <v>76</v>
      </c>
      <c r="W176" s="20" t="s">
        <v>76</v>
      </c>
      <c r="X176" s="20" t="s">
        <v>72</v>
      </c>
      <c r="Y176" s="20" t="s">
        <v>72</v>
      </c>
      <c r="Z176" s="20" t="s">
        <v>76</v>
      </c>
      <c r="AA176" s="23" t="s">
        <v>91</v>
      </c>
      <c r="AC176" s="25">
        <v>2</v>
      </c>
    </row>
    <row r="177" spans="1:29" ht="15" hidden="1" x14ac:dyDescent="0.2">
      <c r="A177">
        <v>32684827</v>
      </c>
      <c r="B177">
        <v>176</v>
      </c>
      <c r="C177" s="26" t="s">
        <v>1351</v>
      </c>
      <c r="D177" t="s">
        <v>1763</v>
      </c>
      <c r="E177">
        <v>3246523535</v>
      </c>
      <c r="F177" t="s">
        <v>1764</v>
      </c>
      <c r="G177" s="20" t="s">
        <v>1354</v>
      </c>
      <c r="H177" t="s">
        <v>1355</v>
      </c>
      <c r="I177" s="20" t="s">
        <v>1363</v>
      </c>
      <c r="J177" s="20" t="s">
        <v>72</v>
      </c>
      <c r="K177" s="20" t="s">
        <v>72</v>
      </c>
      <c r="L177" s="20" t="s">
        <v>72</v>
      </c>
      <c r="M177" s="20" t="s">
        <v>71</v>
      </c>
      <c r="N177" s="20" t="s">
        <v>76</v>
      </c>
      <c r="O177" s="20" t="s">
        <v>76</v>
      </c>
      <c r="P177" s="20" t="s">
        <v>72</v>
      </c>
      <c r="Q177" s="20" t="s">
        <v>72</v>
      </c>
      <c r="R177" s="20" t="s">
        <v>76</v>
      </c>
      <c r="S177" s="20" t="s">
        <v>72</v>
      </c>
      <c r="T177" s="20" t="s">
        <v>72</v>
      </c>
      <c r="U177" s="20" t="s">
        <v>71</v>
      </c>
      <c r="V177" s="20" t="s">
        <v>71</v>
      </c>
      <c r="W177" s="20" t="s">
        <v>71</v>
      </c>
      <c r="X177" s="20" t="s">
        <v>71</v>
      </c>
      <c r="Y177" s="20" t="s">
        <v>71</v>
      </c>
      <c r="Z177" s="20" t="s">
        <v>71</v>
      </c>
      <c r="AA177" s="23" t="s">
        <v>85</v>
      </c>
      <c r="AB177" s="24" t="s">
        <v>1765</v>
      </c>
      <c r="AC177" s="25">
        <v>2</v>
      </c>
    </row>
    <row r="178" spans="1:29" ht="15" hidden="1" x14ac:dyDescent="0.2">
      <c r="A178">
        <v>22442480</v>
      </c>
      <c r="B178">
        <v>177</v>
      </c>
      <c r="C178" s="26" t="s">
        <v>1351</v>
      </c>
      <c r="D178" t="s">
        <v>1766</v>
      </c>
      <c r="E178">
        <v>3117584525</v>
      </c>
      <c r="F178" t="s">
        <v>1767</v>
      </c>
      <c r="G178" s="20" t="s">
        <v>1354</v>
      </c>
      <c r="H178" t="s">
        <v>1355</v>
      </c>
      <c r="I178" s="20" t="s">
        <v>1363</v>
      </c>
      <c r="J178" s="20" t="s">
        <v>71</v>
      </c>
      <c r="K178" s="20" t="s">
        <v>71</v>
      </c>
      <c r="L178" s="20" t="s">
        <v>72</v>
      </c>
      <c r="M178" s="20" t="s">
        <v>71</v>
      </c>
      <c r="N178" s="20" t="s">
        <v>71</v>
      </c>
      <c r="O178" s="20" t="s">
        <v>71</v>
      </c>
      <c r="P178" s="20" t="s">
        <v>71</v>
      </c>
      <c r="Q178" s="20" t="s">
        <v>72</v>
      </c>
      <c r="R178" s="20" t="s">
        <v>71</v>
      </c>
      <c r="S178" s="20" t="s">
        <v>72</v>
      </c>
      <c r="T178" s="20" t="s">
        <v>71</v>
      </c>
      <c r="U178" s="20" t="s">
        <v>71</v>
      </c>
      <c r="V178" s="20" t="s">
        <v>72</v>
      </c>
      <c r="W178" s="20" t="s">
        <v>72</v>
      </c>
      <c r="X178" s="20" t="s">
        <v>71</v>
      </c>
      <c r="Y178" s="20" t="s">
        <v>72</v>
      </c>
      <c r="Z178" s="20" t="s">
        <v>71</v>
      </c>
      <c r="AA178" s="23" t="s">
        <v>256</v>
      </c>
      <c r="AB178" s="24" t="s">
        <v>1768</v>
      </c>
      <c r="AC178" s="25">
        <v>2</v>
      </c>
    </row>
    <row r="179" spans="1:29" ht="15" hidden="1" x14ac:dyDescent="0.2">
      <c r="A179">
        <v>22738294</v>
      </c>
      <c r="B179">
        <v>178</v>
      </c>
      <c r="C179" s="26" t="s">
        <v>1351</v>
      </c>
      <c r="D179" t="s">
        <v>1769</v>
      </c>
      <c r="E179">
        <v>3245834296</v>
      </c>
      <c r="F179" t="s">
        <v>1770</v>
      </c>
      <c r="G179" s="20" t="s">
        <v>1354</v>
      </c>
      <c r="H179" t="s">
        <v>1355</v>
      </c>
      <c r="I179" s="20" t="s">
        <v>1356</v>
      </c>
      <c r="J179" s="20" t="s">
        <v>71</v>
      </c>
      <c r="K179" s="20" t="s">
        <v>71</v>
      </c>
      <c r="L179" s="20" t="s">
        <v>71</v>
      </c>
      <c r="M179" s="20" t="s">
        <v>71</v>
      </c>
      <c r="N179" s="20" t="s">
        <v>72</v>
      </c>
      <c r="O179" s="20" t="s">
        <v>72</v>
      </c>
      <c r="P179" s="20" t="s">
        <v>72</v>
      </c>
      <c r="Q179" s="20" t="s">
        <v>76</v>
      </c>
      <c r="R179" s="20" t="s">
        <v>72</v>
      </c>
      <c r="S179" s="20" t="s">
        <v>72</v>
      </c>
      <c r="T179" s="20" t="s">
        <v>72</v>
      </c>
      <c r="U179" s="20" t="s">
        <v>71</v>
      </c>
      <c r="V179" s="20" t="s">
        <v>71</v>
      </c>
      <c r="W179" s="20" t="s">
        <v>71</v>
      </c>
      <c r="X179" s="20" t="s">
        <v>71</v>
      </c>
      <c r="Y179" s="20" t="s">
        <v>71</v>
      </c>
      <c r="Z179" s="20" t="s">
        <v>71</v>
      </c>
      <c r="AA179" s="23" t="s">
        <v>256</v>
      </c>
      <c r="AB179" s="24" t="s">
        <v>1771</v>
      </c>
      <c r="AC179" s="25">
        <v>2</v>
      </c>
    </row>
    <row r="180" spans="1:29" ht="15" hidden="1" x14ac:dyDescent="0.2">
      <c r="A180">
        <v>22410576</v>
      </c>
      <c r="B180">
        <v>179</v>
      </c>
      <c r="C180" s="26" t="s">
        <v>1351</v>
      </c>
      <c r="D180" t="s">
        <v>1772</v>
      </c>
      <c r="E180">
        <v>3014937844</v>
      </c>
      <c r="F180" t="s">
        <v>1773</v>
      </c>
      <c r="G180" s="20" t="s">
        <v>1354</v>
      </c>
      <c r="H180" t="s">
        <v>1355</v>
      </c>
      <c r="I180" s="20" t="s">
        <v>1356</v>
      </c>
      <c r="J180" s="20" t="s">
        <v>71</v>
      </c>
      <c r="K180" s="20" t="s">
        <v>71</v>
      </c>
      <c r="L180" s="20" t="s">
        <v>71</v>
      </c>
      <c r="M180" s="20" t="s">
        <v>71</v>
      </c>
      <c r="N180" s="20" t="s">
        <v>71</v>
      </c>
      <c r="O180" s="20" t="s">
        <v>71</v>
      </c>
      <c r="P180" s="20" t="s">
        <v>71</v>
      </c>
      <c r="Q180" s="20" t="s">
        <v>71</v>
      </c>
      <c r="R180" s="20" t="s">
        <v>71</v>
      </c>
      <c r="S180" s="20" t="s">
        <v>71</v>
      </c>
      <c r="T180" s="20" t="s">
        <v>71</v>
      </c>
      <c r="U180" s="20" t="s">
        <v>71</v>
      </c>
      <c r="V180" s="20" t="s">
        <v>71</v>
      </c>
      <c r="W180" s="20" t="s">
        <v>71</v>
      </c>
      <c r="X180" s="20" t="s">
        <v>71</v>
      </c>
      <c r="Y180" s="20" t="s">
        <v>71</v>
      </c>
      <c r="Z180" s="20" t="s">
        <v>71</v>
      </c>
      <c r="AA180" s="27" t="s">
        <v>1367</v>
      </c>
      <c r="AB180" s="24" t="s">
        <v>1774</v>
      </c>
      <c r="AC180" s="25" t="s">
        <v>1367</v>
      </c>
    </row>
    <row r="181" spans="1:29" ht="15" hidden="1" x14ac:dyDescent="0.2">
      <c r="A181">
        <v>72184735</v>
      </c>
      <c r="B181">
        <v>180</v>
      </c>
      <c r="C181" s="26" t="s">
        <v>1351</v>
      </c>
      <c r="D181" t="s">
        <v>1775</v>
      </c>
      <c r="E181">
        <v>3043106011</v>
      </c>
      <c r="F181" t="s">
        <v>1776</v>
      </c>
      <c r="G181" s="20" t="s">
        <v>1354</v>
      </c>
      <c r="H181" t="s">
        <v>1355</v>
      </c>
      <c r="I181" s="20" t="s">
        <v>1356</v>
      </c>
      <c r="J181" s="20" t="s">
        <v>71</v>
      </c>
      <c r="K181" s="20" t="s">
        <v>71</v>
      </c>
      <c r="L181" s="20" t="s">
        <v>71</v>
      </c>
      <c r="M181" s="20" t="s">
        <v>71</v>
      </c>
      <c r="N181" s="20" t="s">
        <v>71</v>
      </c>
      <c r="O181" s="20" t="s">
        <v>71</v>
      </c>
      <c r="P181" s="20" t="s">
        <v>71</v>
      </c>
      <c r="Q181" s="20" t="s">
        <v>71</v>
      </c>
      <c r="R181" s="20" t="s">
        <v>71</v>
      </c>
      <c r="S181" s="20" t="s">
        <v>71</v>
      </c>
      <c r="T181" s="20" t="s">
        <v>71</v>
      </c>
      <c r="U181" s="20" t="s">
        <v>71</v>
      </c>
      <c r="V181" s="20" t="s">
        <v>71</v>
      </c>
      <c r="W181" s="20" t="s">
        <v>71</v>
      </c>
      <c r="X181" s="20" t="s">
        <v>71</v>
      </c>
      <c r="Y181" s="20" t="s">
        <v>71</v>
      </c>
      <c r="Z181" s="20" t="s">
        <v>71</v>
      </c>
      <c r="AA181" s="27" t="s">
        <v>1367</v>
      </c>
      <c r="AB181" s="24" t="s">
        <v>1570</v>
      </c>
      <c r="AC181" s="25" t="s">
        <v>1367</v>
      </c>
    </row>
    <row r="182" spans="1:29" ht="15" hidden="1" x14ac:dyDescent="0.2">
      <c r="A182">
        <v>8695283</v>
      </c>
      <c r="B182">
        <v>181</v>
      </c>
      <c r="C182" s="26" t="s">
        <v>1351</v>
      </c>
      <c r="D182" t="s">
        <v>1777</v>
      </c>
      <c r="E182">
        <v>3016890503</v>
      </c>
      <c r="F182" t="s">
        <v>1778</v>
      </c>
      <c r="G182" s="20" t="s">
        <v>1354</v>
      </c>
      <c r="H182" t="s">
        <v>1355</v>
      </c>
      <c r="I182" s="20" t="s">
        <v>1356</v>
      </c>
      <c r="J182" s="20" t="s">
        <v>76</v>
      </c>
      <c r="K182" s="20" t="s">
        <v>76</v>
      </c>
      <c r="L182" s="20" t="s">
        <v>72</v>
      </c>
      <c r="M182" s="20" t="s">
        <v>71</v>
      </c>
      <c r="N182" s="20" t="s">
        <v>72</v>
      </c>
      <c r="O182" s="20" t="s">
        <v>72</v>
      </c>
      <c r="P182" s="20" t="s">
        <v>72</v>
      </c>
      <c r="Q182" s="20" t="s">
        <v>72</v>
      </c>
      <c r="R182" s="20" t="s">
        <v>72</v>
      </c>
      <c r="S182" s="20" t="s">
        <v>72</v>
      </c>
      <c r="T182" s="20" t="s">
        <v>72</v>
      </c>
      <c r="U182" s="20" t="s">
        <v>71</v>
      </c>
      <c r="V182" s="20" t="s">
        <v>71</v>
      </c>
      <c r="W182" s="20" t="s">
        <v>71</v>
      </c>
      <c r="X182" s="20" t="s">
        <v>71</v>
      </c>
      <c r="Y182" s="20" t="s">
        <v>71</v>
      </c>
      <c r="Z182" s="20" t="s">
        <v>71</v>
      </c>
      <c r="AA182" s="27" t="s">
        <v>85</v>
      </c>
      <c r="AB182" s="24" t="s">
        <v>1779</v>
      </c>
      <c r="AC182" s="25">
        <v>2</v>
      </c>
    </row>
    <row r="183" spans="1:29" ht="15" hidden="1" x14ac:dyDescent="0.2">
      <c r="A183">
        <v>12593159</v>
      </c>
      <c r="B183">
        <v>182</v>
      </c>
      <c r="C183" s="26" t="s">
        <v>1351</v>
      </c>
      <c r="D183" t="s">
        <v>1780</v>
      </c>
      <c r="E183">
        <v>3014400357</v>
      </c>
      <c r="F183" t="s">
        <v>1781</v>
      </c>
      <c r="G183" s="20" t="s">
        <v>1354</v>
      </c>
      <c r="H183" t="s">
        <v>1355</v>
      </c>
      <c r="I183" s="20" t="s">
        <v>1363</v>
      </c>
      <c r="J183" s="20" t="s">
        <v>71</v>
      </c>
      <c r="K183" s="20" t="s">
        <v>71</v>
      </c>
      <c r="L183" s="20" t="s">
        <v>72</v>
      </c>
      <c r="M183" s="20" t="s">
        <v>71</v>
      </c>
      <c r="N183" s="20" t="s">
        <v>72</v>
      </c>
      <c r="O183" s="20" t="s">
        <v>72</v>
      </c>
      <c r="P183" s="20" t="s">
        <v>72</v>
      </c>
      <c r="Q183" s="20" t="s">
        <v>72</v>
      </c>
      <c r="R183" s="20" t="s">
        <v>72</v>
      </c>
      <c r="S183" s="20" t="s">
        <v>72</v>
      </c>
      <c r="T183" s="20" t="s">
        <v>72</v>
      </c>
      <c r="U183" s="20" t="s">
        <v>71</v>
      </c>
      <c r="V183" s="20" t="s">
        <v>76</v>
      </c>
      <c r="W183" s="20" t="s">
        <v>76</v>
      </c>
      <c r="X183" s="20" t="s">
        <v>71</v>
      </c>
      <c r="Y183" s="20" t="s">
        <v>72</v>
      </c>
      <c r="Z183" s="20" t="s">
        <v>71</v>
      </c>
      <c r="AA183" s="23" t="s">
        <v>80</v>
      </c>
      <c r="AC183" s="25">
        <v>2</v>
      </c>
    </row>
    <row r="184" spans="1:29" ht="15" hidden="1" x14ac:dyDescent="0.2">
      <c r="A184">
        <v>72213150</v>
      </c>
      <c r="B184">
        <v>183</v>
      </c>
      <c r="C184" s="26" t="s">
        <v>1351</v>
      </c>
      <c r="D184" t="s">
        <v>1782</v>
      </c>
      <c r="E184">
        <v>3008712129</v>
      </c>
      <c r="F184" t="s">
        <v>1783</v>
      </c>
      <c r="G184" s="20" t="s">
        <v>1354</v>
      </c>
      <c r="H184" t="s">
        <v>1355</v>
      </c>
      <c r="I184" s="20" t="s">
        <v>1363</v>
      </c>
      <c r="J184" s="20" t="s">
        <v>76</v>
      </c>
      <c r="K184" s="20" t="s">
        <v>76</v>
      </c>
      <c r="L184" s="20" t="s">
        <v>71</v>
      </c>
      <c r="M184" s="20" t="s">
        <v>71</v>
      </c>
      <c r="N184" s="20" t="s">
        <v>71</v>
      </c>
      <c r="O184" s="20" t="s">
        <v>71</v>
      </c>
      <c r="P184" s="20" t="s">
        <v>71</v>
      </c>
      <c r="Q184" s="20" t="s">
        <v>71</v>
      </c>
      <c r="R184" s="20" t="s">
        <v>71</v>
      </c>
      <c r="S184" s="20" t="s">
        <v>71</v>
      </c>
      <c r="T184" s="20" t="s">
        <v>71</v>
      </c>
      <c r="U184" s="20" t="s">
        <v>72</v>
      </c>
      <c r="V184" s="20" t="s">
        <v>72</v>
      </c>
      <c r="W184" s="20" t="s">
        <v>72</v>
      </c>
      <c r="X184" s="20" t="s">
        <v>72</v>
      </c>
      <c r="Y184" s="20" t="s">
        <v>72</v>
      </c>
      <c r="Z184" s="20" t="s">
        <v>72</v>
      </c>
      <c r="AA184" s="23" t="s">
        <v>77</v>
      </c>
      <c r="AB184" s="24" t="s">
        <v>1784</v>
      </c>
      <c r="AC184" s="25">
        <v>2</v>
      </c>
    </row>
    <row r="185" spans="1:29" ht="15" hidden="1" x14ac:dyDescent="0.2">
      <c r="A185">
        <v>10885223</v>
      </c>
      <c r="B185">
        <v>184</v>
      </c>
      <c r="C185" s="26" t="s">
        <v>1351</v>
      </c>
      <c r="D185" t="s">
        <v>1645</v>
      </c>
      <c r="E185">
        <v>301220162</v>
      </c>
      <c r="F185" t="s">
        <v>1785</v>
      </c>
      <c r="G185" s="20" t="s">
        <v>1354</v>
      </c>
      <c r="H185" t="s">
        <v>1355</v>
      </c>
      <c r="I185" s="20" t="s">
        <v>1363</v>
      </c>
      <c r="J185" s="20" t="s">
        <v>71</v>
      </c>
      <c r="K185" s="20" t="s">
        <v>71</v>
      </c>
      <c r="AA185" s="27" t="s">
        <v>1367</v>
      </c>
      <c r="AB185" s="24" t="s">
        <v>1786</v>
      </c>
      <c r="AC185" s="25" t="s">
        <v>1367</v>
      </c>
    </row>
    <row r="186" spans="1:29" ht="15" hidden="1" x14ac:dyDescent="0.2">
      <c r="A186">
        <v>1002026183</v>
      </c>
      <c r="B186">
        <v>185</v>
      </c>
      <c r="C186" s="26" t="s">
        <v>1351</v>
      </c>
      <c r="D186" t="s">
        <v>1787</v>
      </c>
      <c r="E186">
        <v>3128838693</v>
      </c>
      <c r="F186" t="s">
        <v>1788</v>
      </c>
      <c r="G186" s="20" t="s">
        <v>1354</v>
      </c>
      <c r="H186" t="s">
        <v>1355</v>
      </c>
      <c r="I186" s="20" t="s">
        <v>1363</v>
      </c>
      <c r="J186" s="20" t="s">
        <v>76</v>
      </c>
      <c r="K186" s="20" t="s">
        <v>76</v>
      </c>
      <c r="L186" s="20" t="s">
        <v>71</v>
      </c>
      <c r="M186" s="20" t="s">
        <v>71</v>
      </c>
      <c r="N186" s="20" t="s">
        <v>76</v>
      </c>
      <c r="O186" s="20" t="s">
        <v>72</v>
      </c>
      <c r="P186" s="20" t="s">
        <v>72</v>
      </c>
      <c r="Q186" s="20" t="s">
        <v>71</v>
      </c>
      <c r="R186" s="20" t="s">
        <v>72</v>
      </c>
      <c r="S186" s="20" t="s">
        <v>72</v>
      </c>
      <c r="T186" s="20" t="s">
        <v>72</v>
      </c>
      <c r="U186" s="20" t="s">
        <v>71</v>
      </c>
      <c r="V186" s="20" t="s">
        <v>76</v>
      </c>
      <c r="W186" s="20" t="s">
        <v>76</v>
      </c>
      <c r="X186" s="20" t="s">
        <v>71</v>
      </c>
      <c r="Y186" s="20" t="s">
        <v>72</v>
      </c>
      <c r="Z186" s="20" t="s">
        <v>71</v>
      </c>
      <c r="AA186" s="23" t="s">
        <v>91</v>
      </c>
      <c r="AC186" s="25">
        <v>2</v>
      </c>
    </row>
    <row r="187" spans="1:29" ht="15" hidden="1" x14ac:dyDescent="0.2">
      <c r="A187">
        <v>8793580</v>
      </c>
      <c r="B187">
        <v>186</v>
      </c>
      <c r="C187" s="26" t="s">
        <v>1351</v>
      </c>
      <c r="D187" t="s">
        <v>1789</v>
      </c>
      <c r="E187">
        <v>3004957339</v>
      </c>
      <c r="F187" t="s">
        <v>1790</v>
      </c>
      <c r="G187" s="20" t="s">
        <v>1354</v>
      </c>
      <c r="H187" t="s">
        <v>1355</v>
      </c>
      <c r="I187" s="20" t="s">
        <v>1363</v>
      </c>
      <c r="J187" s="20" t="s">
        <v>71</v>
      </c>
      <c r="K187" s="20" t="s">
        <v>71</v>
      </c>
      <c r="L187" s="20" t="s">
        <v>71</v>
      </c>
      <c r="M187" s="20" t="s">
        <v>71</v>
      </c>
      <c r="N187" s="20" t="s">
        <v>71</v>
      </c>
      <c r="O187" s="20" t="s">
        <v>71</v>
      </c>
      <c r="P187" s="20" t="s">
        <v>71</v>
      </c>
      <c r="Q187" s="20" t="s">
        <v>71</v>
      </c>
      <c r="R187" s="20" t="s">
        <v>71</v>
      </c>
      <c r="S187" s="20" t="s">
        <v>71</v>
      </c>
      <c r="T187" s="20" t="s">
        <v>71</v>
      </c>
      <c r="U187" s="20" t="s">
        <v>76</v>
      </c>
      <c r="V187" s="20" t="s">
        <v>72</v>
      </c>
      <c r="W187" s="20" t="s">
        <v>72</v>
      </c>
      <c r="X187" s="20" t="s">
        <v>72</v>
      </c>
      <c r="Y187" s="20" t="s">
        <v>72</v>
      </c>
      <c r="Z187" s="20" t="s">
        <v>72</v>
      </c>
      <c r="AA187" s="23" t="s">
        <v>179</v>
      </c>
      <c r="AB187" s="24" t="s">
        <v>1791</v>
      </c>
      <c r="AC187" s="25">
        <v>3</v>
      </c>
    </row>
    <row r="188" spans="1:29" ht="15" hidden="1" x14ac:dyDescent="0.2">
      <c r="A188">
        <v>1747298</v>
      </c>
      <c r="B188">
        <v>187</v>
      </c>
      <c r="C188" s="26" t="s">
        <v>1351</v>
      </c>
      <c r="D188" t="s">
        <v>1792</v>
      </c>
      <c r="E188">
        <v>3105086036</v>
      </c>
      <c r="F188" t="s">
        <v>1793</v>
      </c>
      <c r="G188" s="20" t="s">
        <v>1354</v>
      </c>
      <c r="H188" t="s">
        <v>1355</v>
      </c>
      <c r="I188" s="20" t="s">
        <v>1363</v>
      </c>
      <c r="J188" s="20" t="s">
        <v>71</v>
      </c>
      <c r="K188" s="20" t="s">
        <v>71</v>
      </c>
      <c r="L188" s="20" t="s">
        <v>76</v>
      </c>
      <c r="M188" s="20" t="s">
        <v>71</v>
      </c>
      <c r="N188" s="20" t="s">
        <v>76</v>
      </c>
      <c r="O188" s="20" t="s">
        <v>72</v>
      </c>
      <c r="P188" s="20" t="s">
        <v>72</v>
      </c>
      <c r="Q188" s="20" t="s">
        <v>71</v>
      </c>
      <c r="R188" s="20" t="s">
        <v>72</v>
      </c>
      <c r="S188" s="20" t="s">
        <v>72</v>
      </c>
      <c r="T188" s="20" t="s">
        <v>72</v>
      </c>
      <c r="U188" s="20" t="s">
        <v>71</v>
      </c>
      <c r="V188" s="20" t="s">
        <v>71</v>
      </c>
      <c r="W188" s="20" t="s">
        <v>71</v>
      </c>
      <c r="X188" s="20" t="s">
        <v>71</v>
      </c>
      <c r="Y188" s="20" t="s">
        <v>71</v>
      </c>
      <c r="Z188" s="20" t="s">
        <v>71</v>
      </c>
      <c r="AA188" s="23" t="s">
        <v>256</v>
      </c>
      <c r="AB188" s="24" t="s">
        <v>1794</v>
      </c>
      <c r="AC188" s="25">
        <v>2</v>
      </c>
    </row>
    <row r="189" spans="1:29" ht="15" hidden="1" x14ac:dyDescent="0.2">
      <c r="A189">
        <v>32661700</v>
      </c>
      <c r="B189">
        <v>188</v>
      </c>
      <c r="C189" s="26" t="s">
        <v>1351</v>
      </c>
      <c r="D189" t="s">
        <v>1795</v>
      </c>
      <c r="E189">
        <v>3242282887</v>
      </c>
      <c r="F189" t="s">
        <v>1796</v>
      </c>
      <c r="G189" s="20" t="s">
        <v>1354</v>
      </c>
      <c r="H189" t="s">
        <v>1355</v>
      </c>
      <c r="I189" s="20" t="s">
        <v>1363</v>
      </c>
      <c r="J189" s="20" t="s">
        <v>72</v>
      </c>
      <c r="K189" s="20" t="s">
        <v>72</v>
      </c>
      <c r="L189" s="20" t="s">
        <v>72</v>
      </c>
      <c r="M189" s="20" t="s">
        <v>71</v>
      </c>
      <c r="N189" s="20" t="s">
        <v>72</v>
      </c>
      <c r="O189" s="20" t="s">
        <v>72</v>
      </c>
      <c r="P189" s="20" t="s">
        <v>72</v>
      </c>
      <c r="Q189" s="20" t="s">
        <v>72</v>
      </c>
      <c r="R189" s="20" t="s">
        <v>72</v>
      </c>
      <c r="S189" s="20" t="s">
        <v>72</v>
      </c>
      <c r="T189" s="20" t="s">
        <v>72</v>
      </c>
      <c r="U189" s="20" t="s">
        <v>72</v>
      </c>
      <c r="V189" s="20" t="s">
        <v>72</v>
      </c>
      <c r="W189" s="20" t="s">
        <v>72</v>
      </c>
      <c r="X189" s="20" t="s">
        <v>72</v>
      </c>
      <c r="Y189" s="20" t="s">
        <v>72</v>
      </c>
      <c r="Z189" s="20" t="s">
        <v>72</v>
      </c>
      <c r="AA189" s="23" t="s">
        <v>91</v>
      </c>
      <c r="AC189" s="25">
        <v>1</v>
      </c>
    </row>
    <row r="190" spans="1:29" ht="15" hidden="1" x14ac:dyDescent="0.2">
      <c r="A190">
        <v>64479725</v>
      </c>
      <c r="B190">
        <v>189</v>
      </c>
      <c r="C190" s="26" t="s">
        <v>1351</v>
      </c>
      <c r="D190" t="s">
        <v>1797</v>
      </c>
      <c r="E190">
        <v>3012580378</v>
      </c>
      <c r="F190" t="s">
        <v>1798</v>
      </c>
      <c r="G190" s="20" t="s">
        <v>1354</v>
      </c>
      <c r="H190" t="s">
        <v>1355</v>
      </c>
      <c r="I190" s="20" t="s">
        <v>1356</v>
      </c>
      <c r="J190" s="20" t="s">
        <v>71</v>
      </c>
      <c r="K190" s="20" t="s">
        <v>71</v>
      </c>
      <c r="L190" s="20" t="s">
        <v>72</v>
      </c>
      <c r="M190" s="20" t="s">
        <v>71</v>
      </c>
      <c r="N190" s="20" t="s">
        <v>72</v>
      </c>
      <c r="O190" s="20" t="s">
        <v>72</v>
      </c>
      <c r="P190" s="20" t="s">
        <v>72</v>
      </c>
      <c r="Q190" s="20" t="s">
        <v>72</v>
      </c>
      <c r="R190" s="20" t="s">
        <v>72</v>
      </c>
      <c r="S190" s="20" t="s">
        <v>72</v>
      </c>
      <c r="T190" s="20" t="s">
        <v>72</v>
      </c>
      <c r="U190" s="20" t="s">
        <v>71</v>
      </c>
      <c r="V190" s="20" t="s">
        <v>72</v>
      </c>
      <c r="W190" s="20" t="s">
        <v>72</v>
      </c>
      <c r="X190" s="20" t="s">
        <v>71</v>
      </c>
      <c r="Y190" s="20" t="s">
        <v>72</v>
      </c>
      <c r="Z190" s="20" t="s">
        <v>76</v>
      </c>
      <c r="AA190" s="23" t="s">
        <v>80</v>
      </c>
      <c r="AB190" s="24" t="s">
        <v>1799</v>
      </c>
      <c r="AC190" s="25">
        <v>2</v>
      </c>
    </row>
    <row r="191" spans="1:29" ht="15" hidden="1" x14ac:dyDescent="0.2">
      <c r="A191">
        <v>22645705</v>
      </c>
      <c r="B191">
        <v>190</v>
      </c>
      <c r="C191" s="26" t="s">
        <v>1351</v>
      </c>
      <c r="D191" t="s">
        <v>1800</v>
      </c>
      <c r="E191">
        <v>3003395041</v>
      </c>
      <c r="F191" t="s">
        <v>1801</v>
      </c>
      <c r="G191" s="20" t="s">
        <v>1354</v>
      </c>
      <c r="H191" t="s">
        <v>1355</v>
      </c>
      <c r="I191" s="20" t="s">
        <v>1356</v>
      </c>
      <c r="J191" s="20" t="s">
        <v>71</v>
      </c>
      <c r="K191" s="20" t="s">
        <v>71</v>
      </c>
      <c r="L191" s="20" t="s">
        <v>71</v>
      </c>
      <c r="M191" s="20" t="s">
        <v>71</v>
      </c>
      <c r="N191" s="20" t="s">
        <v>71</v>
      </c>
      <c r="O191" s="20" t="s">
        <v>71</v>
      </c>
      <c r="P191" s="20" t="s">
        <v>71</v>
      </c>
      <c r="Q191" s="20" t="s">
        <v>71</v>
      </c>
      <c r="R191" s="20" t="s">
        <v>71</v>
      </c>
      <c r="S191" s="20" t="s">
        <v>71</v>
      </c>
      <c r="T191" s="20" t="s">
        <v>71</v>
      </c>
      <c r="U191" s="20" t="s">
        <v>71</v>
      </c>
      <c r="V191" s="20" t="s">
        <v>71</v>
      </c>
      <c r="W191" s="20" t="s">
        <v>71</v>
      </c>
      <c r="X191" s="20" t="s">
        <v>71</v>
      </c>
      <c r="Y191" s="20" t="s">
        <v>72</v>
      </c>
      <c r="Z191" s="20" t="s">
        <v>76</v>
      </c>
      <c r="AA191" s="27" t="s">
        <v>179</v>
      </c>
      <c r="AB191" s="24" t="s">
        <v>1802</v>
      </c>
      <c r="AC191" s="25">
        <v>3</v>
      </c>
    </row>
    <row r="192" spans="1:29" ht="15" hidden="1" x14ac:dyDescent="0.2">
      <c r="A192">
        <v>65747539</v>
      </c>
      <c r="B192">
        <v>191</v>
      </c>
      <c r="C192" s="26" t="s">
        <v>1351</v>
      </c>
      <c r="D192" t="s">
        <v>1803</v>
      </c>
      <c r="E192">
        <v>3014557573</v>
      </c>
      <c r="F192" t="s">
        <v>1804</v>
      </c>
      <c r="G192" s="20" t="s">
        <v>1354</v>
      </c>
      <c r="H192" t="s">
        <v>1355</v>
      </c>
      <c r="I192" s="20" t="s">
        <v>1363</v>
      </c>
      <c r="J192" s="20" t="s">
        <v>71</v>
      </c>
      <c r="K192" s="20" t="s">
        <v>71</v>
      </c>
      <c r="L192" s="20" t="s">
        <v>72</v>
      </c>
      <c r="M192" s="20" t="s">
        <v>71</v>
      </c>
      <c r="N192" s="20" t="s">
        <v>76</v>
      </c>
      <c r="O192" s="20" t="s">
        <v>71</v>
      </c>
      <c r="P192" s="20" t="s">
        <v>72</v>
      </c>
      <c r="Q192" s="20" t="s">
        <v>72</v>
      </c>
      <c r="R192" s="20" t="s">
        <v>76</v>
      </c>
      <c r="S192" s="20" t="s">
        <v>72</v>
      </c>
      <c r="T192" s="20" t="s">
        <v>72</v>
      </c>
      <c r="U192" s="20" t="s">
        <v>71</v>
      </c>
      <c r="V192" s="20" t="s">
        <v>71</v>
      </c>
      <c r="W192" s="20" t="s">
        <v>76</v>
      </c>
      <c r="X192" s="20" t="s">
        <v>71</v>
      </c>
      <c r="Y192" s="20" t="s">
        <v>71</v>
      </c>
      <c r="Z192" s="20" t="s">
        <v>76</v>
      </c>
      <c r="AA192" s="23" t="s">
        <v>80</v>
      </c>
      <c r="AB192" s="24" t="s">
        <v>1805</v>
      </c>
      <c r="AC192" s="25">
        <v>2</v>
      </c>
    </row>
    <row r="193" spans="1:29" ht="15" hidden="1" x14ac:dyDescent="0.2">
      <c r="A193">
        <v>1047222969</v>
      </c>
      <c r="B193">
        <v>192</v>
      </c>
      <c r="C193" s="26" t="s">
        <v>1351</v>
      </c>
      <c r="D193" t="s">
        <v>1806</v>
      </c>
      <c r="E193">
        <v>302220403</v>
      </c>
      <c r="F193" t="s">
        <v>1807</v>
      </c>
      <c r="G193" s="20" t="s">
        <v>1354</v>
      </c>
      <c r="H193" t="s">
        <v>1355</v>
      </c>
      <c r="I193" s="20" t="s">
        <v>1363</v>
      </c>
      <c r="J193" s="20" t="s">
        <v>76</v>
      </c>
      <c r="K193" s="20" t="s">
        <v>76</v>
      </c>
      <c r="L193" s="20" t="s">
        <v>72</v>
      </c>
      <c r="M193" s="20" t="s">
        <v>71</v>
      </c>
      <c r="N193" s="20" t="s">
        <v>72</v>
      </c>
      <c r="O193" s="20" t="s">
        <v>72</v>
      </c>
      <c r="P193" s="20" t="s">
        <v>72</v>
      </c>
      <c r="Q193" s="20" t="s">
        <v>72</v>
      </c>
      <c r="R193" s="20" t="s">
        <v>72</v>
      </c>
      <c r="S193" s="20" t="s">
        <v>72</v>
      </c>
      <c r="T193" s="20" t="s">
        <v>72</v>
      </c>
      <c r="U193" s="20" t="s">
        <v>76</v>
      </c>
      <c r="V193" s="20" t="s">
        <v>76</v>
      </c>
      <c r="W193" s="20" t="s">
        <v>76</v>
      </c>
      <c r="X193" s="20" t="s">
        <v>72</v>
      </c>
      <c r="Y193" s="20" t="s">
        <v>72</v>
      </c>
      <c r="Z193" s="20" t="s">
        <v>72</v>
      </c>
      <c r="AA193" s="23" t="s">
        <v>91</v>
      </c>
      <c r="AB193" s="24" t="s">
        <v>1808</v>
      </c>
      <c r="AC193" s="25">
        <v>2</v>
      </c>
    </row>
    <row r="194" spans="1:29" ht="15" hidden="1" x14ac:dyDescent="0.2">
      <c r="A194">
        <v>32635477</v>
      </c>
      <c r="B194">
        <v>193</v>
      </c>
      <c r="C194" s="26" t="s">
        <v>1351</v>
      </c>
      <c r="D194" t="s">
        <v>1809</v>
      </c>
      <c r="E194">
        <v>3217700778</v>
      </c>
      <c r="F194" t="s">
        <v>1810</v>
      </c>
      <c r="G194" s="20" t="s">
        <v>1354</v>
      </c>
      <c r="H194" t="s">
        <v>1355</v>
      </c>
      <c r="I194" s="20" t="s">
        <v>1363</v>
      </c>
      <c r="J194" s="20" t="s">
        <v>72</v>
      </c>
      <c r="K194" s="20" t="s">
        <v>72</v>
      </c>
      <c r="L194" s="20" t="s">
        <v>72</v>
      </c>
      <c r="M194" s="20" t="s">
        <v>71</v>
      </c>
      <c r="N194" s="20" t="s">
        <v>72</v>
      </c>
      <c r="O194" s="20" t="s">
        <v>72</v>
      </c>
      <c r="P194" s="20" t="s">
        <v>72</v>
      </c>
      <c r="Q194" s="20" t="s">
        <v>72</v>
      </c>
      <c r="R194" s="20" t="s">
        <v>72</v>
      </c>
      <c r="S194" s="20" t="s">
        <v>72</v>
      </c>
      <c r="T194" s="20" t="s">
        <v>72</v>
      </c>
      <c r="U194" s="20" t="s">
        <v>71</v>
      </c>
      <c r="V194" s="20" t="s">
        <v>76</v>
      </c>
      <c r="W194" s="20" t="s">
        <v>76</v>
      </c>
      <c r="X194" s="20" t="s">
        <v>71</v>
      </c>
      <c r="Y194" s="20" t="s">
        <v>72</v>
      </c>
      <c r="Z194" s="20" t="s">
        <v>71</v>
      </c>
      <c r="AA194" s="23" t="s">
        <v>91</v>
      </c>
      <c r="AC194" s="25">
        <v>2</v>
      </c>
    </row>
    <row r="195" spans="1:29" ht="15" hidden="1" x14ac:dyDescent="0.2">
      <c r="A195">
        <v>1143125383</v>
      </c>
      <c r="B195">
        <v>194</v>
      </c>
      <c r="C195" s="26" t="s">
        <v>1351</v>
      </c>
      <c r="D195" t="s">
        <v>1811</v>
      </c>
      <c r="E195">
        <v>3004920754</v>
      </c>
      <c r="F195" t="s">
        <v>1812</v>
      </c>
      <c r="G195" s="20" t="s">
        <v>1354</v>
      </c>
      <c r="H195" t="s">
        <v>1355</v>
      </c>
      <c r="I195" s="20" t="s">
        <v>1363</v>
      </c>
      <c r="J195" s="20" t="s">
        <v>71</v>
      </c>
      <c r="K195" s="20" t="s">
        <v>71</v>
      </c>
      <c r="L195" s="20" t="s">
        <v>76</v>
      </c>
      <c r="M195" s="20" t="s">
        <v>71</v>
      </c>
      <c r="N195" s="20" t="s">
        <v>76</v>
      </c>
      <c r="O195" s="20" t="s">
        <v>72</v>
      </c>
      <c r="P195" s="20" t="s">
        <v>72</v>
      </c>
      <c r="Q195" s="20" t="s">
        <v>71</v>
      </c>
      <c r="R195" s="20" t="s">
        <v>72</v>
      </c>
      <c r="S195" s="20" t="s">
        <v>72</v>
      </c>
      <c r="T195" s="20" t="s">
        <v>72</v>
      </c>
      <c r="U195" s="20" t="s">
        <v>76</v>
      </c>
      <c r="V195" s="20" t="s">
        <v>76</v>
      </c>
      <c r="W195" s="20" t="s">
        <v>76</v>
      </c>
      <c r="X195" s="20" t="s">
        <v>71</v>
      </c>
      <c r="Y195" s="20" t="s">
        <v>76</v>
      </c>
      <c r="Z195" s="20" t="s">
        <v>76</v>
      </c>
      <c r="AA195" s="23" t="s">
        <v>80</v>
      </c>
      <c r="AB195" s="24" t="s">
        <v>1813</v>
      </c>
      <c r="AC195" s="25">
        <v>2</v>
      </c>
    </row>
    <row r="196" spans="1:29" ht="15" hidden="1" x14ac:dyDescent="0.2">
      <c r="A196">
        <v>72256249</v>
      </c>
      <c r="B196">
        <v>195</v>
      </c>
      <c r="C196" s="26" t="s">
        <v>1351</v>
      </c>
      <c r="D196" t="s">
        <v>1814</v>
      </c>
      <c r="E196">
        <v>3135614847</v>
      </c>
      <c r="F196" t="s">
        <v>1815</v>
      </c>
      <c r="G196" s="20" t="s">
        <v>1354</v>
      </c>
      <c r="H196" t="s">
        <v>1355</v>
      </c>
      <c r="I196" s="20" t="s">
        <v>1363</v>
      </c>
      <c r="J196" s="20" t="s">
        <v>76</v>
      </c>
      <c r="K196" s="20" t="s">
        <v>76</v>
      </c>
      <c r="L196" s="20" t="s">
        <v>72</v>
      </c>
      <c r="M196" s="20" t="s">
        <v>71</v>
      </c>
      <c r="N196" s="20" t="s">
        <v>76</v>
      </c>
      <c r="O196" s="20" t="s">
        <v>72</v>
      </c>
      <c r="P196" s="20" t="s">
        <v>72</v>
      </c>
      <c r="Q196" s="20" t="s">
        <v>72</v>
      </c>
      <c r="R196" s="20" t="s">
        <v>72</v>
      </c>
      <c r="S196" s="20" t="s">
        <v>72</v>
      </c>
      <c r="T196" s="20" t="s">
        <v>72</v>
      </c>
      <c r="U196" s="20" t="s">
        <v>72</v>
      </c>
      <c r="V196" s="20" t="s">
        <v>72</v>
      </c>
      <c r="W196" s="20" t="s">
        <v>72</v>
      </c>
      <c r="X196" s="20" t="s">
        <v>72</v>
      </c>
      <c r="Y196" s="20" t="s">
        <v>72</v>
      </c>
      <c r="Z196" s="20" t="s">
        <v>72</v>
      </c>
      <c r="AA196" s="23" t="s">
        <v>91</v>
      </c>
      <c r="AB196" s="24" t="s">
        <v>1816</v>
      </c>
      <c r="AC196" s="25">
        <v>1</v>
      </c>
    </row>
    <row r="197" spans="1:29" ht="15" hidden="1" x14ac:dyDescent="0.2">
      <c r="A197">
        <v>1129510023</v>
      </c>
      <c r="B197">
        <v>196</v>
      </c>
      <c r="C197" s="26" t="s">
        <v>1351</v>
      </c>
      <c r="D197" t="s">
        <v>1817</v>
      </c>
      <c r="E197">
        <v>3006753671</v>
      </c>
      <c r="F197" t="s">
        <v>1818</v>
      </c>
      <c r="G197" s="20" t="s">
        <v>1354</v>
      </c>
      <c r="H197" t="s">
        <v>1355</v>
      </c>
      <c r="I197" s="20" t="s">
        <v>1356</v>
      </c>
      <c r="J197" s="20" t="s">
        <v>71</v>
      </c>
      <c r="K197" s="20" t="s">
        <v>71</v>
      </c>
      <c r="L197" s="20" t="s">
        <v>72</v>
      </c>
      <c r="M197" s="20" t="s">
        <v>71</v>
      </c>
      <c r="N197" s="20" t="s">
        <v>76</v>
      </c>
      <c r="O197" s="20" t="s">
        <v>72</v>
      </c>
      <c r="P197" s="20" t="s">
        <v>72</v>
      </c>
      <c r="Q197" s="20" t="s">
        <v>72</v>
      </c>
      <c r="R197" s="20" t="s">
        <v>72</v>
      </c>
      <c r="S197" s="20" t="s">
        <v>72</v>
      </c>
      <c r="T197" s="20" t="s">
        <v>72</v>
      </c>
      <c r="U197" s="20" t="s">
        <v>71</v>
      </c>
      <c r="V197" s="20" t="s">
        <v>71</v>
      </c>
      <c r="W197" s="20" t="s">
        <v>72</v>
      </c>
      <c r="X197" s="20" t="s">
        <v>71</v>
      </c>
      <c r="Y197" s="20" t="s">
        <v>72</v>
      </c>
      <c r="Z197" s="20" t="s">
        <v>71</v>
      </c>
      <c r="AA197" s="23" t="s">
        <v>80</v>
      </c>
      <c r="AB197" s="24" t="s">
        <v>1819</v>
      </c>
      <c r="AC197" s="25">
        <v>2</v>
      </c>
    </row>
    <row r="198" spans="1:29" ht="15" hidden="1" x14ac:dyDescent="0.2">
      <c r="A198">
        <v>7459447</v>
      </c>
      <c r="B198">
        <v>197</v>
      </c>
      <c r="C198" s="26" t="s">
        <v>1351</v>
      </c>
      <c r="D198" t="s">
        <v>1820</v>
      </c>
      <c r="E198">
        <v>3196507925</v>
      </c>
      <c r="F198" t="s">
        <v>1821</v>
      </c>
      <c r="G198" s="20" t="s">
        <v>1354</v>
      </c>
      <c r="H198" t="s">
        <v>1355</v>
      </c>
      <c r="I198" s="20" t="s">
        <v>1356</v>
      </c>
      <c r="J198" s="20" t="s">
        <v>71</v>
      </c>
      <c r="K198" s="20" t="s">
        <v>71</v>
      </c>
      <c r="L198" s="20" t="s">
        <v>71</v>
      </c>
      <c r="M198" s="20" t="s">
        <v>71</v>
      </c>
      <c r="N198" s="20" t="s">
        <v>71</v>
      </c>
      <c r="O198" s="20" t="s">
        <v>71</v>
      </c>
      <c r="P198" s="20" t="s">
        <v>71</v>
      </c>
      <c r="Q198" s="20" t="s">
        <v>71</v>
      </c>
      <c r="R198" s="20" t="s">
        <v>71</v>
      </c>
      <c r="S198" s="20" t="s">
        <v>71</v>
      </c>
      <c r="T198" s="20" t="s">
        <v>71</v>
      </c>
      <c r="U198" s="20" t="s">
        <v>71</v>
      </c>
      <c r="V198" s="20" t="s">
        <v>71</v>
      </c>
      <c r="W198" s="20" t="s">
        <v>71</v>
      </c>
      <c r="X198" s="20" t="s">
        <v>71</v>
      </c>
      <c r="Y198" s="20" t="s">
        <v>71</v>
      </c>
      <c r="Z198" s="20" t="s">
        <v>71</v>
      </c>
      <c r="AA198" s="27" t="s">
        <v>1367</v>
      </c>
      <c r="AB198" s="24" t="s">
        <v>1822</v>
      </c>
      <c r="AC198" s="25" t="s">
        <v>1367</v>
      </c>
    </row>
    <row r="199" spans="1:29" ht="15" hidden="1" x14ac:dyDescent="0.2">
      <c r="A199">
        <v>32745229</v>
      </c>
      <c r="B199">
        <v>198</v>
      </c>
      <c r="C199" s="26" t="s">
        <v>1351</v>
      </c>
      <c r="D199" t="s">
        <v>1823</v>
      </c>
      <c r="E199">
        <v>3013194913</v>
      </c>
      <c r="F199" t="s">
        <v>1824</v>
      </c>
      <c r="G199" s="20" t="s">
        <v>1354</v>
      </c>
      <c r="H199" t="s">
        <v>1355</v>
      </c>
      <c r="I199" s="20" t="s">
        <v>1356</v>
      </c>
      <c r="J199" s="20" t="s">
        <v>71</v>
      </c>
      <c r="K199" s="20" t="s">
        <v>71</v>
      </c>
      <c r="L199" s="20" t="s">
        <v>71</v>
      </c>
      <c r="M199" s="20" t="s">
        <v>71</v>
      </c>
      <c r="N199" s="20" t="s">
        <v>71</v>
      </c>
      <c r="O199" s="20" t="s">
        <v>71</v>
      </c>
      <c r="P199" s="20" t="s">
        <v>71</v>
      </c>
      <c r="Q199" s="20" t="s">
        <v>71</v>
      </c>
      <c r="R199" s="20" t="s">
        <v>71</v>
      </c>
      <c r="S199" s="20" t="s">
        <v>71</v>
      </c>
      <c r="T199" s="20" t="s">
        <v>71</v>
      </c>
      <c r="U199" s="20" t="s">
        <v>71</v>
      </c>
      <c r="V199" s="20" t="s">
        <v>71</v>
      </c>
      <c r="W199" s="20" t="s">
        <v>71</v>
      </c>
      <c r="X199" s="20" t="s">
        <v>71</v>
      </c>
      <c r="Y199" s="20" t="s">
        <v>71</v>
      </c>
      <c r="Z199" s="20" t="s">
        <v>71</v>
      </c>
      <c r="AA199" s="27" t="s">
        <v>1367</v>
      </c>
      <c r="AB199" s="24" t="s">
        <v>1825</v>
      </c>
      <c r="AC199" s="25" t="s">
        <v>1367</v>
      </c>
    </row>
    <row r="200" spans="1:29" ht="15" hidden="1" x14ac:dyDescent="0.2">
      <c r="A200">
        <v>1045675162</v>
      </c>
      <c r="B200">
        <v>199</v>
      </c>
      <c r="C200" s="26" t="s">
        <v>1351</v>
      </c>
      <c r="D200" t="s">
        <v>1826</v>
      </c>
      <c r="E200">
        <v>3215183298</v>
      </c>
      <c r="F200" t="s">
        <v>1827</v>
      </c>
      <c r="G200" s="20" t="s">
        <v>1354</v>
      </c>
      <c r="H200" t="s">
        <v>1355</v>
      </c>
      <c r="I200" s="20" t="s">
        <v>1356</v>
      </c>
      <c r="J200" s="20" t="s">
        <v>71</v>
      </c>
      <c r="K200" s="20" t="s">
        <v>71</v>
      </c>
      <c r="L200" s="20" t="s">
        <v>72</v>
      </c>
      <c r="M200" s="20" t="s">
        <v>71</v>
      </c>
      <c r="N200" s="20" t="s">
        <v>72</v>
      </c>
      <c r="O200" s="20" t="s">
        <v>72</v>
      </c>
      <c r="P200" s="20" t="s">
        <v>72</v>
      </c>
      <c r="Q200" s="20" t="s">
        <v>72</v>
      </c>
      <c r="R200" s="20" t="s">
        <v>72</v>
      </c>
      <c r="S200" s="20" t="s">
        <v>72</v>
      </c>
      <c r="T200" s="20" t="s">
        <v>72</v>
      </c>
      <c r="U200" s="20" t="s">
        <v>76</v>
      </c>
      <c r="V200" s="20" t="s">
        <v>72</v>
      </c>
      <c r="W200" s="20" t="s">
        <v>72</v>
      </c>
      <c r="X200" s="20" t="s">
        <v>71</v>
      </c>
      <c r="Y200" s="20" t="s">
        <v>72</v>
      </c>
      <c r="Z200" s="20" t="s">
        <v>76</v>
      </c>
      <c r="AA200" s="5" t="s">
        <v>80</v>
      </c>
      <c r="AB200" s="24" t="s">
        <v>1828</v>
      </c>
      <c r="AC200" s="25">
        <v>2</v>
      </c>
    </row>
    <row r="201" spans="1:29" ht="15" hidden="1" x14ac:dyDescent="0.2">
      <c r="A201">
        <v>7471998</v>
      </c>
      <c r="B201">
        <v>200</v>
      </c>
      <c r="C201" s="26" t="s">
        <v>1351</v>
      </c>
      <c r="D201" t="s">
        <v>1829</v>
      </c>
      <c r="E201">
        <v>3126387590</v>
      </c>
      <c r="F201" t="s">
        <v>1830</v>
      </c>
      <c r="G201" s="20" t="s">
        <v>1354</v>
      </c>
      <c r="H201" t="s">
        <v>1355</v>
      </c>
      <c r="I201" s="20" t="s">
        <v>1356</v>
      </c>
      <c r="J201" s="20" t="s">
        <v>71</v>
      </c>
      <c r="K201" s="20" t="s">
        <v>71</v>
      </c>
      <c r="L201" s="20" t="s">
        <v>71</v>
      </c>
      <c r="M201" s="20" t="s">
        <v>71</v>
      </c>
      <c r="N201" s="20" t="s">
        <v>71</v>
      </c>
      <c r="O201" s="20" t="s">
        <v>71</v>
      </c>
      <c r="P201" s="20" t="s">
        <v>71</v>
      </c>
      <c r="Q201" s="20" t="s">
        <v>71</v>
      </c>
      <c r="R201" s="20" t="s">
        <v>71</v>
      </c>
      <c r="S201" s="20" t="s">
        <v>71</v>
      </c>
      <c r="T201" s="20" t="s">
        <v>71</v>
      </c>
      <c r="U201" s="20" t="s">
        <v>71</v>
      </c>
      <c r="V201" s="20" t="s">
        <v>71</v>
      </c>
      <c r="W201" s="20" t="s">
        <v>71</v>
      </c>
      <c r="X201" s="20" t="s">
        <v>71</v>
      </c>
      <c r="Y201" s="20" t="s">
        <v>71</v>
      </c>
      <c r="Z201" s="20" t="s">
        <v>71</v>
      </c>
      <c r="AA201" s="27" t="s">
        <v>1367</v>
      </c>
      <c r="AB201" s="24" t="s">
        <v>1831</v>
      </c>
      <c r="AC201" s="25" t="s">
        <v>1367</v>
      </c>
    </row>
    <row r="202" spans="1:29" ht="15" x14ac:dyDescent="0.2">
      <c r="A202">
        <v>1143831802</v>
      </c>
      <c r="B202">
        <v>201</v>
      </c>
      <c r="C202" s="26" t="s">
        <v>1351</v>
      </c>
      <c r="D202" t="s">
        <v>1832</v>
      </c>
      <c r="E202">
        <v>3158055416</v>
      </c>
      <c r="F202" t="s">
        <v>1833</v>
      </c>
      <c r="G202" s="20" t="s">
        <v>922</v>
      </c>
      <c r="H202" t="s">
        <v>1834</v>
      </c>
      <c r="I202" s="20" t="s">
        <v>1835</v>
      </c>
      <c r="J202" s="20" t="s">
        <v>76</v>
      </c>
      <c r="K202" s="20" t="s">
        <v>76</v>
      </c>
      <c r="L202" s="20" t="s">
        <v>72</v>
      </c>
      <c r="M202" s="20" t="s">
        <v>71</v>
      </c>
      <c r="N202" s="20" t="s">
        <v>72</v>
      </c>
      <c r="O202" s="20" t="s">
        <v>72</v>
      </c>
      <c r="P202" s="20" t="s">
        <v>72</v>
      </c>
      <c r="Q202" s="20" t="s">
        <v>72</v>
      </c>
      <c r="R202" s="20" t="s">
        <v>72</v>
      </c>
      <c r="S202" s="20" t="s">
        <v>72</v>
      </c>
      <c r="T202" s="20" t="s">
        <v>72</v>
      </c>
      <c r="U202" s="20" t="s">
        <v>71</v>
      </c>
      <c r="V202" s="20" t="s">
        <v>71</v>
      </c>
      <c r="W202" s="20" t="s">
        <v>71</v>
      </c>
      <c r="X202" s="20" t="s">
        <v>71</v>
      </c>
      <c r="Y202" s="20" t="s">
        <v>71</v>
      </c>
      <c r="Z202" s="20" t="s">
        <v>71</v>
      </c>
      <c r="AA202" s="23" t="s">
        <v>85</v>
      </c>
      <c r="AB202" s="24" t="s">
        <v>1836</v>
      </c>
      <c r="AC202" s="25">
        <v>2</v>
      </c>
    </row>
    <row r="203" spans="1:29" ht="15" x14ac:dyDescent="0.2">
      <c r="A203">
        <v>87571430</v>
      </c>
      <c r="B203">
        <v>202</v>
      </c>
      <c r="C203" s="26" t="s">
        <v>1351</v>
      </c>
      <c r="D203" t="s">
        <v>1837</v>
      </c>
      <c r="E203">
        <v>3147959979</v>
      </c>
      <c r="F203" t="s">
        <v>1838</v>
      </c>
      <c r="G203" s="20" t="s">
        <v>922</v>
      </c>
      <c r="H203" t="s">
        <v>1834</v>
      </c>
      <c r="I203" s="20" t="s">
        <v>1835</v>
      </c>
      <c r="J203" s="20" t="s">
        <v>71</v>
      </c>
      <c r="K203" s="20" t="s">
        <v>71</v>
      </c>
      <c r="L203" s="20" t="s">
        <v>72</v>
      </c>
      <c r="M203" s="20" t="s">
        <v>71</v>
      </c>
      <c r="N203" s="20" t="s">
        <v>72</v>
      </c>
      <c r="O203" s="20" t="s">
        <v>72</v>
      </c>
      <c r="P203" s="20" t="s">
        <v>72</v>
      </c>
      <c r="Q203" s="20" t="s">
        <v>72</v>
      </c>
      <c r="R203" s="20" t="s">
        <v>72</v>
      </c>
      <c r="S203" s="20" t="s">
        <v>72</v>
      </c>
      <c r="T203" s="20" t="s">
        <v>72</v>
      </c>
      <c r="U203" s="20" t="s">
        <v>72</v>
      </c>
      <c r="V203" s="20" t="s">
        <v>72</v>
      </c>
      <c r="W203" s="20" t="s">
        <v>72</v>
      </c>
      <c r="X203" s="20" t="s">
        <v>71</v>
      </c>
      <c r="Y203" s="20" t="s">
        <v>72</v>
      </c>
      <c r="Z203" s="20" t="s">
        <v>72</v>
      </c>
      <c r="AA203" s="23" t="s">
        <v>80</v>
      </c>
      <c r="AB203" s="24" t="s">
        <v>1839</v>
      </c>
      <c r="AC203" s="25">
        <v>2</v>
      </c>
    </row>
    <row r="204" spans="1:29" ht="15" x14ac:dyDescent="0.2">
      <c r="A204">
        <v>31579325</v>
      </c>
      <c r="B204">
        <v>203</v>
      </c>
      <c r="C204" s="26" t="s">
        <v>1351</v>
      </c>
      <c r="D204" t="s">
        <v>1840</v>
      </c>
      <c r="E204">
        <v>3186845720</v>
      </c>
      <c r="F204" t="s">
        <v>1841</v>
      </c>
      <c r="G204" s="20" t="s">
        <v>922</v>
      </c>
      <c r="H204" t="s">
        <v>1834</v>
      </c>
      <c r="I204" s="20" t="s">
        <v>1835</v>
      </c>
      <c r="J204" s="20" t="s">
        <v>71</v>
      </c>
      <c r="K204" s="20" t="s">
        <v>71</v>
      </c>
      <c r="L204" s="20" t="s">
        <v>71</v>
      </c>
      <c r="M204" s="20" t="s">
        <v>71</v>
      </c>
      <c r="N204" s="20" t="s">
        <v>71</v>
      </c>
      <c r="O204" s="20" t="s">
        <v>71</v>
      </c>
      <c r="P204" s="20" t="s">
        <v>71</v>
      </c>
      <c r="Q204" s="20" t="s">
        <v>71</v>
      </c>
      <c r="R204" s="20" t="s">
        <v>71</v>
      </c>
      <c r="S204" s="20" t="s">
        <v>71</v>
      </c>
      <c r="T204" s="20" t="s">
        <v>71</v>
      </c>
      <c r="U204" s="20" t="s">
        <v>72</v>
      </c>
      <c r="V204" s="20" t="s">
        <v>72</v>
      </c>
      <c r="W204" s="20" t="s">
        <v>72</v>
      </c>
      <c r="X204" s="20" t="s">
        <v>71</v>
      </c>
      <c r="Y204" s="20" t="s">
        <v>72</v>
      </c>
      <c r="Z204" s="20" t="s">
        <v>71</v>
      </c>
      <c r="AA204" s="23" t="s">
        <v>179</v>
      </c>
      <c r="AC204" s="25">
        <v>3</v>
      </c>
    </row>
    <row r="205" spans="1:29" ht="15" x14ac:dyDescent="0.2">
      <c r="A205">
        <v>27104551</v>
      </c>
      <c r="B205">
        <v>204</v>
      </c>
      <c r="C205" s="26" t="s">
        <v>1351</v>
      </c>
      <c r="D205" t="s">
        <v>1842</v>
      </c>
      <c r="E205">
        <v>3155358247</v>
      </c>
      <c r="F205" t="s">
        <v>1843</v>
      </c>
      <c r="G205" s="20" t="s">
        <v>922</v>
      </c>
      <c r="H205" t="s">
        <v>1834</v>
      </c>
      <c r="I205" s="20" t="s">
        <v>1835</v>
      </c>
      <c r="J205" s="20" t="s">
        <v>71</v>
      </c>
      <c r="K205" s="20" t="s">
        <v>71</v>
      </c>
      <c r="L205" s="20" t="s">
        <v>72</v>
      </c>
      <c r="M205" s="20" t="s">
        <v>71</v>
      </c>
      <c r="N205" s="20" t="s">
        <v>72</v>
      </c>
      <c r="O205" s="20" t="s">
        <v>72</v>
      </c>
      <c r="P205" s="20" t="s">
        <v>72</v>
      </c>
      <c r="Q205" s="20" t="s">
        <v>72</v>
      </c>
      <c r="R205" s="20" t="s">
        <v>72</v>
      </c>
      <c r="S205" s="20" t="s">
        <v>72</v>
      </c>
      <c r="T205" s="20" t="s">
        <v>72</v>
      </c>
      <c r="U205" s="20" t="s">
        <v>72</v>
      </c>
      <c r="V205" s="20" t="s">
        <v>72</v>
      </c>
      <c r="W205" s="20" t="s">
        <v>72</v>
      </c>
      <c r="X205" s="20" t="s">
        <v>71</v>
      </c>
      <c r="Y205" s="20" t="s">
        <v>72</v>
      </c>
      <c r="Z205" s="20" t="s">
        <v>71</v>
      </c>
      <c r="AA205" s="23" t="s">
        <v>80</v>
      </c>
      <c r="AC205" s="25">
        <v>2</v>
      </c>
    </row>
    <row r="206" spans="1:29" ht="15" x14ac:dyDescent="0.2">
      <c r="A206">
        <v>1005706694</v>
      </c>
      <c r="B206">
        <v>205</v>
      </c>
      <c r="C206" s="26" t="s">
        <v>1351</v>
      </c>
      <c r="D206" t="s">
        <v>1844</v>
      </c>
      <c r="E206">
        <v>3206501391</v>
      </c>
      <c r="F206" t="s">
        <v>1845</v>
      </c>
      <c r="G206" s="20" t="s">
        <v>922</v>
      </c>
      <c r="H206" t="s">
        <v>1834</v>
      </c>
      <c r="I206" s="20" t="s">
        <v>1835</v>
      </c>
      <c r="J206" s="20" t="s">
        <v>71</v>
      </c>
      <c r="K206" s="20" t="s">
        <v>71</v>
      </c>
      <c r="L206" s="20" t="s">
        <v>71</v>
      </c>
      <c r="M206" s="20" t="s">
        <v>71</v>
      </c>
      <c r="N206" s="20" t="s">
        <v>71</v>
      </c>
      <c r="O206" s="20" t="s">
        <v>71</v>
      </c>
      <c r="P206" s="20" t="s">
        <v>71</v>
      </c>
      <c r="Q206" s="20" t="s">
        <v>71</v>
      </c>
      <c r="R206" s="20" t="s">
        <v>71</v>
      </c>
      <c r="S206" s="20" t="s">
        <v>71</v>
      </c>
      <c r="T206" s="20" t="s">
        <v>71</v>
      </c>
      <c r="U206" s="20" t="s">
        <v>72</v>
      </c>
      <c r="V206" s="20" t="s">
        <v>72</v>
      </c>
      <c r="W206" s="20" t="s">
        <v>72</v>
      </c>
      <c r="X206" s="20" t="s">
        <v>72</v>
      </c>
      <c r="Y206" s="20" t="s">
        <v>72</v>
      </c>
      <c r="Z206" s="20" t="s">
        <v>72</v>
      </c>
      <c r="AA206" s="23" t="s">
        <v>179</v>
      </c>
      <c r="AC206" s="25">
        <v>3</v>
      </c>
    </row>
    <row r="207" spans="1:29" ht="15" x14ac:dyDescent="0.2">
      <c r="A207">
        <v>29177698</v>
      </c>
      <c r="B207">
        <v>206</v>
      </c>
      <c r="C207" s="26" t="s">
        <v>1351</v>
      </c>
      <c r="D207" t="s">
        <v>1846</v>
      </c>
      <c r="E207">
        <v>3025934480</v>
      </c>
      <c r="F207" t="s">
        <v>1847</v>
      </c>
      <c r="G207" s="20" t="s">
        <v>922</v>
      </c>
      <c r="H207" t="s">
        <v>1834</v>
      </c>
      <c r="I207" s="20" t="s">
        <v>1835</v>
      </c>
      <c r="J207" s="20" t="s">
        <v>71</v>
      </c>
      <c r="K207" s="20" t="s">
        <v>71</v>
      </c>
      <c r="L207" s="20" t="s">
        <v>72</v>
      </c>
      <c r="M207" s="20" t="s">
        <v>71</v>
      </c>
      <c r="N207" s="20" t="s">
        <v>72</v>
      </c>
      <c r="O207" s="20" t="s">
        <v>72</v>
      </c>
      <c r="P207" s="20" t="s">
        <v>72</v>
      </c>
      <c r="Q207" s="20" t="s">
        <v>72</v>
      </c>
      <c r="R207" s="20" t="s">
        <v>72</v>
      </c>
      <c r="S207" s="20" t="s">
        <v>72</v>
      </c>
      <c r="T207" s="20" t="s">
        <v>72</v>
      </c>
      <c r="U207" s="20" t="s">
        <v>71</v>
      </c>
      <c r="V207" s="20" t="s">
        <v>71</v>
      </c>
      <c r="W207" s="20" t="s">
        <v>71</v>
      </c>
      <c r="X207" s="20" t="s">
        <v>71</v>
      </c>
      <c r="Y207" s="20" t="s">
        <v>71</v>
      </c>
      <c r="Z207" s="20" t="s">
        <v>71</v>
      </c>
      <c r="AA207" s="23" t="s">
        <v>256</v>
      </c>
      <c r="AC207" s="25">
        <v>3</v>
      </c>
    </row>
    <row r="208" spans="1:29" ht="15" x14ac:dyDescent="0.2">
      <c r="A208">
        <v>29703356</v>
      </c>
      <c r="B208">
        <v>207</v>
      </c>
      <c r="C208" s="26" t="s">
        <v>1351</v>
      </c>
      <c r="D208" t="s">
        <v>1848</v>
      </c>
      <c r="E208">
        <v>3168368048</v>
      </c>
      <c r="F208" t="s">
        <v>1849</v>
      </c>
      <c r="G208" s="20" t="s">
        <v>922</v>
      </c>
      <c r="H208" t="s">
        <v>1834</v>
      </c>
      <c r="I208" s="20" t="s">
        <v>1835</v>
      </c>
      <c r="J208" s="20" t="s">
        <v>71</v>
      </c>
      <c r="K208" s="20" t="s">
        <v>71</v>
      </c>
      <c r="L208" s="20" t="s">
        <v>71</v>
      </c>
      <c r="M208" s="20" t="s">
        <v>71</v>
      </c>
      <c r="N208" s="20" t="s">
        <v>71</v>
      </c>
      <c r="O208" s="20" t="s">
        <v>71</v>
      </c>
      <c r="P208" s="20" t="s">
        <v>71</v>
      </c>
      <c r="Q208" s="20" t="s">
        <v>71</v>
      </c>
      <c r="R208" s="20" t="s">
        <v>71</v>
      </c>
      <c r="S208" s="20" t="s">
        <v>71</v>
      </c>
      <c r="T208" s="20" t="s">
        <v>71</v>
      </c>
      <c r="U208" s="20" t="s">
        <v>71</v>
      </c>
      <c r="V208" s="20" t="s">
        <v>71</v>
      </c>
      <c r="W208" s="20" t="s">
        <v>71</v>
      </c>
      <c r="X208" s="20" t="s">
        <v>71</v>
      </c>
      <c r="Y208" s="20" t="s">
        <v>72</v>
      </c>
      <c r="Z208" s="20" t="s">
        <v>71</v>
      </c>
      <c r="AA208" s="23" t="s">
        <v>179</v>
      </c>
      <c r="AB208" s="24" t="s">
        <v>1850</v>
      </c>
      <c r="AC208" s="25">
        <v>3</v>
      </c>
    </row>
    <row r="209" spans="1:29" ht="15" x14ac:dyDescent="0.2">
      <c r="A209">
        <v>31948620</v>
      </c>
      <c r="B209">
        <v>208</v>
      </c>
      <c r="C209" s="26" t="s">
        <v>1351</v>
      </c>
      <c r="D209" t="s">
        <v>1497</v>
      </c>
      <c r="E209">
        <v>3187766013</v>
      </c>
      <c r="F209" t="s">
        <v>1851</v>
      </c>
      <c r="G209" s="20" t="s">
        <v>922</v>
      </c>
      <c r="H209" t="s">
        <v>1834</v>
      </c>
      <c r="I209" s="20" t="s">
        <v>1835</v>
      </c>
      <c r="J209" s="20" t="s">
        <v>71</v>
      </c>
      <c r="K209" s="20" t="s">
        <v>71</v>
      </c>
      <c r="L209" s="20" t="s">
        <v>72</v>
      </c>
      <c r="M209" s="20" t="s">
        <v>71</v>
      </c>
      <c r="N209" s="20" t="s">
        <v>72</v>
      </c>
      <c r="O209" s="20" t="s">
        <v>72</v>
      </c>
      <c r="P209" s="20" t="s">
        <v>72</v>
      </c>
      <c r="Q209" s="20" t="s">
        <v>72</v>
      </c>
      <c r="R209" s="20" t="s">
        <v>72</v>
      </c>
      <c r="S209" s="20" t="s">
        <v>72</v>
      </c>
      <c r="T209" s="20" t="s">
        <v>72</v>
      </c>
      <c r="U209" s="20" t="s">
        <v>71</v>
      </c>
      <c r="V209" s="20" t="s">
        <v>71</v>
      </c>
      <c r="W209" s="20" t="s">
        <v>71</v>
      </c>
      <c r="X209" s="20" t="s">
        <v>71</v>
      </c>
      <c r="Y209" s="20" t="s">
        <v>71</v>
      </c>
      <c r="Z209" s="20" t="s">
        <v>71</v>
      </c>
      <c r="AA209" s="23" t="s">
        <v>256</v>
      </c>
      <c r="AC209" s="25">
        <v>3</v>
      </c>
    </row>
    <row r="210" spans="1:29" ht="15" x14ac:dyDescent="0.2">
      <c r="A210">
        <v>38667243</v>
      </c>
      <c r="B210">
        <v>209</v>
      </c>
      <c r="C210" s="26" t="s">
        <v>1351</v>
      </c>
      <c r="D210" t="s">
        <v>1852</v>
      </c>
      <c r="E210">
        <v>3175792703</v>
      </c>
      <c r="F210" t="s">
        <v>1853</v>
      </c>
      <c r="G210" s="20" t="s">
        <v>922</v>
      </c>
      <c r="H210" t="s">
        <v>1834</v>
      </c>
      <c r="I210" s="20" t="s">
        <v>1835</v>
      </c>
      <c r="J210" s="20" t="s">
        <v>71</v>
      </c>
      <c r="K210" s="20" t="s">
        <v>71</v>
      </c>
      <c r="L210" s="20" t="s">
        <v>72</v>
      </c>
      <c r="M210" s="20" t="s">
        <v>71</v>
      </c>
      <c r="N210" s="20" t="s">
        <v>72</v>
      </c>
      <c r="O210" s="20" t="s">
        <v>72</v>
      </c>
      <c r="P210" s="20" t="s">
        <v>72</v>
      </c>
      <c r="Q210" s="20" t="s">
        <v>72</v>
      </c>
      <c r="R210" s="20" t="s">
        <v>72</v>
      </c>
      <c r="S210" s="20" t="s">
        <v>72</v>
      </c>
      <c r="T210" s="20" t="s">
        <v>72</v>
      </c>
      <c r="U210" s="20" t="s">
        <v>72</v>
      </c>
      <c r="V210" s="20" t="s">
        <v>72</v>
      </c>
      <c r="W210" s="20" t="s">
        <v>72</v>
      </c>
      <c r="X210" s="20" t="s">
        <v>71</v>
      </c>
      <c r="Y210" s="20" t="s">
        <v>71</v>
      </c>
      <c r="Z210" s="20" t="s">
        <v>71</v>
      </c>
      <c r="AA210" s="23" t="s">
        <v>91</v>
      </c>
      <c r="AC210" s="25">
        <v>2</v>
      </c>
    </row>
    <row r="211" spans="1:29" ht="15" x14ac:dyDescent="0.2">
      <c r="A211">
        <v>16730078</v>
      </c>
      <c r="B211">
        <v>210</v>
      </c>
      <c r="C211" s="26" t="s">
        <v>1351</v>
      </c>
      <c r="D211" t="s">
        <v>1854</v>
      </c>
      <c r="E211">
        <v>3174707485</v>
      </c>
      <c r="F211" t="s">
        <v>1855</v>
      </c>
      <c r="G211" s="20" t="s">
        <v>922</v>
      </c>
      <c r="H211" t="s">
        <v>1834</v>
      </c>
      <c r="I211" s="20" t="s">
        <v>1835</v>
      </c>
      <c r="J211" s="20" t="s">
        <v>71</v>
      </c>
      <c r="K211" s="20" t="s">
        <v>71</v>
      </c>
      <c r="L211" s="20" t="s">
        <v>71</v>
      </c>
      <c r="M211" s="20" t="s">
        <v>71</v>
      </c>
      <c r="N211" s="20" t="s">
        <v>71</v>
      </c>
      <c r="O211" s="20" t="s">
        <v>71</v>
      </c>
      <c r="P211" s="20" t="s">
        <v>71</v>
      </c>
      <c r="Q211" s="20" t="s">
        <v>71</v>
      </c>
      <c r="R211" s="20" t="s">
        <v>71</v>
      </c>
      <c r="S211" s="20" t="s">
        <v>71</v>
      </c>
      <c r="T211" s="20" t="s">
        <v>71</v>
      </c>
      <c r="U211" s="20" t="s">
        <v>72</v>
      </c>
      <c r="V211" s="20" t="s">
        <v>72</v>
      </c>
      <c r="W211" s="20" t="s">
        <v>72</v>
      </c>
      <c r="X211" s="20" t="s">
        <v>71</v>
      </c>
      <c r="Y211" s="20" t="s">
        <v>71</v>
      </c>
      <c r="Z211" s="20" t="s">
        <v>71</v>
      </c>
      <c r="AA211" s="23" t="s">
        <v>179</v>
      </c>
      <c r="AB211" s="24" t="s">
        <v>1856</v>
      </c>
      <c r="AC211" s="25">
        <v>3</v>
      </c>
    </row>
    <row r="212" spans="1:29" ht="15" x14ac:dyDescent="0.2">
      <c r="A212">
        <v>94191300</v>
      </c>
      <c r="B212">
        <v>211</v>
      </c>
      <c r="C212" s="26" t="s">
        <v>1351</v>
      </c>
      <c r="D212" t="s">
        <v>1857</v>
      </c>
      <c r="E212">
        <v>3023664438</v>
      </c>
      <c r="F212" t="s">
        <v>1858</v>
      </c>
      <c r="G212" s="20" t="s">
        <v>922</v>
      </c>
      <c r="H212" t="s">
        <v>1834</v>
      </c>
      <c r="I212" s="20" t="s">
        <v>1835</v>
      </c>
      <c r="J212" s="20" t="s">
        <v>71</v>
      </c>
      <c r="K212" s="20" t="s">
        <v>71</v>
      </c>
      <c r="L212" s="20" t="s">
        <v>72</v>
      </c>
      <c r="M212" s="20" t="s">
        <v>71</v>
      </c>
      <c r="N212" s="20" t="s">
        <v>72</v>
      </c>
      <c r="O212" s="20" t="s">
        <v>72</v>
      </c>
      <c r="P212" s="20" t="s">
        <v>72</v>
      </c>
      <c r="Q212" s="20" t="s">
        <v>72</v>
      </c>
      <c r="R212" s="20" t="s">
        <v>72</v>
      </c>
      <c r="S212" s="20" t="s">
        <v>72</v>
      </c>
      <c r="T212" s="20" t="s">
        <v>72</v>
      </c>
      <c r="U212" s="20" t="s">
        <v>71</v>
      </c>
      <c r="V212" s="20" t="s">
        <v>71</v>
      </c>
      <c r="W212" s="20" t="s">
        <v>71</v>
      </c>
      <c r="X212" s="20" t="s">
        <v>71</v>
      </c>
      <c r="Y212" s="20" t="s">
        <v>71</v>
      </c>
      <c r="Z212" s="20" t="s">
        <v>71</v>
      </c>
      <c r="AA212" s="23" t="s">
        <v>256</v>
      </c>
      <c r="AC212" s="25">
        <v>3</v>
      </c>
    </row>
    <row r="213" spans="1:29" s="21" customFormat="1" ht="15" x14ac:dyDescent="0.2">
      <c r="A213" s="33">
        <v>94043060</v>
      </c>
      <c r="B213" s="33">
        <v>212</v>
      </c>
      <c r="C213" s="26" t="s">
        <v>1351</v>
      </c>
      <c r="D213" s="33" t="s">
        <v>1859</v>
      </c>
      <c r="E213" s="33">
        <v>3187475037</v>
      </c>
      <c r="F213" s="33" t="s">
        <v>1860</v>
      </c>
      <c r="G213" s="21" t="s">
        <v>922</v>
      </c>
      <c r="H213" s="33" t="s">
        <v>1834</v>
      </c>
      <c r="I213" s="21" t="s">
        <v>1835</v>
      </c>
      <c r="AA213" s="34" t="s">
        <v>1464</v>
      </c>
      <c r="AB213" s="29" t="s">
        <v>1861</v>
      </c>
      <c r="AC213" s="31" t="s">
        <v>1464</v>
      </c>
    </row>
    <row r="214" spans="1:29" ht="15" x14ac:dyDescent="0.2">
      <c r="A214">
        <v>31858321</v>
      </c>
      <c r="B214">
        <v>213</v>
      </c>
      <c r="C214" s="26" t="s">
        <v>1351</v>
      </c>
      <c r="D214" t="s">
        <v>1862</v>
      </c>
      <c r="E214">
        <v>3148342692</v>
      </c>
      <c r="F214" t="s">
        <v>1863</v>
      </c>
      <c r="G214" s="20" t="s">
        <v>922</v>
      </c>
      <c r="H214" t="s">
        <v>1834</v>
      </c>
      <c r="I214" s="20" t="s">
        <v>1835</v>
      </c>
      <c r="J214" s="20" t="s">
        <v>71</v>
      </c>
      <c r="K214" s="20" t="s">
        <v>71</v>
      </c>
      <c r="L214" s="20" t="s">
        <v>71</v>
      </c>
      <c r="M214" s="20" t="s">
        <v>71</v>
      </c>
      <c r="N214" s="20" t="s">
        <v>71</v>
      </c>
      <c r="O214" s="20" t="s">
        <v>71</v>
      </c>
      <c r="P214" s="20" t="s">
        <v>71</v>
      </c>
      <c r="Q214" s="20" t="s">
        <v>71</v>
      </c>
      <c r="R214" s="20" t="s">
        <v>71</v>
      </c>
      <c r="S214" s="20" t="s">
        <v>71</v>
      </c>
      <c r="T214" s="20" t="s">
        <v>71</v>
      </c>
      <c r="U214" s="20" t="s">
        <v>72</v>
      </c>
      <c r="V214" s="20" t="s">
        <v>72</v>
      </c>
      <c r="W214" s="20" t="s">
        <v>72</v>
      </c>
      <c r="X214" s="20" t="s">
        <v>72</v>
      </c>
      <c r="Y214" s="20" t="s">
        <v>72</v>
      </c>
      <c r="Z214" s="20" t="s">
        <v>72</v>
      </c>
      <c r="AA214" s="23" t="s">
        <v>179</v>
      </c>
      <c r="AC214" s="25">
        <v>3</v>
      </c>
    </row>
    <row r="215" spans="1:29" ht="15" x14ac:dyDescent="0.2">
      <c r="A215">
        <v>66815424</v>
      </c>
      <c r="B215">
        <v>214</v>
      </c>
      <c r="C215" s="26" t="s">
        <v>1351</v>
      </c>
      <c r="D215" t="s">
        <v>1864</v>
      </c>
      <c r="E215">
        <v>3152888067</v>
      </c>
      <c r="F215" t="s">
        <v>1865</v>
      </c>
      <c r="G215" s="20" t="s">
        <v>922</v>
      </c>
      <c r="H215" t="s">
        <v>1834</v>
      </c>
      <c r="I215" s="20" t="s">
        <v>480</v>
      </c>
      <c r="J215" s="20" t="s">
        <v>76</v>
      </c>
      <c r="K215" s="20" t="s">
        <v>76</v>
      </c>
      <c r="L215" s="20" t="s">
        <v>72</v>
      </c>
      <c r="M215" s="20" t="s">
        <v>71</v>
      </c>
      <c r="N215" s="20" t="s">
        <v>72</v>
      </c>
      <c r="O215" s="20" t="s">
        <v>72</v>
      </c>
      <c r="P215" s="20" t="s">
        <v>72</v>
      </c>
      <c r="Q215" s="20" t="s">
        <v>72</v>
      </c>
      <c r="R215" s="20" t="s">
        <v>72</v>
      </c>
      <c r="S215" s="20" t="s">
        <v>72</v>
      </c>
      <c r="T215" s="20" t="s">
        <v>72</v>
      </c>
      <c r="U215" s="20" t="s">
        <v>71</v>
      </c>
      <c r="V215" s="20" t="s">
        <v>71</v>
      </c>
      <c r="W215" s="20" t="s">
        <v>71</v>
      </c>
      <c r="X215" s="20" t="s">
        <v>71</v>
      </c>
      <c r="Y215" s="20" t="s">
        <v>71</v>
      </c>
      <c r="Z215" s="20" t="s">
        <v>71</v>
      </c>
      <c r="AA215" s="23" t="s">
        <v>85</v>
      </c>
      <c r="AB215" s="24" t="s">
        <v>1866</v>
      </c>
      <c r="AC215" s="25">
        <v>2</v>
      </c>
    </row>
    <row r="216" spans="1:29" ht="15" x14ac:dyDescent="0.2">
      <c r="A216">
        <v>66949232</v>
      </c>
      <c r="B216">
        <v>215</v>
      </c>
      <c r="C216" s="26" t="s">
        <v>1351</v>
      </c>
      <c r="D216" t="s">
        <v>1867</v>
      </c>
      <c r="E216">
        <v>3188209340</v>
      </c>
      <c r="F216" t="s">
        <v>1868</v>
      </c>
      <c r="G216" s="20" t="s">
        <v>922</v>
      </c>
      <c r="H216" t="s">
        <v>1834</v>
      </c>
      <c r="I216" s="20" t="s">
        <v>1835</v>
      </c>
      <c r="J216" s="20" t="s">
        <v>71</v>
      </c>
      <c r="K216" s="20" t="s">
        <v>71</v>
      </c>
      <c r="L216" s="20" t="s">
        <v>72</v>
      </c>
      <c r="M216" s="20" t="s">
        <v>76</v>
      </c>
      <c r="N216" s="20" t="s">
        <v>72</v>
      </c>
      <c r="O216" s="20" t="s">
        <v>72</v>
      </c>
      <c r="P216" s="20" t="s">
        <v>72</v>
      </c>
      <c r="Q216" s="20" t="s">
        <v>72</v>
      </c>
      <c r="R216" s="20" t="s">
        <v>72</v>
      </c>
      <c r="S216" s="20" t="s">
        <v>72</v>
      </c>
      <c r="T216" s="20" t="s">
        <v>72</v>
      </c>
      <c r="U216" s="20" t="s">
        <v>72</v>
      </c>
      <c r="V216" s="20" t="s">
        <v>72</v>
      </c>
      <c r="W216" s="20" t="s">
        <v>72</v>
      </c>
      <c r="X216" s="20" t="s">
        <v>72</v>
      </c>
      <c r="Y216" s="20" t="s">
        <v>72</v>
      </c>
      <c r="Z216" s="20" t="s">
        <v>72</v>
      </c>
      <c r="AA216" s="23" t="s">
        <v>80</v>
      </c>
      <c r="AC216" s="25">
        <v>1</v>
      </c>
    </row>
    <row r="217" spans="1:29" ht="15" x14ac:dyDescent="0.2">
      <c r="A217">
        <v>1143847668</v>
      </c>
      <c r="B217">
        <v>216</v>
      </c>
      <c r="C217" s="26" t="s">
        <v>1351</v>
      </c>
      <c r="D217" t="s">
        <v>1869</v>
      </c>
      <c r="E217">
        <v>3135928163</v>
      </c>
      <c r="F217" t="s">
        <v>1870</v>
      </c>
      <c r="G217" s="20" t="s">
        <v>922</v>
      </c>
      <c r="H217" t="s">
        <v>1834</v>
      </c>
      <c r="I217" s="20" t="s">
        <v>1835</v>
      </c>
      <c r="J217" s="20" t="s">
        <v>76</v>
      </c>
      <c r="K217" s="20" t="s">
        <v>76</v>
      </c>
      <c r="L217" s="20" t="s">
        <v>72</v>
      </c>
      <c r="M217" s="20" t="s">
        <v>76</v>
      </c>
      <c r="N217" s="20" t="s">
        <v>72</v>
      </c>
      <c r="O217" s="20" t="s">
        <v>72</v>
      </c>
      <c r="P217" s="20" t="s">
        <v>72</v>
      </c>
      <c r="Q217" s="20" t="s">
        <v>72</v>
      </c>
      <c r="R217" s="20" t="s">
        <v>72</v>
      </c>
      <c r="S217" s="20" t="s">
        <v>72</v>
      </c>
      <c r="T217" s="20" t="s">
        <v>72</v>
      </c>
      <c r="U217" s="20" t="s">
        <v>72</v>
      </c>
      <c r="V217" s="20" t="s">
        <v>72</v>
      </c>
      <c r="W217" s="20" t="s">
        <v>72</v>
      </c>
      <c r="X217" s="20" t="s">
        <v>72</v>
      </c>
      <c r="Y217" s="20" t="s">
        <v>72</v>
      </c>
      <c r="Z217" s="20" t="s">
        <v>72</v>
      </c>
      <c r="AA217" s="23" t="s">
        <v>91</v>
      </c>
      <c r="AB217" s="24" t="s">
        <v>1871</v>
      </c>
      <c r="AC217" s="25">
        <v>2</v>
      </c>
    </row>
    <row r="218" spans="1:29" ht="15" x14ac:dyDescent="0.2">
      <c r="A218">
        <v>31914369</v>
      </c>
      <c r="B218">
        <v>217</v>
      </c>
      <c r="C218" s="26" t="s">
        <v>1351</v>
      </c>
      <c r="D218" t="s">
        <v>1872</v>
      </c>
      <c r="E218">
        <v>3225404519</v>
      </c>
      <c r="F218" t="s">
        <v>1873</v>
      </c>
      <c r="G218" s="20" t="s">
        <v>922</v>
      </c>
      <c r="H218" t="s">
        <v>1834</v>
      </c>
      <c r="I218" s="20" t="s">
        <v>1835</v>
      </c>
      <c r="J218" s="20" t="s">
        <v>71</v>
      </c>
      <c r="K218" s="20" t="s">
        <v>71</v>
      </c>
      <c r="L218" s="20" t="s">
        <v>72</v>
      </c>
      <c r="M218" s="20" t="s">
        <v>71</v>
      </c>
      <c r="N218" s="20" t="s">
        <v>72</v>
      </c>
      <c r="O218" s="20" t="s">
        <v>72</v>
      </c>
      <c r="P218" s="20" t="s">
        <v>72</v>
      </c>
      <c r="Q218" s="20" t="s">
        <v>72</v>
      </c>
      <c r="R218" s="20" t="s">
        <v>72</v>
      </c>
      <c r="S218" s="20" t="s">
        <v>72</v>
      </c>
      <c r="T218" s="20" t="s">
        <v>72</v>
      </c>
      <c r="U218" s="20" t="s">
        <v>72</v>
      </c>
      <c r="V218" s="20" t="s">
        <v>72</v>
      </c>
      <c r="W218" s="20" t="s">
        <v>72</v>
      </c>
      <c r="X218" s="20" t="s">
        <v>72</v>
      </c>
      <c r="Y218" s="20" t="s">
        <v>72</v>
      </c>
      <c r="Z218" s="20" t="s">
        <v>72</v>
      </c>
      <c r="AA218" s="23" t="s">
        <v>80</v>
      </c>
      <c r="AC218" s="25">
        <v>2</v>
      </c>
    </row>
    <row r="219" spans="1:29" ht="15" x14ac:dyDescent="0.2">
      <c r="A219">
        <v>38941394</v>
      </c>
      <c r="B219">
        <v>218</v>
      </c>
      <c r="C219" s="26" t="s">
        <v>1351</v>
      </c>
      <c r="D219" t="s">
        <v>1874</v>
      </c>
      <c r="E219">
        <v>3207015363</v>
      </c>
      <c r="F219" t="s">
        <v>1875</v>
      </c>
      <c r="G219" s="20" t="s">
        <v>922</v>
      </c>
      <c r="H219" t="s">
        <v>1834</v>
      </c>
      <c r="I219" s="20" t="s">
        <v>1835</v>
      </c>
      <c r="J219" s="20" t="s">
        <v>71</v>
      </c>
      <c r="K219" s="20" t="s">
        <v>71</v>
      </c>
      <c r="L219" s="20" t="s">
        <v>72</v>
      </c>
      <c r="M219" s="20" t="s">
        <v>71</v>
      </c>
      <c r="N219" s="20" t="s">
        <v>72</v>
      </c>
      <c r="O219" s="20" t="s">
        <v>72</v>
      </c>
      <c r="P219" s="20" t="s">
        <v>72</v>
      </c>
      <c r="Q219" s="20" t="s">
        <v>72</v>
      </c>
      <c r="R219" s="20" t="s">
        <v>72</v>
      </c>
      <c r="S219" s="20" t="s">
        <v>72</v>
      </c>
      <c r="T219" s="20" t="s">
        <v>72</v>
      </c>
      <c r="U219" s="20" t="s">
        <v>72</v>
      </c>
      <c r="V219" s="20" t="s">
        <v>72</v>
      </c>
      <c r="W219" s="20" t="s">
        <v>72</v>
      </c>
      <c r="X219" s="20" t="s">
        <v>71</v>
      </c>
      <c r="Y219" s="20" t="s">
        <v>71</v>
      </c>
      <c r="Z219" s="20" t="s">
        <v>71</v>
      </c>
      <c r="AA219" s="23" t="s">
        <v>80</v>
      </c>
      <c r="AC219" s="25">
        <v>2</v>
      </c>
    </row>
    <row r="220" spans="1:29" ht="15" x14ac:dyDescent="0.2">
      <c r="A220">
        <v>1107511973</v>
      </c>
      <c r="B220">
        <v>219</v>
      </c>
      <c r="C220" s="26" t="s">
        <v>1351</v>
      </c>
      <c r="D220" t="s">
        <v>1876</v>
      </c>
      <c r="E220">
        <v>3172919508</v>
      </c>
      <c r="F220" t="s">
        <v>1877</v>
      </c>
      <c r="G220" s="20" t="s">
        <v>922</v>
      </c>
      <c r="H220" t="s">
        <v>1834</v>
      </c>
      <c r="I220" s="20" t="s">
        <v>1835</v>
      </c>
      <c r="J220" s="20" t="s">
        <v>71</v>
      </c>
      <c r="K220" s="20" t="s">
        <v>71</v>
      </c>
      <c r="L220" s="20" t="s">
        <v>71</v>
      </c>
      <c r="M220" s="20" t="s">
        <v>71</v>
      </c>
      <c r="N220" s="20" t="s">
        <v>71</v>
      </c>
      <c r="O220" s="20" t="s">
        <v>71</v>
      </c>
      <c r="P220" s="20" t="s">
        <v>71</v>
      </c>
      <c r="Q220" s="20" t="s">
        <v>71</v>
      </c>
      <c r="R220" s="20" t="s">
        <v>71</v>
      </c>
      <c r="S220" s="20" t="s">
        <v>71</v>
      </c>
      <c r="T220" s="20" t="s">
        <v>71</v>
      </c>
      <c r="U220" s="20" t="s">
        <v>71</v>
      </c>
      <c r="V220" s="20" t="s">
        <v>71</v>
      </c>
      <c r="W220" s="20" t="s">
        <v>71</v>
      </c>
      <c r="X220" s="20" t="s">
        <v>71</v>
      </c>
      <c r="Y220" s="20" t="s">
        <v>71</v>
      </c>
      <c r="Z220" s="20" t="s">
        <v>71</v>
      </c>
      <c r="AA220" s="23" t="s">
        <v>1367</v>
      </c>
      <c r="AB220" s="24" t="s">
        <v>1878</v>
      </c>
      <c r="AC220" s="25" t="s">
        <v>1367</v>
      </c>
    </row>
    <row r="221" spans="1:29" ht="15" x14ac:dyDescent="0.2">
      <c r="A221">
        <v>1143857197</v>
      </c>
      <c r="B221">
        <v>220</v>
      </c>
      <c r="C221" s="26" t="s">
        <v>1351</v>
      </c>
      <c r="D221" t="s">
        <v>1879</v>
      </c>
      <c r="E221">
        <v>3226335988</v>
      </c>
      <c r="F221" t="s">
        <v>1880</v>
      </c>
      <c r="G221" s="20" t="s">
        <v>922</v>
      </c>
      <c r="H221" t="s">
        <v>1834</v>
      </c>
      <c r="I221" s="20" t="s">
        <v>1835</v>
      </c>
      <c r="J221" s="20" t="s">
        <v>71</v>
      </c>
      <c r="K221" s="20" t="s">
        <v>71</v>
      </c>
      <c r="L221" s="20" t="s">
        <v>72</v>
      </c>
      <c r="M221" s="20" t="s">
        <v>71</v>
      </c>
      <c r="N221" s="20" t="s">
        <v>72</v>
      </c>
      <c r="O221" s="20" t="s">
        <v>72</v>
      </c>
      <c r="P221" s="20" t="s">
        <v>72</v>
      </c>
      <c r="Q221" s="20" t="s">
        <v>72</v>
      </c>
      <c r="R221" s="20" t="s">
        <v>72</v>
      </c>
      <c r="S221" s="20" t="s">
        <v>72</v>
      </c>
      <c r="T221" s="20" t="s">
        <v>72</v>
      </c>
      <c r="U221" s="20" t="s">
        <v>72</v>
      </c>
      <c r="V221" s="20" t="s">
        <v>72</v>
      </c>
      <c r="W221" s="20" t="s">
        <v>72</v>
      </c>
      <c r="X221" s="20" t="s">
        <v>72</v>
      </c>
      <c r="Y221" s="20" t="s">
        <v>72</v>
      </c>
      <c r="Z221" s="20" t="s">
        <v>72</v>
      </c>
      <c r="AA221" s="23" t="s">
        <v>91</v>
      </c>
      <c r="AC221" s="25">
        <v>2</v>
      </c>
    </row>
    <row r="222" spans="1:29" ht="15" x14ac:dyDescent="0.2">
      <c r="A222">
        <v>16917385</v>
      </c>
      <c r="B222">
        <v>221</v>
      </c>
      <c r="C222" s="26" t="s">
        <v>1351</v>
      </c>
      <c r="D222" t="s">
        <v>1881</v>
      </c>
      <c r="E222">
        <v>3169534064</v>
      </c>
      <c r="F222" t="s">
        <v>1882</v>
      </c>
      <c r="G222" s="20" t="s">
        <v>922</v>
      </c>
      <c r="H222" t="s">
        <v>1834</v>
      </c>
      <c r="I222" s="20" t="s">
        <v>1835</v>
      </c>
      <c r="J222" s="20" t="s">
        <v>71</v>
      </c>
      <c r="K222" s="20" t="s">
        <v>71</v>
      </c>
      <c r="L222" s="20" t="s">
        <v>72</v>
      </c>
      <c r="M222" s="20" t="s">
        <v>71</v>
      </c>
      <c r="N222" s="20" t="s">
        <v>72</v>
      </c>
      <c r="O222" s="20" t="s">
        <v>72</v>
      </c>
      <c r="P222" s="20" t="s">
        <v>72</v>
      </c>
      <c r="Q222" s="20" t="s">
        <v>72</v>
      </c>
      <c r="R222" s="20" t="s">
        <v>72</v>
      </c>
      <c r="S222" s="20" t="s">
        <v>72</v>
      </c>
      <c r="T222" s="20" t="s">
        <v>72</v>
      </c>
      <c r="U222" s="20" t="s">
        <v>72</v>
      </c>
      <c r="V222" s="20" t="s">
        <v>72</v>
      </c>
      <c r="W222" s="20" t="s">
        <v>72</v>
      </c>
      <c r="X222" s="20" t="s">
        <v>72</v>
      </c>
      <c r="Y222" s="20" t="s">
        <v>72</v>
      </c>
      <c r="Z222" s="20" t="s">
        <v>72</v>
      </c>
      <c r="AA222" s="23" t="s">
        <v>80</v>
      </c>
      <c r="AC222" s="25">
        <v>2</v>
      </c>
    </row>
    <row r="223" spans="1:29" ht="15" x14ac:dyDescent="0.2">
      <c r="A223">
        <v>31895484</v>
      </c>
      <c r="B223">
        <v>222</v>
      </c>
      <c r="C223" s="26" t="s">
        <v>1351</v>
      </c>
      <c r="D223" t="s">
        <v>1883</v>
      </c>
      <c r="E223">
        <v>3028609909</v>
      </c>
      <c r="F223" t="s">
        <v>1884</v>
      </c>
      <c r="G223" s="20" t="s">
        <v>922</v>
      </c>
      <c r="H223" t="s">
        <v>1834</v>
      </c>
      <c r="I223" s="20" t="s">
        <v>1835</v>
      </c>
      <c r="J223" s="20" t="s">
        <v>71</v>
      </c>
      <c r="K223" s="20" t="s">
        <v>71</v>
      </c>
      <c r="L223" s="20" t="s">
        <v>72</v>
      </c>
      <c r="M223" s="20" t="s">
        <v>71</v>
      </c>
      <c r="N223" s="20" t="s">
        <v>72</v>
      </c>
      <c r="O223" s="20" t="s">
        <v>72</v>
      </c>
      <c r="P223" s="20" t="s">
        <v>72</v>
      </c>
      <c r="Q223" s="20" t="s">
        <v>72</v>
      </c>
      <c r="R223" s="20" t="s">
        <v>72</v>
      </c>
      <c r="S223" s="20" t="s">
        <v>72</v>
      </c>
      <c r="T223" s="20" t="s">
        <v>72</v>
      </c>
      <c r="U223" s="20" t="s">
        <v>71</v>
      </c>
      <c r="V223" s="20" t="s">
        <v>72</v>
      </c>
      <c r="W223" s="20" t="s">
        <v>72</v>
      </c>
      <c r="X223" s="20" t="s">
        <v>71</v>
      </c>
      <c r="Y223" s="20" t="s">
        <v>72</v>
      </c>
      <c r="Z223" s="20" t="s">
        <v>71</v>
      </c>
      <c r="AA223" s="23" t="s">
        <v>80</v>
      </c>
      <c r="AC223" s="25">
        <v>2</v>
      </c>
    </row>
    <row r="224" spans="1:29" ht="15" x14ac:dyDescent="0.2">
      <c r="A224">
        <v>31924208</v>
      </c>
      <c r="B224">
        <v>223</v>
      </c>
      <c r="C224" s="26" t="s">
        <v>1351</v>
      </c>
      <c r="D224" t="s">
        <v>1885</v>
      </c>
      <c r="E224">
        <v>3161818571</v>
      </c>
      <c r="F224" t="s">
        <v>1886</v>
      </c>
      <c r="G224" s="20" t="s">
        <v>922</v>
      </c>
      <c r="H224" t="s">
        <v>1834</v>
      </c>
      <c r="I224" s="20" t="s">
        <v>1835</v>
      </c>
      <c r="J224" s="20" t="s">
        <v>71</v>
      </c>
      <c r="K224" s="20" t="s">
        <v>71</v>
      </c>
      <c r="L224" s="20" t="s">
        <v>72</v>
      </c>
      <c r="M224" s="20" t="s">
        <v>71</v>
      </c>
      <c r="N224" s="20" t="s">
        <v>72</v>
      </c>
      <c r="O224" s="20" t="s">
        <v>72</v>
      </c>
      <c r="P224" s="20" t="s">
        <v>72</v>
      </c>
      <c r="Q224" s="20" t="s">
        <v>72</v>
      </c>
      <c r="R224" s="20" t="s">
        <v>72</v>
      </c>
      <c r="S224" s="20" t="s">
        <v>72</v>
      </c>
      <c r="T224" s="20" t="s">
        <v>72</v>
      </c>
      <c r="U224" s="20" t="s">
        <v>71</v>
      </c>
      <c r="V224" s="20" t="s">
        <v>71</v>
      </c>
      <c r="W224" s="20" t="s">
        <v>71</v>
      </c>
      <c r="X224" s="20" t="s">
        <v>71</v>
      </c>
      <c r="Y224" s="20" t="s">
        <v>71</v>
      </c>
      <c r="Z224" s="20" t="s">
        <v>71</v>
      </c>
      <c r="AA224" s="23" t="s">
        <v>256</v>
      </c>
      <c r="AC224" s="25">
        <v>3</v>
      </c>
    </row>
    <row r="225" spans="1:29" ht="15" x14ac:dyDescent="0.2">
      <c r="A225">
        <v>31231329</v>
      </c>
      <c r="B225">
        <v>224</v>
      </c>
      <c r="C225" s="26" t="s">
        <v>1351</v>
      </c>
      <c r="D225" t="s">
        <v>1766</v>
      </c>
      <c r="E225">
        <v>3174642779</v>
      </c>
      <c r="F225" t="s">
        <v>1887</v>
      </c>
      <c r="G225" s="20" t="s">
        <v>922</v>
      </c>
      <c r="H225" t="s">
        <v>1834</v>
      </c>
      <c r="I225" s="20" t="s">
        <v>1835</v>
      </c>
      <c r="J225" s="20" t="s">
        <v>71</v>
      </c>
      <c r="K225" s="20" t="s">
        <v>71</v>
      </c>
      <c r="L225" s="20" t="s">
        <v>72</v>
      </c>
      <c r="M225" s="20" t="s">
        <v>71</v>
      </c>
      <c r="N225" s="20" t="s">
        <v>72</v>
      </c>
      <c r="O225" s="20" t="s">
        <v>72</v>
      </c>
      <c r="P225" s="20" t="s">
        <v>72</v>
      </c>
      <c r="Q225" s="20" t="s">
        <v>72</v>
      </c>
      <c r="R225" s="20" t="s">
        <v>72</v>
      </c>
      <c r="S225" s="20" t="s">
        <v>72</v>
      </c>
      <c r="T225" s="20" t="s">
        <v>72</v>
      </c>
      <c r="U225" s="20" t="s">
        <v>72</v>
      </c>
      <c r="V225" s="20" t="s">
        <v>72</v>
      </c>
      <c r="W225" s="20" t="s">
        <v>72</v>
      </c>
      <c r="X225" s="20" t="s">
        <v>72</v>
      </c>
      <c r="Y225" s="20" t="s">
        <v>72</v>
      </c>
      <c r="Z225" s="20" t="s">
        <v>72</v>
      </c>
      <c r="AA225" s="23" t="s">
        <v>80</v>
      </c>
      <c r="AC225" s="25">
        <v>1</v>
      </c>
    </row>
    <row r="226" spans="1:29" ht="15" x14ac:dyDescent="0.2">
      <c r="A226">
        <v>1143853115</v>
      </c>
      <c r="B226">
        <v>225</v>
      </c>
      <c r="C226" s="26" t="s">
        <v>1351</v>
      </c>
      <c r="D226" t="s">
        <v>1888</v>
      </c>
      <c r="E226">
        <v>3207626720</v>
      </c>
      <c r="F226" t="s">
        <v>1889</v>
      </c>
      <c r="G226" s="20" t="s">
        <v>922</v>
      </c>
      <c r="H226" t="s">
        <v>1834</v>
      </c>
      <c r="I226" s="20" t="s">
        <v>1835</v>
      </c>
      <c r="J226" s="20" t="s">
        <v>71</v>
      </c>
      <c r="K226" s="20" t="s">
        <v>71</v>
      </c>
      <c r="L226" s="20" t="s">
        <v>72</v>
      </c>
      <c r="M226" s="20" t="s">
        <v>71</v>
      </c>
      <c r="N226" s="20" t="s">
        <v>72</v>
      </c>
      <c r="O226" s="20" t="s">
        <v>72</v>
      </c>
      <c r="P226" s="20" t="s">
        <v>72</v>
      </c>
      <c r="Q226" s="20" t="s">
        <v>72</v>
      </c>
      <c r="R226" s="20" t="s">
        <v>72</v>
      </c>
      <c r="S226" s="20" t="s">
        <v>72</v>
      </c>
      <c r="T226" s="20" t="s">
        <v>72</v>
      </c>
      <c r="U226" s="20" t="s">
        <v>72</v>
      </c>
      <c r="V226" s="20" t="s">
        <v>72</v>
      </c>
      <c r="W226" s="20" t="s">
        <v>72</v>
      </c>
      <c r="X226" s="20" t="s">
        <v>72</v>
      </c>
      <c r="Y226" s="20" t="s">
        <v>72</v>
      </c>
      <c r="Z226" s="20" t="s">
        <v>72</v>
      </c>
      <c r="AA226" s="23" t="s">
        <v>80</v>
      </c>
      <c r="AC226" s="25">
        <v>2</v>
      </c>
    </row>
    <row r="227" spans="1:29" ht="15" x14ac:dyDescent="0.2">
      <c r="A227">
        <v>1143846263</v>
      </c>
      <c r="B227">
        <v>226</v>
      </c>
      <c r="C227" s="26" t="s">
        <v>1351</v>
      </c>
      <c r="D227" t="s">
        <v>1890</v>
      </c>
      <c r="E227">
        <v>3174604170</v>
      </c>
      <c r="F227" t="s">
        <v>1891</v>
      </c>
      <c r="G227" s="20" t="s">
        <v>922</v>
      </c>
      <c r="H227" t="s">
        <v>1834</v>
      </c>
      <c r="I227" s="20" t="s">
        <v>1835</v>
      </c>
      <c r="J227" s="20" t="s">
        <v>71</v>
      </c>
      <c r="K227" s="20" t="s">
        <v>71</v>
      </c>
      <c r="L227" s="20" t="s">
        <v>72</v>
      </c>
      <c r="M227" s="20" t="s">
        <v>71</v>
      </c>
      <c r="N227" s="20" t="s">
        <v>72</v>
      </c>
      <c r="O227" s="20" t="s">
        <v>72</v>
      </c>
      <c r="P227" s="20" t="s">
        <v>72</v>
      </c>
      <c r="Q227" s="20" t="s">
        <v>72</v>
      </c>
      <c r="R227" s="20" t="s">
        <v>72</v>
      </c>
      <c r="S227" s="20" t="s">
        <v>72</v>
      </c>
      <c r="T227" s="20" t="s">
        <v>72</v>
      </c>
      <c r="U227" s="20" t="s">
        <v>71</v>
      </c>
      <c r="V227" s="20" t="s">
        <v>72</v>
      </c>
      <c r="W227" s="20" t="s">
        <v>72</v>
      </c>
      <c r="X227" s="20" t="s">
        <v>72</v>
      </c>
      <c r="Y227" s="20" t="s">
        <v>72</v>
      </c>
      <c r="Z227" s="20" t="s">
        <v>71</v>
      </c>
      <c r="AA227" s="23" t="s">
        <v>80</v>
      </c>
      <c r="AC227" s="25">
        <v>2</v>
      </c>
    </row>
    <row r="228" spans="1:29" ht="15" x14ac:dyDescent="0.2">
      <c r="A228">
        <v>1107090332</v>
      </c>
      <c r="B228">
        <v>227</v>
      </c>
      <c r="C228" s="26" t="s">
        <v>1351</v>
      </c>
      <c r="D228" t="s">
        <v>1892</v>
      </c>
      <c r="E228">
        <v>3001225524</v>
      </c>
      <c r="F228" t="s">
        <v>1893</v>
      </c>
      <c r="G228" s="20" t="s">
        <v>922</v>
      </c>
      <c r="H228" t="s">
        <v>1834</v>
      </c>
      <c r="I228" s="20" t="s">
        <v>1835</v>
      </c>
      <c r="J228" s="20" t="s">
        <v>71</v>
      </c>
      <c r="K228" s="20" t="s">
        <v>71</v>
      </c>
      <c r="L228" s="20" t="s">
        <v>72</v>
      </c>
      <c r="M228" s="20" t="s">
        <v>71</v>
      </c>
      <c r="N228" s="20" t="s">
        <v>72</v>
      </c>
      <c r="O228" s="20" t="s">
        <v>72</v>
      </c>
      <c r="P228" s="20" t="s">
        <v>72</v>
      </c>
      <c r="Q228" s="20" t="s">
        <v>72</v>
      </c>
      <c r="R228" s="20" t="s">
        <v>72</v>
      </c>
      <c r="S228" s="20" t="s">
        <v>72</v>
      </c>
      <c r="T228" s="20" t="s">
        <v>72</v>
      </c>
      <c r="U228" s="20" t="s">
        <v>72</v>
      </c>
      <c r="V228" s="20" t="s">
        <v>72</v>
      </c>
      <c r="W228" s="20" t="s">
        <v>72</v>
      </c>
      <c r="X228" s="20" t="s">
        <v>72</v>
      </c>
      <c r="Y228" s="20" t="s">
        <v>72</v>
      </c>
      <c r="Z228" s="20" t="s">
        <v>71</v>
      </c>
      <c r="AA228" s="23" t="s">
        <v>80</v>
      </c>
      <c r="AC228" s="25">
        <v>2</v>
      </c>
    </row>
    <row r="229" spans="1:29" ht="15" x14ac:dyDescent="0.2">
      <c r="A229">
        <v>66989106</v>
      </c>
      <c r="B229">
        <v>228</v>
      </c>
      <c r="C229" s="26" t="s">
        <v>1351</v>
      </c>
      <c r="D229" t="s">
        <v>1894</v>
      </c>
      <c r="E229">
        <v>3152608733</v>
      </c>
      <c r="F229" t="s">
        <v>1895</v>
      </c>
      <c r="G229" s="20" t="s">
        <v>922</v>
      </c>
      <c r="H229" t="s">
        <v>1834</v>
      </c>
      <c r="I229" s="20" t="s">
        <v>1835</v>
      </c>
      <c r="J229" s="20" t="s">
        <v>76</v>
      </c>
      <c r="K229" s="20" t="s">
        <v>76</v>
      </c>
      <c r="L229" s="20" t="s">
        <v>71</v>
      </c>
      <c r="M229" s="20" t="s">
        <v>71</v>
      </c>
      <c r="N229" s="20" t="s">
        <v>71</v>
      </c>
      <c r="O229" s="20" t="s">
        <v>71</v>
      </c>
      <c r="P229" s="20" t="s">
        <v>71</v>
      </c>
      <c r="Q229" s="20" t="s">
        <v>71</v>
      </c>
      <c r="R229" s="20" t="s">
        <v>71</v>
      </c>
      <c r="S229" s="20" t="s">
        <v>71</v>
      </c>
      <c r="T229" s="20" t="s">
        <v>71</v>
      </c>
      <c r="U229" s="20" t="s">
        <v>71</v>
      </c>
      <c r="V229" s="20" t="s">
        <v>71</v>
      </c>
      <c r="W229" s="20" t="s">
        <v>71</v>
      </c>
      <c r="X229" s="20" t="s">
        <v>71</v>
      </c>
      <c r="Y229" s="20" t="s">
        <v>71</v>
      </c>
      <c r="Z229" s="20" t="s">
        <v>71</v>
      </c>
      <c r="AA229" s="23" t="s">
        <v>73</v>
      </c>
      <c r="AC229" s="25">
        <v>2</v>
      </c>
    </row>
    <row r="230" spans="1:29" ht="15" x14ac:dyDescent="0.2">
      <c r="A230">
        <v>94061999</v>
      </c>
      <c r="B230">
        <v>229</v>
      </c>
      <c r="C230" s="26" t="s">
        <v>1351</v>
      </c>
      <c r="D230" t="s">
        <v>1896</v>
      </c>
      <c r="E230">
        <v>31585541330</v>
      </c>
      <c r="F230" t="s">
        <v>1897</v>
      </c>
      <c r="G230" s="20" t="s">
        <v>922</v>
      </c>
      <c r="H230" t="s">
        <v>1834</v>
      </c>
      <c r="I230" s="20" t="s">
        <v>1835</v>
      </c>
      <c r="J230" s="20" t="s">
        <v>71</v>
      </c>
      <c r="K230" s="20" t="s">
        <v>71</v>
      </c>
      <c r="L230" s="20" t="s">
        <v>72</v>
      </c>
      <c r="M230" s="20" t="s">
        <v>71</v>
      </c>
      <c r="N230" s="20" t="s">
        <v>72</v>
      </c>
      <c r="O230" s="20" t="s">
        <v>72</v>
      </c>
      <c r="P230" s="20" t="s">
        <v>72</v>
      </c>
      <c r="Q230" s="20" t="s">
        <v>72</v>
      </c>
      <c r="R230" s="20" t="s">
        <v>72</v>
      </c>
      <c r="S230" s="20" t="s">
        <v>72</v>
      </c>
      <c r="T230" s="20" t="s">
        <v>72</v>
      </c>
      <c r="U230" s="20" t="s">
        <v>72</v>
      </c>
      <c r="V230" s="20" t="s">
        <v>72</v>
      </c>
      <c r="W230" s="20" t="s">
        <v>72</v>
      </c>
      <c r="X230" s="20" t="s">
        <v>71</v>
      </c>
      <c r="Y230" s="20" t="s">
        <v>72</v>
      </c>
      <c r="Z230" s="20" t="s">
        <v>71</v>
      </c>
      <c r="AA230" s="23" t="s">
        <v>80</v>
      </c>
      <c r="AC230" s="25">
        <v>2</v>
      </c>
    </row>
    <row r="231" spans="1:29" ht="15" x14ac:dyDescent="0.2">
      <c r="A231">
        <v>1144097141</v>
      </c>
      <c r="B231">
        <v>230</v>
      </c>
      <c r="C231" s="26" t="s">
        <v>1351</v>
      </c>
      <c r="D231" t="s">
        <v>1898</v>
      </c>
      <c r="E231">
        <v>3234871414</v>
      </c>
      <c r="F231" t="s">
        <v>1899</v>
      </c>
      <c r="G231" s="20" t="s">
        <v>922</v>
      </c>
      <c r="H231" t="s">
        <v>1834</v>
      </c>
      <c r="I231" s="20" t="s">
        <v>1835</v>
      </c>
      <c r="J231" s="20" t="s">
        <v>71</v>
      </c>
      <c r="K231" s="20" t="s">
        <v>71</v>
      </c>
      <c r="L231" s="20" t="s">
        <v>72</v>
      </c>
      <c r="M231" s="20" t="s">
        <v>71</v>
      </c>
      <c r="N231" s="20" t="s">
        <v>72</v>
      </c>
      <c r="O231" s="20" t="s">
        <v>72</v>
      </c>
      <c r="P231" s="20" t="s">
        <v>72</v>
      </c>
      <c r="Q231" s="20" t="s">
        <v>72</v>
      </c>
      <c r="R231" s="20" t="s">
        <v>72</v>
      </c>
      <c r="S231" s="20" t="s">
        <v>72</v>
      </c>
      <c r="T231" s="20" t="s">
        <v>72</v>
      </c>
      <c r="U231" s="20" t="s">
        <v>72</v>
      </c>
      <c r="V231" s="20" t="s">
        <v>72</v>
      </c>
      <c r="W231" s="20" t="s">
        <v>72</v>
      </c>
      <c r="X231" s="20" t="s">
        <v>72</v>
      </c>
      <c r="Y231" s="20" t="s">
        <v>72</v>
      </c>
      <c r="Z231" s="20" t="s">
        <v>72</v>
      </c>
      <c r="AA231" s="23" t="s">
        <v>80</v>
      </c>
      <c r="AC231" s="25">
        <v>1</v>
      </c>
    </row>
    <row r="232" spans="1:29" ht="15" x14ac:dyDescent="0.2">
      <c r="A232">
        <v>31909838</v>
      </c>
      <c r="B232">
        <v>231</v>
      </c>
      <c r="C232" s="26" t="s">
        <v>1351</v>
      </c>
      <c r="D232" t="s">
        <v>1900</v>
      </c>
      <c r="E232">
        <v>3012947414</v>
      </c>
      <c r="F232" t="s">
        <v>1901</v>
      </c>
      <c r="G232" s="20" t="s">
        <v>922</v>
      </c>
      <c r="H232" t="s">
        <v>1834</v>
      </c>
      <c r="I232" s="20" t="s">
        <v>1835</v>
      </c>
      <c r="J232" s="20" t="s">
        <v>71</v>
      </c>
      <c r="K232" s="20" t="s">
        <v>72</v>
      </c>
      <c r="L232" s="20" t="s">
        <v>72</v>
      </c>
      <c r="M232" s="20" t="s">
        <v>71</v>
      </c>
      <c r="N232" s="20" t="s">
        <v>72</v>
      </c>
      <c r="O232" s="20" t="s">
        <v>72</v>
      </c>
      <c r="P232" s="20" t="s">
        <v>72</v>
      </c>
      <c r="Q232" s="20" t="s">
        <v>72</v>
      </c>
      <c r="R232" s="20" t="s">
        <v>72</v>
      </c>
      <c r="S232" s="20" t="s">
        <v>72</v>
      </c>
      <c r="T232" s="20" t="s">
        <v>72</v>
      </c>
      <c r="U232" s="20" t="s">
        <v>72</v>
      </c>
      <c r="V232" s="20" t="s">
        <v>72</v>
      </c>
      <c r="W232" s="20" t="s">
        <v>72</v>
      </c>
      <c r="X232" s="20" t="s">
        <v>72</v>
      </c>
      <c r="Y232" s="20" t="s">
        <v>72</v>
      </c>
      <c r="Z232" s="20" t="s">
        <v>72</v>
      </c>
      <c r="AA232" s="23" t="s">
        <v>91</v>
      </c>
      <c r="AC232" s="25">
        <v>1</v>
      </c>
    </row>
    <row r="233" spans="1:29" ht="15" x14ac:dyDescent="0.2">
      <c r="A233">
        <v>14440058</v>
      </c>
      <c r="B233">
        <v>232</v>
      </c>
      <c r="C233" s="26" t="s">
        <v>1351</v>
      </c>
      <c r="D233" t="s">
        <v>1902</v>
      </c>
      <c r="E233">
        <v>3206631689</v>
      </c>
      <c r="F233" t="s">
        <v>1903</v>
      </c>
      <c r="G233" s="20" t="s">
        <v>922</v>
      </c>
      <c r="H233" t="s">
        <v>1834</v>
      </c>
      <c r="I233" s="20" t="s">
        <v>1835</v>
      </c>
      <c r="J233" s="20" t="s">
        <v>71</v>
      </c>
      <c r="K233" s="20" t="s">
        <v>71</v>
      </c>
      <c r="L233" s="20" t="s">
        <v>72</v>
      </c>
      <c r="M233" s="20" t="s">
        <v>71</v>
      </c>
      <c r="N233" s="20" t="s">
        <v>71</v>
      </c>
      <c r="O233" s="20" t="s">
        <v>72</v>
      </c>
      <c r="P233" s="20" t="s">
        <v>72</v>
      </c>
      <c r="Q233" s="20" t="s">
        <v>72</v>
      </c>
      <c r="R233" s="20" t="s">
        <v>72</v>
      </c>
      <c r="S233" s="20" t="s">
        <v>72</v>
      </c>
      <c r="T233" s="20" t="s">
        <v>71</v>
      </c>
      <c r="U233" s="20" t="s">
        <v>71</v>
      </c>
      <c r="V233" s="20" t="s">
        <v>71</v>
      </c>
      <c r="W233" s="20" t="s">
        <v>71</v>
      </c>
      <c r="X233" s="20" t="s">
        <v>71</v>
      </c>
      <c r="Y233" s="20" t="s">
        <v>71</v>
      </c>
      <c r="Z233" s="20" t="s">
        <v>71</v>
      </c>
      <c r="AA233" s="23" t="s">
        <v>256</v>
      </c>
      <c r="AC233" s="25">
        <v>3</v>
      </c>
    </row>
    <row r="234" spans="1:29" ht="15" x14ac:dyDescent="0.2">
      <c r="A234">
        <v>66814958</v>
      </c>
      <c r="B234">
        <v>233</v>
      </c>
      <c r="C234" s="26" t="s">
        <v>1351</v>
      </c>
      <c r="D234" t="s">
        <v>1904</v>
      </c>
      <c r="E234">
        <v>3128890420</v>
      </c>
      <c r="F234" t="s">
        <v>1905</v>
      </c>
      <c r="G234" s="20" t="s">
        <v>922</v>
      </c>
      <c r="H234" t="s">
        <v>1834</v>
      </c>
      <c r="I234" s="20" t="s">
        <v>1835</v>
      </c>
      <c r="J234" s="20" t="s">
        <v>71</v>
      </c>
      <c r="K234" s="20" t="s">
        <v>71</v>
      </c>
      <c r="L234" s="20" t="s">
        <v>71</v>
      </c>
      <c r="M234" s="20" t="s">
        <v>71</v>
      </c>
      <c r="N234" s="20" t="s">
        <v>71</v>
      </c>
      <c r="O234" s="20" t="s">
        <v>71</v>
      </c>
      <c r="P234" s="20" t="s">
        <v>71</v>
      </c>
      <c r="Q234" s="20" t="s">
        <v>71</v>
      </c>
      <c r="R234" s="20" t="s">
        <v>71</v>
      </c>
      <c r="S234" s="20" t="s">
        <v>71</v>
      </c>
      <c r="T234" s="20" t="s">
        <v>71</v>
      </c>
      <c r="U234" s="20" t="s">
        <v>72</v>
      </c>
      <c r="V234" s="20" t="s">
        <v>72</v>
      </c>
      <c r="W234" s="20" t="s">
        <v>72</v>
      </c>
      <c r="X234" s="20" t="s">
        <v>72</v>
      </c>
      <c r="Y234" s="20" t="s">
        <v>72</v>
      </c>
      <c r="Z234" s="20" t="s">
        <v>72</v>
      </c>
      <c r="AA234" s="23" t="s">
        <v>179</v>
      </c>
      <c r="AC234" s="25">
        <v>3</v>
      </c>
    </row>
    <row r="235" spans="1:29" ht="15" x14ac:dyDescent="0.2">
      <c r="A235">
        <v>1193555442</v>
      </c>
      <c r="B235">
        <v>234</v>
      </c>
      <c r="C235" s="26" t="s">
        <v>1351</v>
      </c>
      <c r="D235" t="s">
        <v>1906</v>
      </c>
      <c r="E235">
        <v>3113589871</v>
      </c>
      <c r="F235" t="s">
        <v>1907</v>
      </c>
      <c r="G235" s="20" t="s">
        <v>922</v>
      </c>
      <c r="H235" t="s">
        <v>1834</v>
      </c>
      <c r="I235" s="20" t="s">
        <v>1835</v>
      </c>
      <c r="J235" s="20" t="s">
        <v>71</v>
      </c>
      <c r="K235" s="20" t="s">
        <v>71</v>
      </c>
      <c r="L235" s="20" t="s">
        <v>71</v>
      </c>
      <c r="M235" s="20" t="s">
        <v>71</v>
      </c>
      <c r="N235" s="20" t="s">
        <v>71</v>
      </c>
      <c r="O235" s="20" t="s">
        <v>71</v>
      </c>
      <c r="P235" s="20" t="s">
        <v>71</v>
      </c>
      <c r="Q235" s="20" t="s">
        <v>71</v>
      </c>
      <c r="R235" s="20" t="s">
        <v>71</v>
      </c>
      <c r="S235" s="20" t="s">
        <v>71</v>
      </c>
      <c r="T235" s="20" t="s">
        <v>71</v>
      </c>
      <c r="U235" s="20" t="s">
        <v>72</v>
      </c>
      <c r="V235" s="20" t="s">
        <v>72</v>
      </c>
      <c r="W235" s="20" t="s">
        <v>72</v>
      </c>
      <c r="X235" s="20" t="s">
        <v>72</v>
      </c>
      <c r="Y235" s="20" t="s">
        <v>72</v>
      </c>
      <c r="Z235" s="20" t="s">
        <v>72</v>
      </c>
      <c r="AA235" s="23" t="s">
        <v>179</v>
      </c>
      <c r="AC235" s="25">
        <v>3</v>
      </c>
    </row>
    <row r="236" spans="1:29" s="21" customFormat="1" ht="15" x14ac:dyDescent="0.2">
      <c r="A236" s="33">
        <v>1005976691</v>
      </c>
      <c r="B236" s="33">
        <v>235</v>
      </c>
      <c r="C236" s="26" t="s">
        <v>1351</v>
      </c>
      <c r="D236" s="33" t="s">
        <v>1908</v>
      </c>
      <c r="E236" s="33">
        <v>3160560144</v>
      </c>
      <c r="F236" s="33" t="s">
        <v>1909</v>
      </c>
      <c r="G236" s="21" t="s">
        <v>922</v>
      </c>
      <c r="H236" s="33" t="s">
        <v>1834</v>
      </c>
      <c r="I236" s="21" t="s">
        <v>1835</v>
      </c>
      <c r="AA236" s="34" t="s">
        <v>1464</v>
      </c>
      <c r="AB236" s="29" t="s">
        <v>1464</v>
      </c>
      <c r="AC236" s="31" t="s">
        <v>1464</v>
      </c>
    </row>
    <row r="237" spans="1:29" ht="15" x14ac:dyDescent="0.2">
      <c r="A237">
        <v>16679467</v>
      </c>
      <c r="B237">
        <v>236</v>
      </c>
      <c r="C237" s="26" t="s">
        <v>1351</v>
      </c>
      <c r="D237" t="s">
        <v>1910</v>
      </c>
      <c r="E237">
        <v>3152016012</v>
      </c>
      <c r="F237" t="s">
        <v>1911</v>
      </c>
      <c r="G237" s="20" t="s">
        <v>922</v>
      </c>
      <c r="H237" t="s">
        <v>1834</v>
      </c>
      <c r="I237" s="20" t="s">
        <v>1835</v>
      </c>
      <c r="J237" s="20" t="s">
        <v>71</v>
      </c>
      <c r="K237" s="20" t="s">
        <v>71</v>
      </c>
      <c r="L237" s="20" t="s">
        <v>72</v>
      </c>
      <c r="M237" s="20" t="s">
        <v>71</v>
      </c>
      <c r="N237" s="20" t="s">
        <v>72</v>
      </c>
      <c r="O237" s="20" t="s">
        <v>72</v>
      </c>
      <c r="P237" s="20" t="s">
        <v>72</v>
      </c>
      <c r="Q237" s="20" t="s">
        <v>72</v>
      </c>
      <c r="R237" s="20" t="s">
        <v>72</v>
      </c>
      <c r="S237" s="20" t="s">
        <v>72</v>
      </c>
      <c r="T237" s="20" t="s">
        <v>72</v>
      </c>
      <c r="U237" s="20" t="s">
        <v>72</v>
      </c>
      <c r="V237" s="20" t="s">
        <v>72</v>
      </c>
      <c r="W237" s="20" t="s">
        <v>72</v>
      </c>
      <c r="X237" s="20" t="s">
        <v>72</v>
      </c>
      <c r="Y237" s="20" t="s">
        <v>72</v>
      </c>
      <c r="Z237" s="20" t="s">
        <v>72</v>
      </c>
      <c r="AA237" s="23" t="s">
        <v>80</v>
      </c>
      <c r="AC237" s="25">
        <v>2</v>
      </c>
    </row>
    <row r="238" spans="1:29" ht="15" x14ac:dyDescent="0.2">
      <c r="A238">
        <v>29105566</v>
      </c>
      <c r="B238">
        <v>237</v>
      </c>
      <c r="C238" s="26" t="s">
        <v>1351</v>
      </c>
      <c r="D238" t="s">
        <v>1912</v>
      </c>
      <c r="E238">
        <v>3182765126</v>
      </c>
      <c r="F238" t="s">
        <v>1913</v>
      </c>
      <c r="G238" s="20" t="s">
        <v>922</v>
      </c>
      <c r="H238" t="s">
        <v>1834</v>
      </c>
      <c r="I238" s="20" t="s">
        <v>1835</v>
      </c>
      <c r="J238" s="20" t="s">
        <v>76</v>
      </c>
      <c r="K238" s="20" t="s">
        <v>76</v>
      </c>
      <c r="L238" s="20" t="s">
        <v>72</v>
      </c>
      <c r="M238" s="20" t="s">
        <v>71</v>
      </c>
      <c r="N238" s="20" t="s">
        <v>72</v>
      </c>
      <c r="O238" s="20" t="s">
        <v>72</v>
      </c>
      <c r="P238" s="20" t="s">
        <v>72</v>
      </c>
      <c r="Q238" s="20" t="s">
        <v>72</v>
      </c>
      <c r="R238" s="20" t="s">
        <v>72</v>
      </c>
      <c r="S238" s="20" t="s">
        <v>72</v>
      </c>
      <c r="T238" s="20" t="s">
        <v>72</v>
      </c>
      <c r="U238" s="20" t="s">
        <v>72</v>
      </c>
      <c r="V238" s="20" t="s">
        <v>72</v>
      </c>
      <c r="W238" s="20" t="s">
        <v>72</v>
      </c>
      <c r="X238" s="20" t="s">
        <v>72</v>
      </c>
      <c r="Y238" s="20" t="s">
        <v>72</v>
      </c>
      <c r="Z238" s="20" t="s">
        <v>72</v>
      </c>
      <c r="AA238" s="23" t="s">
        <v>91</v>
      </c>
      <c r="AC238" s="25">
        <v>1</v>
      </c>
    </row>
    <row r="239" spans="1:29" ht="15" x14ac:dyDescent="0.2">
      <c r="A239">
        <v>1130598844</v>
      </c>
      <c r="B239">
        <v>238</v>
      </c>
      <c r="C239" s="26" t="s">
        <v>1351</v>
      </c>
      <c r="D239" t="s">
        <v>1902</v>
      </c>
      <c r="E239">
        <v>3146347566</v>
      </c>
      <c r="F239" t="s">
        <v>1914</v>
      </c>
      <c r="G239" s="20" t="s">
        <v>922</v>
      </c>
      <c r="H239" t="s">
        <v>1834</v>
      </c>
      <c r="I239" s="20" t="s">
        <v>1835</v>
      </c>
      <c r="J239" s="20" t="s">
        <v>71</v>
      </c>
      <c r="K239" s="20" t="s">
        <v>71</v>
      </c>
      <c r="L239" s="20" t="s">
        <v>71</v>
      </c>
      <c r="M239" s="20" t="s">
        <v>71</v>
      </c>
      <c r="N239" s="20" t="s">
        <v>76</v>
      </c>
      <c r="O239" s="20" t="s">
        <v>76</v>
      </c>
      <c r="P239" s="20" t="s">
        <v>76</v>
      </c>
      <c r="Q239" s="20" t="s">
        <v>71</v>
      </c>
      <c r="R239" s="20" t="s">
        <v>71</v>
      </c>
      <c r="S239" s="20" t="s">
        <v>71</v>
      </c>
      <c r="T239" s="20" t="s">
        <v>71</v>
      </c>
      <c r="U239" s="20" t="s">
        <v>72</v>
      </c>
      <c r="V239" s="20" t="s">
        <v>72</v>
      </c>
      <c r="W239" s="20" t="s">
        <v>72</v>
      </c>
      <c r="X239" s="20" t="s">
        <v>71</v>
      </c>
      <c r="Y239" s="20" t="s">
        <v>76</v>
      </c>
      <c r="Z239" s="20" t="s">
        <v>71</v>
      </c>
      <c r="AA239" s="23" t="s">
        <v>80</v>
      </c>
      <c r="AC239" s="25">
        <v>2</v>
      </c>
    </row>
    <row r="240" spans="1:29" ht="15" x14ac:dyDescent="0.2">
      <c r="A240">
        <v>66834663</v>
      </c>
      <c r="B240">
        <v>239</v>
      </c>
      <c r="C240" s="26" t="s">
        <v>1351</v>
      </c>
      <c r="D240" t="s">
        <v>1915</v>
      </c>
      <c r="E240">
        <v>3126231326</v>
      </c>
      <c r="F240" t="s">
        <v>1916</v>
      </c>
      <c r="G240" s="20" t="s">
        <v>922</v>
      </c>
      <c r="H240" t="s">
        <v>1834</v>
      </c>
      <c r="I240" s="20" t="s">
        <v>1835</v>
      </c>
      <c r="J240" s="20" t="s">
        <v>71</v>
      </c>
      <c r="K240" s="20" t="s">
        <v>71</v>
      </c>
      <c r="L240" s="20" t="s">
        <v>72</v>
      </c>
      <c r="M240" s="20" t="s">
        <v>72</v>
      </c>
      <c r="N240" s="20" t="s">
        <v>72</v>
      </c>
      <c r="O240" s="20" t="s">
        <v>72</v>
      </c>
      <c r="P240" s="20" t="s">
        <v>72</v>
      </c>
      <c r="Q240" s="20" t="s">
        <v>72</v>
      </c>
      <c r="R240" s="20" t="s">
        <v>72</v>
      </c>
      <c r="S240" s="20" t="s">
        <v>72</v>
      </c>
      <c r="T240" s="20" t="s">
        <v>71</v>
      </c>
      <c r="U240" s="20" t="s">
        <v>71</v>
      </c>
      <c r="V240" s="20" t="s">
        <v>71</v>
      </c>
      <c r="W240" s="20" t="s">
        <v>71</v>
      </c>
      <c r="X240" s="20" t="s">
        <v>71</v>
      </c>
      <c r="Y240" s="20" t="s">
        <v>71</v>
      </c>
      <c r="Z240" s="20" t="s">
        <v>71</v>
      </c>
      <c r="AA240" s="23" t="s">
        <v>256</v>
      </c>
      <c r="AC240" s="25">
        <v>3</v>
      </c>
    </row>
    <row r="241" spans="1:29" ht="15" x14ac:dyDescent="0.2">
      <c r="A241">
        <v>31905712</v>
      </c>
      <c r="B241">
        <v>240</v>
      </c>
      <c r="C241" s="26" t="s">
        <v>1351</v>
      </c>
      <c r="D241" t="s">
        <v>1917</v>
      </c>
      <c r="E241">
        <v>3158910418</v>
      </c>
      <c r="F241" t="s">
        <v>1918</v>
      </c>
      <c r="G241" s="20" t="s">
        <v>922</v>
      </c>
      <c r="H241" t="s">
        <v>1834</v>
      </c>
      <c r="I241" s="20" t="s">
        <v>1835</v>
      </c>
      <c r="J241" s="20" t="s">
        <v>71</v>
      </c>
      <c r="K241" s="20" t="s">
        <v>71</v>
      </c>
      <c r="L241" s="20" t="s">
        <v>71</v>
      </c>
      <c r="M241" s="20" t="s">
        <v>71</v>
      </c>
      <c r="N241" s="20" t="s">
        <v>72</v>
      </c>
      <c r="O241" s="20" t="s">
        <v>72</v>
      </c>
      <c r="P241" s="20" t="s">
        <v>72</v>
      </c>
      <c r="Q241" s="20" t="s">
        <v>71</v>
      </c>
      <c r="R241" s="20" t="s">
        <v>72</v>
      </c>
      <c r="S241" s="20" t="s">
        <v>72</v>
      </c>
      <c r="T241" s="20" t="s">
        <v>72</v>
      </c>
      <c r="U241" s="20" t="s">
        <v>72</v>
      </c>
      <c r="V241" s="20" t="s">
        <v>72</v>
      </c>
      <c r="W241" s="20" t="s">
        <v>72</v>
      </c>
      <c r="X241" s="20" t="s">
        <v>72</v>
      </c>
      <c r="Y241" s="20" t="s">
        <v>72</v>
      </c>
      <c r="Z241" s="20" t="s">
        <v>72</v>
      </c>
      <c r="AA241" s="23" t="s">
        <v>80</v>
      </c>
      <c r="AC241" s="25">
        <v>1</v>
      </c>
    </row>
    <row r="242" spans="1:29" ht="15" x14ac:dyDescent="0.2">
      <c r="A242">
        <v>66956904</v>
      </c>
      <c r="B242">
        <v>241</v>
      </c>
      <c r="C242" s="26" t="s">
        <v>1351</v>
      </c>
      <c r="D242" t="s">
        <v>1894</v>
      </c>
      <c r="E242">
        <v>3122440709</v>
      </c>
      <c r="F242" t="s">
        <v>1919</v>
      </c>
      <c r="G242" s="20" t="s">
        <v>922</v>
      </c>
      <c r="H242" t="s">
        <v>1834</v>
      </c>
      <c r="I242" s="20" t="s">
        <v>1835</v>
      </c>
      <c r="J242" s="20" t="s">
        <v>71</v>
      </c>
      <c r="K242" s="20" t="s">
        <v>71</v>
      </c>
      <c r="L242" s="20" t="s">
        <v>72</v>
      </c>
      <c r="M242" s="20" t="s">
        <v>71</v>
      </c>
      <c r="N242" s="20" t="s">
        <v>72</v>
      </c>
      <c r="O242" s="20" t="s">
        <v>72</v>
      </c>
      <c r="P242" s="20" t="s">
        <v>72</v>
      </c>
      <c r="Q242" s="20" t="s">
        <v>72</v>
      </c>
      <c r="R242" s="20" t="s">
        <v>72</v>
      </c>
      <c r="S242" s="20" t="s">
        <v>72</v>
      </c>
      <c r="T242" s="20" t="s">
        <v>72</v>
      </c>
      <c r="U242" s="20" t="s">
        <v>72</v>
      </c>
      <c r="V242" s="20" t="s">
        <v>72</v>
      </c>
      <c r="W242" s="20" t="s">
        <v>72</v>
      </c>
      <c r="X242" s="20" t="s">
        <v>72</v>
      </c>
      <c r="Y242" s="20" t="s">
        <v>76</v>
      </c>
      <c r="Z242" s="20" t="s">
        <v>72</v>
      </c>
      <c r="AA242" s="23" t="s">
        <v>80</v>
      </c>
      <c r="AC242" s="25">
        <v>1</v>
      </c>
    </row>
    <row r="243" spans="1:29" ht="15" x14ac:dyDescent="0.2">
      <c r="A243">
        <v>1143831857</v>
      </c>
      <c r="B243">
        <v>242</v>
      </c>
      <c r="C243" s="26" t="s">
        <v>1351</v>
      </c>
      <c r="D243" t="s">
        <v>1920</v>
      </c>
      <c r="E243">
        <v>3153080199</v>
      </c>
      <c r="F243" t="s">
        <v>1921</v>
      </c>
      <c r="G243" s="20" t="s">
        <v>922</v>
      </c>
      <c r="H243" t="s">
        <v>1834</v>
      </c>
      <c r="I243" s="20" t="s">
        <v>1835</v>
      </c>
      <c r="J243" s="20" t="s">
        <v>76</v>
      </c>
      <c r="K243" s="20" t="s">
        <v>76</v>
      </c>
      <c r="L243" s="20" t="s">
        <v>72</v>
      </c>
      <c r="M243" s="20" t="s">
        <v>71</v>
      </c>
      <c r="N243" s="20" t="s">
        <v>72</v>
      </c>
      <c r="O243" s="20" t="s">
        <v>72</v>
      </c>
      <c r="P243" s="20" t="s">
        <v>72</v>
      </c>
      <c r="Q243" s="20" t="s">
        <v>72</v>
      </c>
      <c r="R243" s="20" t="s">
        <v>72</v>
      </c>
      <c r="S243" s="20" t="s">
        <v>72</v>
      </c>
      <c r="T243" s="20" t="s">
        <v>72</v>
      </c>
      <c r="U243" s="20" t="s">
        <v>71</v>
      </c>
      <c r="V243" s="20" t="s">
        <v>71</v>
      </c>
      <c r="W243" s="20" t="s">
        <v>71</v>
      </c>
      <c r="X243" s="20" t="s">
        <v>71</v>
      </c>
      <c r="Y243" s="20" t="s">
        <v>71</v>
      </c>
      <c r="Z243" s="20" t="s">
        <v>71</v>
      </c>
      <c r="AA243" s="23" t="s">
        <v>85</v>
      </c>
      <c r="AB243" s="24" t="s">
        <v>1922</v>
      </c>
      <c r="AC243" s="25">
        <v>2</v>
      </c>
    </row>
    <row r="244" spans="1:29" ht="15" x14ac:dyDescent="0.2">
      <c r="A244">
        <v>24923028</v>
      </c>
      <c r="B244">
        <v>243</v>
      </c>
      <c r="C244" s="26" t="s">
        <v>1351</v>
      </c>
      <c r="D244" t="s">
        <v>1923</v>
      </c>
      <c r="E244">
        <v>3162961167</v>
      </c>
      <c r="F244" t="s">
        <v>1924</v>
      </c>
      <c r="G244" s="20" t="s">
        <v>922</v>
      </c>
      <c r="H244" t="s">
        <v>1834</v>
      </c>
      <c r="I244" s="20" t="s">
        <v>1835</v>
      </c>
      <c r="J244" s="20" t="s">
        <v>71</v>
      </c>
      <c r="K244" s="20" t="s">
        <v>71</v>
      </c>
      <c r="L244" s="20" t="s">
        <v>72</v>
      </c>
      <c r="M244" s="20" t="s">
        <v>71</v>
      </c>
      <c r="N244" s="20" t="s">
        <v>72</v>
      </c>
      <c r="O244" s="20" t="s">
        <v>72</v>
      </c>
      <c r="P244" s="20" t="s">
        <v>72</v>
      </c>
      <c r="Q244" s="20" t="s">
        <v>72</v>
      </c>
      <c r="R244" s="20" t="s">
        <v>72</v>
      </c>
      <c r="S244" s="20" t="s">
        <v>72</v>
      </c>
      <c r="T244" s="20" t="s">
        <v>72</v>
      </c>
      <c r="U244" s="20" t="s">
        <v>72</v>
      </c>
      <c r="V244" s="20" t="s">
        <v>72</v>
      </c>
      <c r="W244" s="20" t="s">
        <v>72</v>
      </c>
      <c r="X244" s="20" t="s">
        <v>72</v>
      </c>
      <c r="Y244" s="20" t="s">
        <v>76</v>
      </c>
      <c r="Z244" s="20" t="s">
        <v>72</v>
      </c>
      <c r="AA244" s="23" t="s">
        <v>80</v>
      </c>
      <c r="AC244" s="25">
        <v>2</v>
      </c>
    </row>
    <row r="245" spans="1:29" ht="15" x14ac:dyDescent="0.2">
      <c r="A245">
        <v>67019790</v>
      </c>
      <c r="B245">
        <v>244</v>
      </c>
      <c r="C245" s="26" t="s">
        <v>1351</v>
      </c>
      <c r="D245" t="s">
        <v>1925</v>
      </c>
      <c r="E245">
        <v>3156884876</v>
      </c>
      <c r="F245" t="s">
        <v>1926</v>
      </c>
      <c r="G245" s="20" t="s">
        <v>922</v>
      </c>
      <c r="H245" t="s">
        <v>1834</v>
      </c>
      <c r="I245" s="20" t="s">
        <v>1835</v>
      </c>
      <c r="J245" s="20" t="s">
        <v>71</v>
      </c>
      <c r="K245" s="20" t="s">
        <v>71</v>
      </c>
      <c r="L245" s="20" t="s">
        <v>72</v>
      </c>
      <c r="M245" s="20" t="s">
        <v>71</v>
      </c>
      <c r="N245" s="20" t="s">
        <v>72</v>
      </c>
      <c r="O245" s="20" t="s">
        <v>72</v>
      </c>
      <c r="P245" s="20" t="s">
        <v>72</v>
      </c>
      <c r="Q245" s="20" t="s">
        <v>72</v>
      </c>
      <c r="R245" s="20" t="s">
        <v>72</v>
      </c>
      <c r="S245" s="20" t="s">
        <v>72</v>
      </c>
      <c r="T245" s="20" t="s">
        <v>72</v>
      </c>
      <c r="U245" s="20" t="s">
        <v>71</v>
      </c>
      <c r="V245" s="20" t="s">
        <v>72</v>
      </c>
      <c r="W245" s="20" t="s">
        <v>72</v>
      </c>
      <c r="X245" s="20" t="s">
        <v>71</v>
      </c>
      <c r="Y245" s="20" t="s">
        <v>71</v>
      </c>
      <c r="Z245" s="20" t="s">
        <v>71</v>
      </c>
      <c r="AA245" s="23" t="s">
        <v>80</v>
      </c>
      <c r="AC245" s="25">
        <v>2</v>
      </c>
    </row>
    <row r="246" spans="1:29" ht="15" x14ac:dyDescent="0.2">
      <c r="A246">
        <v>1108641125</v>
      </c>
      <c r="B246">
        <v>245</v>
      </c>
      <c r="C246" s="26" t="s">
        <v>1351</v>
      </c>
      <c r="D246" t="s">
        <v>1927</v>
      </c>
      <c r="E246">
        <v>3122073402</v>
      </c>
      <c r="F246" t="s">
        <v>1928</v>
      </c>
      <c r="G246" s="20" t="s">
        <v>922</v>
      </c>
      <c r="H246" t="s">
        <v>1834</v>
      </c>
      <c r="I246" s="20" t="s">
        <v>1835</v>
      </c>
      <c r="J246" s="20" t="s">
        <v>71</v>
      </c>
      <c r="K246" s="20" t="s">
        <v>71</v>
      </c>
      <c r="L246" s="20" t="s">
        <v>71</v>
      </c>
      <c r="M246" s="20" t="s">
        <v>71</v>
      </c>
      <c r="N246" s="20" t="s">
        <v>71</v>
      </c>
      <c r="O246" s="20" t="s">
        <v>71</v>
      </c>
      <c r="P246" s="20" t="s">
        <v>71</v>
      </c>
      <c r="Q246" s="20" t="s">
        <v>71</v>
      </c>
      <c r="R246" s="20" t="s">
        <v>71</v>
      </c>
      <c r="S246" s="20" t="s">
        <v>71</v>
      </c>
      <c r="T246" s="20" t="s">
        <v>71</v>
      </c>
      <c r="U246" s="20" t="s">
        <v>72</v>
      </c>
      <c r="V246" s="20" t="s">
        <v>72</v>
      </c>
      <c r="W246" s="20" t="s">
        <v>72</v>
      </c>
      <c r="X246" s="20" t="s">
        <v>72</v>
      </c>
      <c r="Y246" s="20" t="s">
        <v>72</v>
      </c>
      <c r="Z246" s="20" t="s">
        <v>71</v>
      </c>
      <c r="AA246" s="23" t="s">
        <v>179</v>
      </c>
      <c r="AC246" s="25">
        <v>3</v>
      </c>
    </row>
    <row r="247" spans="1:29" ht="15" x14ac:dyDescent="0.2">
      <c r="A247">
        <v>94402421</v>
      </c>
      <c r="B247">
        <v>246</v>
      </c>
      <c r="C247" s="26" t="s">
        <v>1351</v>
      </c>
      <c r="D247" t="s">
        <v>1929</v>
      </c>
      <c r="E247">
        <v>3154297569</v>
      </c>
      <c r="F247" t="s">
        <v>1930</v>
      </c>
      <c r="G247" s="20" t="s">
        <v>922</v>
      </c>
      <c r="H247" t="s">
        <v>1834</v>
      </c>
      <c r="I247" s="20" t="s">
        <v>1835</v>
      </c>
      <c r="J247" s="20" t="s">
        <v>71</v>
      </c>
      <c r="K247" s="20" t="s">
        <v>71</v>
      </c>
      <c r="L247" s="20" t="s">
        <v>72</v>
      </c>
      <c r="M247" s="20" t="s">
        <v>72</v>
      </c>
      <c r="N247" s="20" t="s">
        <v>72</v>
      </c>
      <c r="O247" s="20" t="s">
        <v>72</v>
      </c>
      <c r="P247" s="20" t="s">
        <v>72</v>
      </c>
      <c r="Q247" s="20" t="s">
        <v>72</v>
      </c>
      <c r="R247" s="20" t="s">
        <v>72</v>
      </c>
      <c r="S247" s="20" t="s">
        <v>72</v>
      </c>
      <c r="T247" s="20" t="s">
        <v>72</v>
      </c>
      <c r="U247" s="20" t="s">
        <v>71</v>
      </c>
      <c r="V247" s="20" t="s">
        <v>71</v>
      </c>
      <c r="W247" s="20" t="s">
        <v>71</v>
      </c>
      <c r="X247" s="20" t="s">
        <v>71</v>
      </c>
      <c r="Y247" s="20" t="s">
        <v>71</v>
      </c>
      <c r="Z247" s="20" t="s">
        <v>71</v>
      </c>
      <c r="AA247" s="23" t="s">
        <v>256</v>
      </c>
      <c r="AC247" s="25">
        <v>3</v>
      </c>
    </row>
    <row r="248" spans="1:29" ht="15" x14ac:dyDescent="0.2">
      <c r="A248">
        <v>31931128</v>
      </c>
      <c r="B248">
        <v>247</v>
      </c>
      <c r="C248" s="26" t="s">
        <v>1351</v>
      </c>
      <c r="D248" t="s">
        <v>1931</v>
      </c>
      <c r="E248">
        <v>3168448163</v>
      </c>
      <c r="F248" t="s">
        <v>1932</v>
      </c>
      <c r="G248" s="20" t="s">
        <v>922</v>
      </c>
      <c r="H248" t="s">
        <v>1834</v>
      </c>
      <c r="I248" s="20" t="s">
        <v>1835</v>
      </c>
      <c r="J248" s="20" t="s">
        <v>71</v>
      </c>
      <c r="K248" s="20" t="s">
        <v>71</v>
      </c>
      <c r="L248" s="20" t="s">
        <v>71</v>
      </c>
      <c r="M248" s="20" t="s">
        <v>71</v>
      </c>
      <c r="N248" s="20" t="s">
        <v>71</v>
      </c>
      <c r="O248" s="20" t="s">
        <v>71</v>
      </c>
      <c r="P248" s="20" t="s">
        <v>71</v>
      </c>
      <c r="Q248" s="20" t="s">
        <v>71</v>
      </c>
      <c r="R248" s="20" t="s">
        <v>71</v>
      </c>
      <c r="S248" s="20" t="s">
        <v>71</v>
      </c>
      <c r="T248" s="20" t="s">
        <v>71</v>
      </c>
      <c r="U248" s="20" t="s">
        <v>72</v>
      </c>
      <c r="V248" s="20" t="s">
        <v>72</v>
      </c>
      <c r="W248" s="20" t="s">
        <v>72</v>
      </c>
      <c r="X248" s="20" t="s">
        <v>71</v>
      </c>
      <c r="Y248" s="20" t="s">
        <v>72</v>
      </c>
      <c r="Z248" s="20" t="s">
        <v>71</v>
      </c>
      <c r="AA248" s="23" t="s">
        <v>179</v>
      </c>
      <c r="AC248" s="25">
        <v>3</v>
      </c>
    </row>
    <row r="249" spans="1:29" s="21" customFormat="1" ht="15" x14ac:dyDescent="0.2">
      <c r="A249" s="33">
        <v>7512541</v>
      </c>
      <c r="B249" s="33">
        <v>248</v>
      </c>
      <c r="C249" s="26" t="s">
        <v>1351</v>
      </c>
      <c r="D249" s="33" t="s">
        <v>1933</v>
      </c>
      <c r="E249" s="33">
        <v>3215980528</v>
      </c>
      <c r="F249" s="33" t="s">
        <v>1934</v>
      </c>
      <c r="G249" s="21" t="s">
        <v>922</v>
      </c>
      <c r="H249" s="33" t="s">
        <v>1834</v>
      </c>
      <c r="I249" s="21" t="s">
        <v>1835</v>
      </c>
      <c r="AA249" s="34" t="s">
        <v>1464</v>
      </c>
      <c r="AB249" s="29" t="s">
        <v>1935</v>
      </c>
      <c r="AC249" s="31" t="s">
        <v>1464</v>
      </c>
    </row>
    <row r="250" spans="1:29" ht="15" x14ac:dyDescent="0.2">
      <c r="A250">
        <v>16637843</v>
      </c>
      <c r="B250">
        <v>249</v>
      </c>
      <c r="C250" s="26" t="s">
        <v>1351</v>
      </c>
      <c r="D250" t="s">
        <v>1936</v>
      </c>
      <c r="E250">
        <v>3172483169</v>
      </c>
      <c r="F250" t="s">
        <v>1937</v>
      </c>
      <c r="G250" s="20" t="s">
        <v>922</v>
      </c>
      <c r="H250" t="s">
        <v>1834</v>
      </c>
      <c r="I250" s="20" t="s">
        <v>1835</v>
      </c>
      <c r="AA250" s="23" t="s">
        <v>1367</v>
      </c>
      <c r="AB250" s="24" t="s">
        <v>1938</v>
      </c>
      <c r="AC250" s="25" t="s">
        <v>1367</v>
      </c>
    </row>
    <row r="251" spans="1:29" ht="15" x14ac:dyDescent="0.2">
      <c r="A251">
        <v>25638302</v>
      </c>
      <c r="B251">
        <v>250</v>
      </c>
      <c r="C251" s="26" t="s">
        <v>1351</v>
      </c>
      <c r="D251" t="s">
        <v>1939</v>
      </c>
      <c r="E251">
        <v>3128546158</v>
      </c>
      <c r="F251" t="s">
        <v>1940</v>
      </c>
      <c r="G251" s="20" t="s">
        <v>922</v>
      </c>
      <c r="H251" t="s">
        <v>1834</v>
      </c>
      <c r="I251" s="20" t="s">
        <v>1835</v>
      </c>
      <c r="J251" s="20" t="s">
        <v>76</v>
      </c>
      <c r="K251" s="20" t="s">
        <v>76</v>
      </c>
      <c r="L251" s="20" t="s">
        <v>72</v>
      </c>
      <c r="M251" s="20" t="s">
        <v>71</v>
      </c>
      <c r="N251" s="20" t="s">
        <v>72</v>
      </c>
      <c r="O251" s="20" t="s">
        <v>72</v>
      </c>
      <c r="P251" s="20" t="s">
        <v>72</v>
      </c>
      <c r="Q251" s="20" t="s">
        <v>72</v>
      </c>
      <c r="R251" s="20" t="s">
        <v>72</v>
      </c>
      <c r="S251" s="20" t="s">
        <v>72</v>
      </c>
      <c r="T251" s="20" t="s">
        <v>72</v>
      </c>
      <c r="U251" s="20" t="s">
        <v>72</v>
      </c>
      <c r="V251" s="20" t="s">
        <v>72</v>
      </c>
      <c r="W251" s="20" t="s">
        <v>72</v>
      </c>
      <c r="X251" s="20" t="s">
        <v>71</v>
      </c>
      <c r="Y251" s="20" t="s">
        <v>72</v>
      </c>
      <c r="Z251" s="20" t="s">
        <v>71</v>
      </c>
      <c r="AA251" s="23" t="s">
        <v>91</v>
      </c>
      <c r="AB251" s="24" t="s">
        <v>1922</v>
      </c>
      <c r="AC251" s="25">
        <v>2</v>
      </c>
    </row>
    <row r="252" spans="1:29" ht="15" x14ac:dyDescent="0.2">
      <c r="A252">
        <v>31857033</v>
      </c>
      <c r="B252">
        <v>251</v>
      </c>
      <c r="C252" s="26" t="s">
        <v>1351</v>
      </c>
      <c r="D252" t="s">
        <v>1941</v>
      </c>
      <c r="E252">
        <v>3004251950</v>
      </c>
      <c r="F252" t="s">
        <v>1942</v>
      </c>
      <c r="G252" s="20" t="s">
        <v>922</v>
      </c>
      <c r="H252" t="s">
        <v>1834</v>
      </c>
      <c r="I252" s="20" t="s">
        <v>1835</v>
      </c>
      <c r="J252" s="20" t="s">
        <v>76</v>
      </c>
      <c r="K252" s="20" t="s">
        <v>76</v>
      </c>
      <c r="L252" s="20" t="s">
        <v>72</v>
      </c>
      <c r="M252" s="20" t="s">
        <v>71</v>
      </c>
      <c r="N252" s="20" t="s">
        <v>72</v>
      </c>
      <c r="O252" s="20" t="s">
        <v>72</v>
      </c>
      <c r="P252" s="20" t="s">
        <v>72</v>
      </c>
      <c r="Q252" s="20" t="s">
        <v>72</v>
      </c>
      <c r="R252" s="20" t="s">
        <v>72</v>
      </c>
      <c r="S252" s="20" t="s">
        <v>72</v>
      </c>
      <c r="T252" s="20" t="s">
        <v>72</v>
      </c>
      <c r="U252" s="20" t="s">
        <v>72</v>
      </c>
      <c r="V252" s="20" t="s">
        <v>72</v>
      </c>
      <c r="W252" s="20" t="s">
        <v>72</v>
      </c>
      <c r="X252" s="20" t="s">
        <v>71</v>
      </c>
      <c r="Y252" s="20" t="s">
        <v>72</v>
      </c>
      <c r="Z252" s="20" t="s">
        <v>71</v>
      </c>
      <c r="AA252" s="23" t="s">
        <v>91</v>
      </c>
      <c r="AC252" s="25">
        <v>2</v>
      </c>
    </row>
    <row r="253" spans="1:29" ht="15" x14ac:dyDescent="0.2">
      <c r="A253">
        <v>38604490</v>
      </c>
      <c r="B253">
        <v>252</v>
      </c>
      <c r="C253" s="26" t="s">
        <v>1351</v>
      </c>
      <c r="D253" t="s">
        <v>1943</v>
      </c>
      <c r="E253">
        <v>3182645577</v>
      </c>
      <c r="F253" t="s">
        <v>1944</v>
      </c>
      <c r="G253" s="20" t="s">
        <v>922</v>
      </c>
      <c r="H253" t="s">
        <v>1834</v>
      </c>
      <c r="I253" s="20" t="s">
        <v>1835</v>
      </c>
      <c r="J253" s="20" t="s">
        <v>71</v>
      </c>
      <c r="K253" s="20" t="s">
        <v>71</v>
      </c>
      <c r="AA253" s="23" t="s">
        <v>1367</v>
      </c>
      <c r="AB253" s="24" t="s">
        <v>1945</v>
      </c>
      <c r="AC253" s="25" t="s">
        <v>1367</v>
      </c>
    </row>
    <row r="254" spans="1:29" ht="15" x14ac:dyDescent="0.2">
      <c r="A254">
        <v>31249710</v>
      </c>
      <c r="B254">
        <v>253</v>
      </c>
      <c r="C254" s="26" t="s">
        <v>1351</v>
      </c>
      <c r="D254" t="s">
        <v>1946</v>
      </c>
      <c r="E254">
        <v>3145212142</v>
      </c>
      <c r="F254" t="s">
        <v>1947</v>
      </c>
      <c r="G254" s="20" t="s">
        <v>922</v>
      </c>
      <c r="H254" t="s">
        <v>1834</v>
      </c>
      <c r="I254" s="20" t="s">
        <v>1835</v>
      </c>
      <c r="J254" s="20" t="s">
        <v>71</v>
      </c>
      <c r="K254" s="20" t="s">
        <v>71</v>
      </c>
      <c r="L254" s="20" t="s">
        <v>72</v>
      </c>
      <c r="M254" s="20" t="s">
        <v>71</v>
      </c>
      <c r="N254" s="20" t="s">
        <v>72</v>
      </c>
      <c r="O254" s="20" t="s">
        <v>72</v>
      </c>
      <c r="P254" s="20" t="s">
        <v>72</v>
      </c>
      <c r="Q254" s="20" t="s">
        <v>72</v>
      </c>
      <c r="R254" s="20" t="s">
        <v>72</v>
      </c>
      <c r="S254" s="20" t="s">
        <v>72</v>
      </c>
      <c r="T254" s="20" t="s">
        <v>72</v>
      </c>
      <c r="U254" s="20" t="s">
        <v>72</v>
      </c>
      <c r="V254" s="20" t="s">
        <v>72</v>
      </c>
      <c r="W254" s="20" t="s">
        <v>72</v>
      </c>
      <c r="X254" s="20" t="s">
        <v>71</v>
      </c>
      <c r="Y254" s="20" t="s">
        <v>72</v>
      </c>
      <c r="Z254" s="20" t="s">
        <v>71</v>
      </c>
      <c r="AA254" s="23" t="s">
        <v>80</v>
      </c>
      <c r="AC254" s="25">
        <v>2</v>
      </c>
    </row>
    <row r="255" spans="1:29" ht="15" x14ac:dyDescent="0.2">
      <c r="A255">
        <v>29568155</v>
      </c>
      <c r="B255">
        <v>254</v>
      </c>
      <c r="C255" s="26" t="s">
        <v>1351</v>
      </c>
      <c r="D255" t="s">
        <v>1948</v>
      </c>
      <c r="E255">
        <v>3234347339</v>
      </c>
      <c r="F255" t="s">
        <v>1949</v>
      </c>
      <c r="G255" s="20" t="s">
        <v>922</v>
      </c>
      <c r="H255" t="s">
        <v>1834</v>
      </c>
      <c r="I255" s="20" t="s">
        <v>1835</v>
      </c>
      <c r="J255" s="20" t="s">
        <v>71</v>
      </c>
      <c r="K255" s="20" t="s">
        <v>71</v>
      </c>
      <c r="L255" s="20" t="s">
        <v>72</v>
      </c>
      <c r="M255" s="20" t="s">
        <v>71</v>
      </c>
      <c r="N255" s="20" t="s">
        <v>72</v>
      </c>
      <c r="O255" s="20" t="s">
        <v>72</v>
      </c>
      <c r="P255" s="20" t="s">
        <v>72</v>
      </c>
      <c r="Q255" s="20" t="s">
        <v>72</v>
      </c>
      <c r="R255" s="20" t="s">
        <v>72</v>
      </c>
      <c r="S255" s="20" t="s">
        <v>72</v>
      </c>
      <c r="T255" s="20" t="s">
        <v>72</v>
      </c>
      <c r="U255" s="20" t="s">
        <v>72</v>
      </c>
      <c r="V255" s="20" t="s">
        <v>72</v>
      </c>
      <c r="W255" s="20" t="s">
        <v>72</v>
      </c>
      <c r="X255" s="20" t="s">
        <v>72</v>
      </c>
      <c r="Y255" s="20" t="s">
        <v>72</v>
      </c>
      <c r="Z255" s="20" t="s">
        <v>72</v>
      </c>
      <c r="AA255" s="23" t="s">
        <v>80</v>
      </c>
      <c r="AC255" s="25">
        <v>2</v>
      </c>
    </row>
    <row r="256" spans="1:29" ht="15" x14ac:dyDescent="0.2">
      <c r="A256">
        <v>1130612532</v>
      </c>
      <c r="B256">
        <v>255</v>
      </c>
      <c r="C256" s="26" t="s">
        <v>1351</v>
      </c>
      <c r="D256" t="s">
        <v>1950</v>
      </c>
      <c r="E256">
        <v>3186628795</v>
      </c>
      <c r="F256" t="s">
        <v>1951</v>
      </c>
      <c r="G256" s="20" t="s">
        <v>922</v>
      </c>
      <c r="H256" t="s">
        <v>1834</v>
      </c>
      <c r="I256" s="20" t="s">
        <v>1835</v>
      </c>
      <c r="J256" s="20" t="s">
        <v>71</v>
      </c>
      <c r="K256" s="20" t="s">
        <v>71</v>
      </c>
      <c r="L256" s="20" t="s">
        <v>72</v>
      </c>
      <c r="M256" s="20" t="s">
        <v>71</v>
      </c>
      <c r="N256" s="20" t="s">
        <v>72</v>
      </c>
      <c r="O256" s="20" t="s">
        <v>72</v>
      </c>
      <c r="P256" s="20" t="s">
        <v>72</v>
      </c>
      <c r="Q256" s="20" t="s">
        <v>72</v>
      </c>
      <c r="R256" s="20" t="s">
        <v>72</v>
      </c>
      <c r="S256" s="20" t="s">
        <v>72</v>
      </c>
      <c r="T256" s="20" t="s">
        <v>72</v>
      </c>
      <c r="U256" s="20" t="s">
        <v>72</v>
      </c>
      <c r="V256" s="20" t="s">
        <v>72</v>
      </c>
      <c r="W256" s="20" t="s">
        <v>72</v>
      </c>
      <c r="X256" s="20" t="s">
        <v>72</v>
      </c>
      <c r="Y256" s="20" t="s">
        <v>72</v>
      </c>
      <c r="Z256" s="20" t="s">
        <v>72</v>
      </c>
      <c r="AA256" s="23" t="s">
        <v>80</v>
      </c>
      <c r="AC256" s="25">
        <v>2</v>
      </c>
    </row>
    <row r="257" spans="1:29" ht="15" x14ac:dyDescent="0.2">
      <c r="A257">
        <v>43285019</v>
      </c>
      <c r="B257">
        <v>256</v>
      </c>
      <c r="C257" s="26" t="s">
        <v>1351</v>
      </c>
      <c r="D257" t="s">
        <v>1952</v>
      </c>
      <c r="E257">
        <v>3178230411</v>
      </c>
      <c r="F257" t="s">
        <v>1953</v>
      </c>
      <c r="G257" s="20" t="s">
        <v>922</v>
      </c>
      <c r="H257" t="s">
        <v>1834</v>
      </c>
      <c r="I257" s="20" t="s">
        <v>1835</v>
      </c>
      <c r="J257" s="20" t="s">
        <v>76</v>
      </c>
      <c r="K257" s="20" t="s">
        <v>76</v>
      </c>
      <c r="L257" s="20" t="s">
        <v>72</v>
      </c>
      <c r="M257" s="20" t="s">
        <v>72</v>
      </c>
      <c r="N257" s="20" t="s">
        <v>72</v>
      </c>
      <c r="O257" s="20" t="s">
        <v>72</v>
      </c>
      <c r="P257" s="20" t="s">
        <v>72</v>
      </c>
      <c r="Q257" s="20" t="s">
        <v>72</v>
      </c>
      <c r="R257" s="20" t="s">
        <v>72</v>
      </c>
      <c r="S257" s="20" t="s">
        <v>72</v>
      </c>
      <c r="T257" s="20" t="s">
        <v>72</v>
      </c>
      <c r="U257" s="20" t="s">
        <v>72</v>
      </c>
      <c r="V257" s="20" t="s">
        <v>72</v>
      </c>
      <c r="W257" s="20" t="s">
        <v>72</v>
      </c>
      <c r="X257" s="20" t="s">
        <v>72</v>
      </c>
      <c r="Y257" s="20" t="s">
        <v>72</v>
      </c>
      <c r="Z257" s="20" t="s">
        <v>72</v>
      </c>
      <c r="AA257" s="23" t="s">
        <v>91</v>
      </c>
      <c r="AB257" s="24" t="s">
        <v>1954</v>
      </c>
      <c r="AC257" s="25">
        <v>2</v>
      </c>
    </row>
    <row r="258" spans="1:29" ht="15" x14ac:dyDescent="0.2">
      <c r="A258">
        <v>16761714</v>
      </c>
      <c r="B258">
        <v>257</v>
      </c>
      <c r="C258" s="26" t="s">
        <v>1351</v>
      </c>
      <c r="D258" t="s">
        <v>1955</v>
      </c>
      <c r="E258">
        <v>3178000791</v>
      </c>
      <c r="F258" t="s">
        <v>1956</v>
      </c>
      <c r="G258" s="20" t="s">
        <v>922</v>
      </c>
      <c r="H258" t="s">
        <v>1834</v>
      </c>
      <c r="I258" s="20" t="s">
        <v>1835</v>
      </c>
      <c r="J258" s="20" t="s">
        <v>76</v>
      </c>
      <c r="K258" s="20" t="s">
        <v>76</v>
      </c>
      <c r="L258" s="20" t="s">
        <v>72</v>
      </c>
      <c r="M258" s="20" t="s">
        <v>71</v>
      </c>
      <c r="N258" s="20" t="s">
        <v>72</v>
      </c>
      <c r="O258" s="20" t="s">
        <v>72</v>
      </c>
      <c r="P258" s="20" t="s">
        <v>72</v>
      </c>
      <c r="Q258" s="20" t="s">
        <v>72</v>
      </c>
      <c r="R258" s="20" t="s">
        <v>72</v>
      </c>
      <c r="S258" s="20" t="s">
        <v>72</v>
      </c>
      <c r="T258" s="20" t="s">
        <v>72</v>
      </c>
      <c r="U258" s="20" t="s">
        <v>72</v>
      </c>
      <c r="V258" s="20" t="s">
        <v>72</v>
      </c>
      <c r="W258" s="20" t="s">
        <v>72</v>
      </c>
      <c r="X258" s="20" t="s">
        <v>71</v>
      </c>
      <c r="Y258" s="20" t="s">
        <v>72</v>
      </c>
      <c r="Z258" s="20" t="s">
        <v>71</v>
      </c>
      <c r="AA258" s="23" t="s">
        <v>91</v>
      </c>
      <c r="AB258" s="24" t="s">
        <v>1954</v>
      </c>
      <c r="AC258" s="25">
        <v>2</v>
      </c>
    </row>
    <row r="259" spans="1:29" ht="15" x14ac:dyDescent="0.2">
      <c r="A259">
        <v>31295696</v>
      </c>
      <c r="B259">
        <v>258</v>
      </c>
      <c r="C259" s="26" t="s">
        <v>1351</v>
      </c>
      <c r="D259" t="s">
        <v>1957</v>
      </c>
      <c r="E259">
        <v>3127701878</v>
      </c>
      <c r="F259" t="s">
        <v>1958</v>
      </c>
      <c r="G259" s="20" t="s">
        <v>922</v>
      </c>
      <c r="H259" t="s">
        <v>1834</v>
      </c>
      <c r="I259" s="20" t="s">
        <v>1835</v>
      </c>
      <c r="J259" s="20" t="s">
        <v>76</v>
      </c>
      <c r="K259" s="20" t="s">
        <v>76</v>
      </c>
      <c r="U259" s="20" t="s">
        <v>72</v>
      </c>
      <c r="V259" s="20" t="s">
        <v>72</v>
      </c>
      <c r="W259" s="20" t="s">
        <v>72</v>
      </c>
      <c r="X259" s="20" t="s">
        <v>72</v>
      </c>
      <c r="Y259" s="20" t="s">
        <v>72</v>
      </c>
      <c r="Z259" s="20" t="s">
        <v>72</v>
      </c>
      <c r="AA259" s="23" t="s">
        <v>77</v>
      </c>
      <c r="AB259" s="24" t="s">
        <v>1959</v>
      </c>
      <c r="AC259" s="25">
        <v>2</v>
      </c>
    </row>
    <row r="260" spans="1:29" ht="15" x14ac:dyDescent="0.2">
      <c r="A260">
        <v>66829892</v>
      </c>
      <c r="B260">
        <v>259</v>
      </c>
      <c r="C260" s="26" t="s">
        <v>1351</v>
      </c>
      <c r="D260" t="s">
        <v>1960</v>
      </c>
      <c r="E260">
        <v>3205166967</v>
      </c>
      <c r="F260" t="s">
        <v>1961</v>
      </c>
      <c r="G260" s="20" t="s">
        <v>922</v>
      </c>
      <c r="H260" t="s">
        <v>1834</v>
      </c>
      <c r="I260" s="20" t="s">
        <v>1835</v>
      </c>
      <c r="J260" s="20" t="s">
        <v>76</v>
      </c>
      <c r="K260" s="20" t="s">
        <v>76</v>
      </c>
      <c r="L260" s="20" t="s">
        <v>72</v>
      </c>
      <c r="M260" s="20" t="s">
        <v>71</v>
      </c>
      <c r="N260" s="20" t="s">
        <v>72</v>
      </c>
      <c r="O260" s="20" t="s">
        <v>72</v>
      </c>
      <c r="P260" s="20" t="s">
        <v>72</v>
      </c>
      <c r="Q260" s="20" t="s">
        <v>72</v>
      </c>
      <c r="R260" s="20" t="s">
        <v>72</v>
      </c>
      <c r="S260" s="20" t="s">
        <v>72</v>
      </c>
      <c r="T260" s="20" t="s">
        <v>72</v>
      </c>
      <c r="U260" s="20" t="s">
        <v>72</v>
      </c>
      <c r="V260" s="20" t="s">
        <v>72</v>
      </c>
      <c r="W260" s="20" t="s">
        <v>72</v>
      </c>
      <c r="X260" s="20" t="s">
        <v>72</v>
      </c>
      <c r="Y260" s="20" t="s">
        <v>72</v>
      </c>
      <c r="Z260" s="20" t="s">
        <v>72</v>
      </c>
      <c r="AA260" s="23" t="s">
        <v>91</v>
      </c>
      <c r="AB260" s="24" t="s">
        <v>1954</v>
      </c>
      <c r="AC260" s="25">
        <v>1</v>
      </c>
    </row>
    <row r="261" spans="1:29" ht="15" x14ac:dyDescent="0.2">
      <c r="A261">
        <v>31884956</v>
      </c>
      <c r="B261">
        <v>260</v>
      </c>
      <c r="C261" s="26" t="s">
        <v>1351</v>
      </c>
      <c r="D261" t="s">
        <v>1962</v>
      </c>
      <c r="E261">
        <v>3206651219</v>
      </c>
      <c r="F261" t="s">
        <v>1963</v>
      </c>
      <c r="G261" s="20" t="s">
        <v>922</v>
      </c>
      <c r="H261" t="s">
        <v>1834</v>
      </c>
      <c r="I261" s="20" t="s">
        <v>1835</v>
      </c>
      <c r="J261" s="20" t="s">
        <v>71</v>
      </c>
      <c r="K261" s="20" t="s">
        <v>71</v>
      </c>
      <c r="L261" s="20" t="s">
        <v>72</v>
      </c>
      <c r="M261" s="20" t="s">
        <v>72</v>
      </c>
      <c r="N261" s="20" t="s">
        <v>72</v>
      </c>
      <c r="O261" s="20" t="s">
        <v>72</v>
      </c>
      <c r="P261" s="20" t="s">
        <v>72</v>
      </c>
      <c r="Q261" s="20" t="s">
        <v>72</v>
      </c>
      <c r="R261" s="20" t="s">
        <v>72</v>
      </c>
      <c r="S261" s="20" t="s">
        <v>72</v>
      </c>
      <c r="T261" s="20" t="s">
        <v>72</v>
      </c>
      <c r="AA261" s="23" t="s">
        <v>256</v>
      </c>
      <c r="AB261" s="24" t="s">
        <v>1964</v>
      </c>
      <c r="AC261" s="25">
        <v>3</v>
      </c>
    </row>
    <row r="262" spans="1:29" ht="15" x14ac:dyDescent="0.2">
      <c r="A262">
        <v>31873574</v>
      </c>
      <c r="B262">
        <v>261</v>
      </c>
      <c r="C262" s="26" t="s">
        <v>1351</v>
      </c>
      <c r="D262" t="s">
        <v>1388</v>
      </c>
      <c r="E262">
        <v>3006215130</v>
      </c>
      <c r="F262" t="s">
        <v>1965</v>
      </c>
      <c r="G262" s="20" t="s">
        <v>922</v>
      </c>
      <c r="H262" t="s">
        <v>1834</v>
      </c>
      <c r="I262" s="20" t="s">
        <v>1835</v>
      </c>
      <c r="J262" s="20" t="s">
        <v>71</v>
      </c>
      <c r="K262" s="20" t="s">
        <v>71</v>
      </c>
      <c r="L262" s="20" t="s">
        <v>76</v>
      </c>
      <c r="M262" s="20" t="s">
        <v>71</v>
      </c>
      <c r="N262" s="20" t="s">
        <v>76</v>
      </c>
      <c r="O262" s="20" t="s">
        <v>76</v>
      </c>
      <c r="P262" s="20" t="s">
        <v>76</v>
      </c>
      <c r="Q262" s="20" t="s">
        <v>76</v>
      </c>
      <c r="R262" s="20" t="s">
        <v>72</v>
      </c>
      <c r="S262" s="20" t="s">
        <v>71</v>
      </c>
      <c r="T262" s="20" t="s">
        <v>72</v>
      </c>
      <c r="U262" s="20" t="s">
        <v>72</v>
      </c>
      <c r="V262" s="20" t="s">
        <v>72</v>
      </c>
      <c r="W262" s="20" t="s">
        <v>72</v>
      </c>
      <c r="X262" s="20" t="s">
        <v>71</v>
      </c>
      <c r="Y262" s="20" t="s">
        <v>72</v>
      </c>
      <c r="Z262" s="20" t="s">
        <v>71</v>
      </c>
      <c r="AA262" s="23" t="s">
        <v>80</v>
      </c>
      <c r="AC262" s="25">
        <v>2</v>
      </c>
    </row>
    <row r="263" spans="1:29" ht="15" x14ac:dyDescent="0.2">
      <c r="A263">
        <v>25485764</v>
      </c>
      <c r="B263">
        <v>262</v>
      </c>
      <c r="C263" s="26" t="s">
        <v>1351</v>
      </c>
      <c r="D263" t="s">
        <v>1966</v>
      </c>
      <c r="E263">
        <v>3132052879</v>
      </c>
      <c r="F263" t="s">
        <v>1967</v>
      </c>
      <c r="G263" s="20" t="s">
        <v>922</v>
      </c>
      <c r="H263" t="s">
        <v>1834</v>
      </c>
      <c r="I263" s="20" t="s">
        <v>1835</v>
      </c>
      <c r="J263" s="20" t="s">
        <v>71</v>
      </c>
      <c r="K263" s="20" t="s">
        <v>71</v>
      </c>
      <c r="L263" s="20" t="s">
        <v>72</v>
      </c>
      <c r="M263" s="20" t="s">
        <v>71</v>
      </c>
      <c r="N263" s="20" t="s">
        <v>72</v>
      </c>
      <c r="O263" s="20" t="s">
        <v>72</v>
      </c>
      <c r="P263" s="20" t="s">
        <v>72</v>
      </c>
      <c r="Q263" s="20" t="s">
        <v>72</v>
      </c>
      <c r="R263" s="20" t="s">
        <v>72</v>
      </c>
      <c r="S263" s="20" t="s">
        <v>72</v>
      </c>
      <c r="T263" s="20" t="s">
        <v>72</v>
      </c>
      <c r="U263" s="20" t="s">
        <v>71</v>
      </c>
      <c r="V263" s="20" t="s">
        <v>71</v>
      </c>
      <c r="W263" s="20" t="s">
        <v>71</v>
      </c>
      <c r="X263" s="20" t="s">
        <v>71</v>
      </c>
      <c r="Y263" s="20" t="s">
        <v>71</v>
      </c>
      <c r="Z263" s="20" t="s">
        <v>71</v>
      </c>
      <c r="AA263" s="23" t="s">
        <v>256</v>
      </c>
      <c r="AC263" s="25">
        <v>3</v>
      </c>
    </row>
    <row r="264" spans="1:29" ht="15" x14ac:dyDescent="0.2">
      <c r="A264">
        <v>29120687</v>
      </c>
      <c r="B264">
        <v>263</v>
      </c>
      <c r="C264" s="26" t="s">
        <v>1351</v>
      </c>
      <c r="D264" t="s">
        <v>1968</v>
      </c>
      <c r="E264">
        <v>3172915613</v>
      </c>
      <c r="F264" t="s">
        <v>1969</v>
      </c>
      <c r="G264" s="20" t="s">
        <v>922</v>
      </c>
      <c r="H264" t="s">
        <v>1834</v>
      </c>
      <c r="I264" s="20" t="s">
        <v>1835</v>
      </c>
      <c r="J264" s="20" t="s">
        <v>76</v>
      </c>
      <c r="K264" s="20" t="s">
        <v>76</v>
      </c>
      <c r="L264" s="20" t="s">
        <v>71</v>
      </c>
      <c r="M264" s="20" t="s">
        <v>71</v>
      </c>
      <c r="N264" s="20" t="s">
        <v>71</v>
      </c>
      <c r="O264" s="20" t="s">
        <v>71</v>
      </c>
      <c r="P264" s="20" t="s">
        <v>71</v>
      </c>
      <c r="Q264" s="20" t="s">
        <v>71</v>
      </c>
      <c r="R264" s="20" t="s">
        <v>71</v>
      </c>
      <c r="S264" s="20" t="s">
        <v>71</v>
      </c>
      <c r="T264" s="20" t="s">
        <v>71</v>
      </c>
      <c r="U264" s="20" t="s">
        <v>72</v>
      </c>
      <c r="V264" s="20" t="s">
        <v>72</v>
      </c>
      <c r="W264" s="20" t="s">
        <v>72</v>
      </c>
      <c r="X264" s="20" t="s">
        <v>72</v>
      </c>
      <c r="Y264" s="20" t="s">
        <v>72</v>
      </c>
      <c r="Z264" s="20" t="s">
        <v>72</v>
      </c>
      <c r="AA264" s="23" t="s">
        <v>77</v>
      </c>
      <c r="AC264" s="25">
        <v>2</v>
      </c>
    </row>
    <row r="265" spans="1:29" ht="15" x14ac:dyDescent="0.2">
      <c r="A265">
        <v>29555202</v>
      </c>
      <c r="B265">
        <v>264</v>
      </c>
      <c r="C265" s="26" t="s">
        <v>1351</v>
      </c>
      <c r="D265" t="s">
        <v>1970</v>
      </c>
      <c r="E265">
        <v>3226238277</v>
      </c>
      <c r="F265" t="s">
        <v>1971</v>
      </c>
      <c r="G265" s="20" t="s">
        <v>922</v>
      </c>
      <c r="H265" t="s">
        <v>1834</v>
      </c>
      <c r="I265" s="20" t="s">
        <v>1835</v>
      </c>
      <c r="J265" s="20" t="s">
        <v>71</v>
      </c>
      <c r="K265" s="20" t="s">
        <v>71</v>
      </c>
      <c r="L265" s="20" t="s">
        <v>72</v>
      </c>
      <c r="M265" s="20" t="s">
        <v>71</v>
      </c>
      <c r="N265" s="20" t="s">
        <v>72</v>
      </c>
      <c r="O265" s="20" t="s">
        <v>72</v>
      </c>
      <c r="P265" s="20" t="s">
        <v>72</v>
      </c>
      <c r="Q265" s="20" t="s">
        <v>72</v>
      </c>
      <c r="R265" s="20" t="s">
        <v>72</v>
      </c>
      <c r="S265" s="20" t="s">
        <v>72</v>
      </c>
      <c r="T265" s="20" t="s">
        <v>72</v>
      </c>
      <c r="U265" s="20" t="s">
        <v>76</v>
      </c>
      <c r="V265" s="20" t="s">
        <v>76</v>
      </c>
      <c r="W265" s="20" t="s">
        <v>76</v>
      </c>
      <c r="X265" s="20" t="s">
        <v>71</v>
      </c>
      <c r="Y265" s="20" t="s">
        <v>76</v>
      </c>
      <c r="Z265" s="20" t="s">
        <v>71</v>
      </c>
      <c r="AA265" s="23" t="s">
        <v>80</v>
      </c>
      <c r="AC265" s="25">
        <v>2</v>
      </c>
    </row>
    <row r="266" spans="1:29" ht="15" x14ac:dyDescent="0.2">
      <c r="A266">
        <v>31923606</v>
      </c>
      <c r="B266">
        <v>265</v>
      </c>
      <c r="C266" s="26" t="s">
        <v>1351</v>
      </c>
      <c r="D266" t="s">
        <v>1972</v>
      </c>
      <c r="E266">
        <v>3187530587</v>
      </c>
      <c r="F266" t="s">
        <v>1973</v>
      </c>
      <c r="G266" s="20" t="s">
        <v>922</v>
      </c>
      <c r="H266" t="s">
        <v>1834</v>
      </c>
      <c r="I266" s="20" t="s">
        <v>480</v>
      </c>
      <c r="J266" s="20" t="s">
        <v>71</v>
      </c>
      <c r="K266" s="20" t="s">
        <v>71</v>
      </c>
      <c r="L266" s="20" t="s">
        <v>72</v>
      </c>
      <c r="M266" s="20" t="s">
        <v>71</v>
      </c>
      <c r="N266" s="20" t="s">
        <v>72</v>
      </c>
      <c r="O266" s="20" t="s">
        <v>72</v>
      </c>
      <c r="P266" s="20" t="s">
        <v>72</v>
      </c>
      <c r="Q266" s="20" t="s">
        <v>72</v>
      </c>
      <c r="R266" s="20" t="s">
        <v>72</v>
      </c>
      <c r="S266" s="20" t="s">
        <v>72</v>
      </c>
      <c r="T266" s="20" t="s">
        <v>72</v>
      </c>
      <c r="U266" s="20" t="s">
        <v>72</v>
      </c>
      <c r="V266" s="20" t="s">
        <v>72</v>
      </c>
      <c r="W266" s="20" t="s">
        <v>72</v>
      </c>
      <c r="X266" s="20" t="s">
        <v>71</v>
      </c>
      <c r="Y266" s="20" t="s">
        <v>72</v>
      </c>
      <c r="Z266" s="20" t="s">
        <v>71</v>
      </c>
      <c r="AA266" s="23" t="s">
        <v>80</v>
      </c>
      <c r="AC266" s="25">
        <v>2</v>
      </c>
    </row>
    <row r="267" spans="1:29" ht="15" x14ac:dyDescent="0.2">
      <c r="A267">
        <v>66831349</v>
      </c>
      <c r="B267">
        <v>266</v>
      </c>
      <c r="C267" s="26" t="s">
        <v>1351</v>
      </c>
      <c r="D267" t="s">
        <v>1974</v>
      </c>
      <c r="E267">
        <v>3186373188</v>
      </c>
      <c r="F267" t="s">
        <v>1975</v>
      </c>
      <c r="G267" s="20" t="s">
        <v>922</v>
      </c>
      <c r="H267" t="s">
        <v>1834</v>
      </c>
      <c r="I267" s="20" t="s">
        <v>480</v>
      </c>
      <c r="J267" s="20" t="s">
        <v>76</v>
      </c>
      <c r="K267" s="20" t="s">
        <v>76</v>
      </c>
      <c r="L267" s="20" t="s">
        <v>72</v>
      </c>
      <c r="M267" s="20" t="s">
        <v>71</v>
      </c>
      <c r="N267" s="20" t="s">
        <v>72</v>
      </c>
      <c r="O267" s="20" t="s">
        <v>72</v>
      </c>
      <c r="P267" s="20" t="s">
        <v>72</v>
      </c>
      <c r="Q267" s="20" t="s">
        <v>72</v>
      </c>
      <c r="R267" s="20" t="s">
        <v>72</v>
      </c>
      <c r="S267" s="20" t="s">
        <v>72</v>
      </c>
      <c r="T267" s="20" t="s">
        <v>72</v>
      </c>
      <c r="U267" s="20" t="s">
        <v>71</v>
      </c>
      <c r="V267" s="20" t="s">
        <v>71</v>
      </c>
      <c r="W267" s="20" t="s">
        <v>71</v>
      </c>
      <c r="X267" s="20" t="s">
        <v>71</v>
      </c>
      <c r="Y267" s="20" t="s">
        <v>71</v>
      </c>
      <c r="Z267" s="20" t="s">
        <v>71</v>
      </c>
      <c r="AA267" s="23" t="s">
        <v>85</v>
      </c>
      <c r="AC267" s="25">
        <v>2</v>
      </c>
    </row>
    <row r="268" spans="1:29" ht="15" x14ac:dyDescent="0.2">
      <c r="A268">
        <v>2484445</v>
      </c>
      <c r="B268">
        <v>267</v>
      </c>
      <c r="C268" s="26" t="s">
        <v>1351</v>
      </c>
      <c r="D268" t="s">
        <v>1976</v>
      </c>
      <c r="E268">
        <v>3165162387</v>
      </c>
      <c r="F268" t="s">
        <v>1977</v>
      </c>
      <c r="G268" s="20" t="s">
        <v>922</v>
      </c>
      <c r="H268" t="s">
        <v>1834</v>
      </c>
      <c r="I268" s="20" t="s">
        <v>1835</v>
      </c>
      <c r="J268" s="20" t="s">
        <v>76</v>
      </c>
      <c r="K268" s="20" t="s">
        <v>76</v>
      </c>
      <c r="L268" s="20" t="s">
        <v>72</v>
      </c>
      <c r="M268" s="20" t="s">
        <v>71</v>
      </c>
      <c r="N268" s="20" t="s">
        <v>72</v>
      </c>
      <c r="O268" s="20" t="s">
        <v>72</v>
      </c>
      <c r="P268" s="20" t="s">
        <v>72</v>
      </c>
      <c r="Q268" s="20" t="s">
        <v>72</v>
      </c>
      <c r="R268" s="20" t="s">
        <v>72</v>
      </c>
      <c r="S268" s="20" t="s">
        <v>72</v>
      </c>
      <c r="T268" s="20" t="s">
        <v>72</v>
      </c>
      <c r="U268" s="20" t="s">
        <v>72</v>
      </c>
      <c r="V268" s="20" t="s">
        <v>72</v>
      </c>
      <c r="W268" s="20" t="s">
        <v>72</v>
      </c>
      <c r="X268" s="20" t="s">
        <v>72</v>
      </c>
      <c r="Y268" s="20" t="s">
        <v>72</v>
      </c>
      <c r="Z268" s="20" t="s">
        <v>72</v>
      </c>
      <c r="AA268" s="23" t="s">
        <v>91</v>
      </c>
      <c r="AC268" s="25">
        <v>2</v>
      </c>
    </row>
    <row r="269" spans="1:29" ht="15" x14ac:dyDescent="0.2">
      <c r="A269">
        <v>16708888</v>
      </c>
      <c r="B269">
        <v>268</v>
      </c>
      <c r="C269" s="26" t="s">
        <v>1351</v>
      </c>
      <c r="D269" t="s">
        <v>1978</v>
      </c>
      <c r="E269">
        <v>3178005582</v>
      </c>
      <c r="F269" t="s">
        <v>1979</v>
      </c>
      <c r="G269" s="20" t="s">
        <v>922</v>
      </c>
      <c r="H269" t="s">
        <v>1834</v>
      </c>
      <c r="I269" s="20" t="s">
        <v>1835</v>
      </c>
      <c r="J269" s="20" t="s">
        <v>71</v>
      </c>
      <c r="K269" s="20" t="s">
        <v>71</v>
      </c>
      <c r="L269" s="20" t="s">
        <v>72</v>
      </c>
      <c r="M269" s="20" t="s">
        <v>71</v>
      </c>
      <c r="N269" s="20" t="s">
        <v>72</v>
      </c>
      <c r="O269" s="20" t="s">
        <v>72</v>
      </c>
      <c r="P269" s="20" t="s">
        <v>72</v>
      </c>
      <c r="Q269" s="20" t="s">
        <v>72</v>
      </c>
      <c r="R269" s="20" t="s">
        <v>72</v>
      </c>
      <c r="S269" s="20" t="s">
        <v>72</v>
      </c>
      <c r="T269" s="20" t="s">
        <v>72</v>
      </c>
      <c r="U269" s="20" t="s">
        <v>72</v>
      </c>
      <c r="V269" s="20" t="s">
        <v>72</v>
      </c>
      <c r="W269" s="20" t="s">
        <v>72</v>
      </c>
      <c r="X269" s="20" t="s">
        <v>72</v>
      </c>
      <c r="Y269" s="20" t="s">
        <v>72</v>
      </c>
      <c r="Z269" s="20" t="s">
        <v>72</v>
      </c>
      <c r="AA269" s="23" t="s">
        <v>80</v>
      </c>
      <c r="AC269" s="25">
        <v>2</v>
      </c>
    </row>
    <row r="270" spans="1:29" ht="15" x14ac:dyDescent="0.2">
      <c r="A270">
        <v>9825002</v>
      </c>
      <c r="B270">
        <v>269</v>
      </c>
      <c r="C270" s="26" t="s">
        <v>1351</v>
      </c>
      <c r="D270" t="s">
        <v>1980</v>
      </c>
      <c r="E270">
        <v>3187659613</v>
      </c>
      <c r="F270" t="s">
        <v>1981</v>
      </c>
      <c r="G270" s="20" t="s">
        <v>922</v>
      </c>
      <c r="H270" t="s">
        <v>1834</v>
      </c>
      <c r="I270" s="20" t="s">
        <v>1835</v>
      </c>
      <c r="J270" s="20" t="s">
        <v>76</v>
      </c>
      <c r="K270" s="20" t="s">
        <v>76</v>
      </c>
      <c r="L270" s="20" t="s">
        <v>72</v>
      </c>
      <c r="M270" s="20" t="s">
        <v>71</v>
      </c>
      <c r="N270" s="20" t="s">
        <v>72</v>
      </c>
      <c r="O270" s="20" t="s">
        <v>72</v>
      </c>
      <c r="P270" s="20" t="s">
        <v>72</v>
      </c>
      <c r="Q270" s="20" t="s">
        <v>72</v>
      </c>
      <c r="R270" s="20" t="s">
        <v>72</v>
      </c>
      <c r="S270" s="20" t="s">
        <v>72</v>
      </c>
      <c r="T270" s="20" t="s">
        <v>72</v>
      </c>
      <c r="U270" s="20" t="s">
        <v>72</v>
      </c>
      <c r="V270" s="20" t="s">
        <v>72</v>
      </c>
      <c r="W270" s="20" t="s">
        <v>72</v>
      </c>
      <c r="X270" s="20" t="s">
        <v>72</v>
      </c>
      <c r="Y270" s="20" t="s">
        <v>72</v>
      </c>
      <c r="Z270" s="20" t="s">
        <v>72</v>
      </c>
      <c r="AA270" s="23" t="s">
        <v>91</v>
      </c>
      <c r="AC270" s="25">
        <v>1</v>
      </c>
    </row>
    <row r="271" spans="1:29" ht="15" x14ac:dyDescent="0.2">
      <c r="A271">
        <v>31264863</v>
      </c>
      <c r="B271">
        <v>270</v>
      </c>
      <c r="C271" s="26" t="s">
        <v>1351</v>
      </c>
      <c r="D271" t="s">
        <v>1982</v>
      </c>
      <c r="E271">
        <v>3218627550</v>
      </c>
      <c r="F271" t="s">
        <v>1983</v>
      </c>
      <c r="G271" s="20" t="s">
        <v>922</v>
      </c>
      <c r="H271" t="s">
        <v>1834</v>
      </c>
      <c r="I271" s="20" t="s">
        <v>1835</v>
      </c>
      <c r="J271" s="20" t="s">
        <v>71</v>
      </c>
      <c r="K271" s="20" t="s">
        <v>71</v>
      </c>
      <c r="L271" s="20" t="s">
        <v>72</v>
      </c>
      <c r="M271" s="20" t="s">
        <v>71</v>
      </c>
      <c r="N271" s="20" t="s">
        <v>72</v>
      </c>
      <c r="O271" s="20" t="s">
        <v>72</v>
      </c>
      <c r="P271" s="20" t="s">
        <v>72</v>
      </c>
      <c r="Q271" s="20" t="s">
        <v>72</v>
      </c>
      <c r="R271" s="20" t="s">
        <v>72</v>
      </c>
      <c r="S271" s="20" t="s">
        <v>72</v>
      </c>
      <c r="T271" s="20" t="s">
        <v>72</v>
      </c>
      <c r="U271" s="20" t="s">
        <v>72</v>
      </c>
      <c r="V271" s="20" t="s">
        <v>72</v>
      </c>
      <c r="W271" s="20" t="s">
        <v>72</v>
      </c>
      <c r="X271" s="20" t="s">
        <v>72</v>
      </c>
      <c r="Y271" s="20" t="s">
        <v>72</v>
      </c>
      <c r="Z271" s="20" t="s">
        <v>72</v>
      </c>
      <c r="AA271" s="23" t="s">
        <v>80</v>
      </c>
      <c r="AC271" s="25">
        <v>1</v>
      </c>
    </row>
    <row r="272" spans="1:29" ht="15" x14ac:dyDescent="0.2">
      <c r="A272">
        <v>29179902</v>
      </c>
      <c r="B272">
        <v>271</v>
      </c>
      <c r="C272" s="26" t="s">
        <v>1351</v>
      </c>
      <c r="D272" t="s">
        <v>1521</v>
      </c>
      <c r="E272">
        <v>3164158092</v>
      </c>
      <c r="F272" t="s">
        <v>1984</v>
      </c>
      <c r="G272" s="20" t="s">
        <v>922</v>
      </c>
      <c r="H272" t="s">
        <v>1834</v>
      </c>
      <c r="I272" s="20" t="s">
        <v>1835</v>
      </c>
      <c r="J272" s="20" t="s">
        <v>71</v>
      </c>
      <c r="K272" s="20" t="s">
        <v>71</v>
      </c>
      <c r="L272" s="20" t="s">
        <v>72</v>
      </c>
      <c r="M272" s="20" t="s">
        <v>71</v>
      </c>
      <c r="N272" s="20" t="s">
        <v>72</v>
      </c>
      <c r="O272" s="20" t="s">
        <v>72</v>
      </c>
      <c r="P272" s="20" t="s">
        <v>72</v>
      </c>
      <c r="Q272" s="20" t="s">
        <v>72</v>
      </c>
      <c r="R272" s="20" t="s">
        <v>72</v>
      </c>
      <c r="S272" s="20" t="s">
        <v>72</v>
      </c>
      <c r="T272" s="20" t="s">
        <v>72</v>
      </c>
      <c r="U272" s="20" t="s">
        <v>72</v>
      </c>
      <c r="V272" s="20" t="s">
        <v>72</v>
      </c>
      <c r="W272" s="20" t="s">
        <v>72</v>
      </c>
      <c r="X272" s="20" t="s">
        <v>71</v>
      </c>
      <c r="Y272" s="20" t="s">
        <v>72</v>
      </c>
      <c r="Z272" s="20" t="s">
        <v>71</v>
      </c>
      <c r="AA272" s="23" t="s">
        <v>80</v>
      </c>
      <c r="AC272" s="25">
        <v>2</v>
      </c>
    </row>
    <row r="273" spans="1:29" ht="15" x14ac:dyDescent="0.2">
      <c r="A273">
        <v>29178636</v>
      </c>
      <c r="B273">
        <v>272</v>
      </c>
      <c r="C273" s="26" t="s">
        <v>1351</v>
      </c>
      <c r="D273" t="s">
        <v>1985</v>
      </c>
      <c r="E273">
        <v>3137716653</v>
      </c>
      <c r="F273" t="s">
        <v>1986</v>
      </c>
      <c r="G273" s="20" t="s">
        <v>922</v>
      </c>
      <c r="H273" t="s">
        <v>1834</v>
      </c>
      <c r="I273" s="20" t="s">
        <v>1835</v>
      </c>
      <c r="J273" s="20" t="s">
        <v>76</v>
      </c>
      <c r="K273" s="20" t="s">
        <v>76</v>
      </c>
      <c r="L273" s="20" t="s">
        <v>72</v>
      </c>
      <c r="M273" s="20" t="s">
        <v>71</v>
      </c>
      <c r="N273" s="20" t="s">
        <v>72</v>
      </c>
      <c r="O273" s="20" t="s">
        <v>72</v>
      </c>
      <c r="P273" s="20" t="s">
        <v>72</v>
      </c>
      <c r="Q273" s="20" t="s">
        <v>72</v>
      </c>
      <c r="R273" s="20" t="s">
        <v>72</v>
      </c>
      <c r="S273" s="20" t="s">
        <v>72</v>
      </c>
      <c r="T273" s="20" t="s">
        <v>72</v>
      </c>
      <c r="U273" s="20" t="s">
        <v>71</v>
      </c>
      <c r="V273" s="20" t="s">
        <v>72</v>
      </c>
      <c r="W273" s="20" t="s">
        <v>72</v>
      </c>
      <c r="X273" s="20" t="s">
        <v>71</v>
      </c>
      <c r="Y273" s="20" t="s">
        <v>72</v>
      </c>
      <c r="Z273" s="20" t="s">
        <v>71</v>
      </c>
      <c r="AA273" s="23" t="s">
        <v>91</v>
      </c>
      <c r="AC273" s="25">
        <v>2</v>
      </c>
    </row>
    <row r="274" spans="1:29" ht="15" x14ac:dyDescent="0.2">
      <c r="A274">
        <v>31223132</v>
      </c>
      <c r="B274">
        <v>273</v>
      </c>
      <c r="C274" s="26" t="s">
        <v>1351</v>
      </c>
      <c r="D274" t="s">
        <v>1458</v>
      </c>
      <c r="E274">
        <v>3178806592</v>
      </c>
      <c r="F274" t="s">
        <v>1987</v>
      </c>
      <c r="G274" s="20" t="s">
        <v>922</v>
      </c>
      <c r="H274" t="s">
        <v>1834</v>
      </c>
      <c r="I274" s="20" t="s">
        <v>1835</v>
      </c>
      <c r="J274" s="20" t="s">
        <v>76</v>
      </c>
      <c r="K274" s="20" t="s">
        <v>76</v>
      </c>
      <c r="L274" s="20" t="s">
        <v>72</v>
      </c>
      <c r="M274" s="20" t="s">
        <v>71</v>
      </c>
      <c r="N274" s="20" t="s">
        <v>72</v>
      </c>
      <c r="O274" s="20" t="s">
        <v>72</v>
      </c>
      <c r="P274" s="20" t="s">
        <v>72</v>
      </c>
      <c r="Q274" s="20" t="s">
        <v>72</v>
      </c>
      <c r="R274" s="20" t="s">
        <v>72</v>
      </c>
      <c r="S274" s="20" t="s">
        <v>72</v>
      </c>
      <c r="T274" s="20" t="s">
        <v>72</v>
      </c>
      <c r="U274" s="20" t="s">
        <v>71</v>
      </c>
      <c r="V274" s="20" t="s">
        <v>72</v>
      </c>
      <c r="W274" s="20" t="s">
        <v>72</v>
      </c>
      <c r="X274" s="20" t="s">
        <v>71</v>
      </c>
      <c r="Y274" s="20" t="s">
        <v>76</v>
      </c>
      <c r="Z274" s="20" t="s">
        <v>71</v>
      </c>
      <c r="AA274" s="23" t="s">
        <v>91</v>
      </c>
      <c r="AC274" s="25">
        <v>2</v>
      </c>
    </row>
    <row r="275" spans="1:29" ht="15" x14ac:dyDescent="0.2">
      <c r="A275">
        <v>16828126</v>
      </c>
      <c r="B275">
        <v>274</v>
      </c>
      <c r="C275" s="26" t="s">
        <v>1351</v>
      </c>
      <c r="D275" t="s">
        <v>1988</v>
      </c>
      <c r="E275">
        <v>3167636323</v>
      </c>
      <c r="F275" t="s">
        <v>1989</v>
      </c>
      <c r="G275" s="20" t="s">
        <v>922</v>
      </c>
      <c r="H275" t="s">
        <v>1834</v>
      </c>
      <c r="I275" s="20" t="s">
        <v>1835</v>
      </c>
      <c r="J275" s="20" t="s">
        <v>72</v>
      </c>
      <c r="K275" s="20" t="s">
        <v>72</v>
      </c>
      <c r="L275" s="20" t="s">
        <v>72</v>
      </c>
      <c r="M275" s="20" t="s">
        <v>72</v>
      </c>
      <c r="N275" s="20" t="s">
        <v>72</v>
      </c>
      <c r="O275" s="20" t="s">
        <v>72</v>
      </c>
      <c r="P275" s="20" t="s">
        <v>72</v>
      </c>
      <c r="Q275" s="20" t="s">
        <v>72</v>
      </c>
      <c r="R275" s="20" t="s">
        <v>72</v>
      </c>
      <c r="S275" s="20" t="s">
        <v>72</v>
      </c>
      <c r="T275" s="20" t="s">
        <v>72</v>
      </c>
      <c r="U275" s="20" t="s">
        <v>72</v>
      </c>
      <c r="V275" s="20" t="s">
        <v>72</v>
      </c>
      <c r="W275" s="20" t="s">
        <v>72</v>
      </c>
      <c r="X275" s="20" t="s">
        <v>72</v>
      </c>
      <c r="Y275" s="20" t="s">
        <v>72</v>
      </c>
      <c r="Z275" s="20" t="s">
        <v>72</v>
      </c>
      <c r="AA275" s="23" t="s">
        <v>91</v>
      </c>
      <c r="AC275" s="25">
        <v>1</v>
      </c>
    </row>
    <row r="276" spans="1:29" ht="15" x14ac:dyDescent="0.2">
      <c r="A276">
        <v>38942002</v>
      </c>
      <c r="B276">
        <v>275</v>
      </c>
      <c r="C276" s="26" t="s">
        <v>1351</v>
      </c>
      <c r="D276" t="s">
        <v>1990</v>
      </c>
      <c r="E276">
        <v>3164873560</v>
      </c>
      <c r="F276" t="s">
        <v>1991</v>
      </c>
      <c r="G276" s="20" t="s">
        <v>922</v>
      </c>
      <c r="H276" t="s">
        <v>1834</v>
      </c>
      <c r="I276" s="20" t="s">
        <v>1835</v>
      </c>
      <c r="AA276" s="23" t="s">
        <v>1367</v>
      </c>
      <c r="AB276" s="24" t="s">
        <v>1992</v>
      </c>
      <c r="AC276" s="25" t="s">
        <v>1367</v>
      </c>
    </row>
    <row r="277" spans="1:29" ht="15" x14ac:dyDescent="0.2">
      <c r="A277">
        <v>67028018</v>
      </c>
      <c r="B277">
        <v>276</v>
      </c>
      <c r="C277" s="26" t="s">
        <v>1351</v>
      </c>
      <c r="D277" t="s">
        <v>1558</v>
      </c>
      <c r="E277">
        <v>3168262974</v>
      </c>
      <c r="F277" t="s">
        <v>1993</v>
      </c>
      <c r="G277" s="20" t="s">
        <v>922</v>
      </c>
      <c r="H277" t="s">
        <v>1834</v>
      </c>
      <c r="I277" s="20" t="s">
        <v>1835</v>
      </c>
      <c r="J277" s="20" t="s">
        <v>76</v>
      </c>
      <c r="K277" s="20" t="s">
        <v>76</v>
      </c>
      <c r="L277" s="20" t="s">
        <v>72</v>
      </c>
      <c r="M277" s="20" t="s">
        <v>71</v>
      </c>
      <c r="N277" s="20" t="s">
        <v>72</v>
      </c>
      <c r="O277" s="20" t="s">
        <v>72</v>
      </c>
      <c r="P277" s="20" t="s">
        <v>72</v>
      </c>
      <c r="Q277" s="20" t="s">
        <v>72</v>
      </c>
      <c r="R277" s="20" t="s">
        <v>72</v>
      </c>
      <c r="S277" s="20" t="s">
        <v>71</v>
      </c>
      <c r="T277" s="20" t="s">
        <v>72</v>
      </c>
      <c r="U277" s="20" t="s">
        <v>71</v>
      </c>
      <c r="V277" s="20" t="s">
        <v>72</v>
      </c>
      <c r="W277" s="20" t="s">
        <v>72</v>
      </c>
      <c r="X277" s="20" t="s">
        <v>71</v>
      </c>
      <c r="Y277" s="20" t="s">
        <v>76</v>
      </c>
      <c r="Z277" s="20" t="s">
        <v>71</v>
      </c>
      <c r="AA277" s="23" t="s">
        <v>91</v>
      </c>
      <c r="AC277" s="25">
        <v>2</v>
      </c>
    </row>
    <row r="278" spans="1:29" ht="15" x14ac:dyDescent="0.2">
      <c r="A278">
        <v>16749425</v>
      </c>
      <c r="B278">
        <v>277</v>
      </c>
      <c r="C278" s="26" t="s">
        <v>1351</v>
      </c>
      <c r="D278" t="s">
        <v>1994</v>
      </c>
      <c r="E278">
        <v>3172135620</v>
      </c>
      <c r="F278" t="s">
        <v>1995</v>
      </c>
      <c r="G278" s="20" t="s">
        <v>922</v>
      </c>
      <c r="H278" t="s">
        <v>1834</v>
      </c>
      <c r="I278" s="20" t="s">
        <v>1835</v>
      </c>
      <c r="J278" s="20" t="s">
        <v>71</v>
      </c>
      <c r="K278" s="20" t="s">
        <v>71</v>
      </c>
      <c r="L278" s="20" t="s">
        <v>72</v>
      </c>
      <c r="M278" s="20" t="s">
        <v>72</v>
      </c>
      <c r="N278" s="20" t="s">
        <v>72</v>
      </c>
      <c r="O278" s="20" t="s">
        <v>72</v>
      </c>
      <c r="P278" s="20" t="s">
        <v>72</v>
      </c>
      <c r="Q278" s="20" t="s">
        <v>72</v>
      </c>
      <c r="R278" s="20" t="s">
        <v>72</v>
      </c>
      <c r="S278" s="20" t="s">
        <v>72</v>
      </c>
      <c r="T278" s="20" t="s">
        <v>72</v>
      </c>
      <c r="U278" s="20" t="s">
        <v>72</v>
      </c>
      <c r="V278" s="20" t="s">
        <v>72</v>
      </c>
      <c r="W278" s="20" t="s">
        <v>72</v>
      </c>
      <c r="X278" s="20" t="s">
        <v>71</v>
      </c>
      <c r="Y278" s="20" t="s">
        <v>76</v>
      </c>
      <c r="Z278" s="20" t="s">
        <v>71</v>
      </c>
      <c r="AA278" s="23" t="s">
        <v>80</v>
      </c>
      <c r="AC278" s="25">
        <v>2</v>
      </c>
    </row>
    <row r="279" spans="1:29" ht="15" x14ac:dyDescent="0.2">
      <c r="A279">
        <v>16723219</v>
      </c>
      <c r="B279">
        <v>278</v>
      </c>
      <c r="C279" s="26" t="s">
        <v>1351</v>
      </c>
      <c r="D279" t="s">
        <v>1996</v>
      </c>
      <c r="E279">
        <v>3053419673</v>
      </c>
      <c r="F279" t="s">
        <v>1997</v>
      </c>
      <c r="G279" s="20" t="s">
        <v>922</v>
      </c>
      <c r="H279" t="s">
        <v>1834</v>
      </c>
      <c r="I279" s="20" t="s">
        <v>1835</v>
      </c>
      <c r="AA279" s="23" t="s">
        <v>1367</v>
      </c>
      <c r="AB279" s="24" t="s">
        <v>1998</v>
      </c>
      <c r="AC279" s="25" t="s">
        <v>1367</v>
      </c>
    </row>
    <row r="280" spans="1:29" ht="15" x14ac:dyDescent="0.2">
      <c r="A280">
        <v>76268499</v>
      </c>
      <c r="B280">
        <v>279</v>
      </c>
      <c r="C280" s="26" t="s">
        <v>1351</v>
      </c>
      <c r="D280" t="s">
        <v>1999</v>
      </c>
      <c r="E280">
        <v>3194131370</v>
      </c>
      <c r="F280" t="s">
        <v>2000</v>
      </c>
      <c r="G280" s="20" t="s">
        <v>922</v>
      </c>
      <c r="H280" t="s">
        <v>1834</v>
      </c>
      <c r="I280" s="20" t="s">
        <v>1835</v>
      </c>
      <c r="J280" s="20" t="s">
        <v>71</v>
      </c>
      <c r="K280" s="20" t="s">
        <v>71</v>
      </c>
      <c r="L280" s="20" t="s">
        <v>72</v>
      </c>
      <c r="M280" s="20" t="s">
        <v>71</v>
      </c>
      <c r="N280" s="20" t="s">
        <v>72</v>
      </c>
      <c r="O280" s="20" t="s">
        <v>72</v>
      </c>
      <c r="P280" s="20" t="s">
        <v>72</v>
      </c>
      <c r="Q280" s="20" t="s">
        <v>72</v>
      </c>
      <c r="R280" s="20" t="s">
        <v>72</v>
      </c>
      <c r="S280" s="20" t="s">
        <v>72</v>
      </c>
      <c r="T280" s="20" t="s">
        <v>72</v>
      </c>
      <c r="U280" s="20" t="s">
        <v>71</v>
      </c>
      <c r="V280" s="20" t="s">
        <v>71</v>
      </c>
      <c r="W280" s="20" t="s">
        <v>71</v>
      </c>
      <c r="X280" s="20" t="s">
        <v>71</v>
      </c>
      <c r="Y280" s="20" t="s">
        <v>71</v>
      </c>
      <c r="Z280" s="20" t="s">
        <v>71</v>
      </c>
      <c r="AA280" s="23" t="s">
        <v>256</v>
      </c>
      <c r="AC280" s="25">
        <v>3</v>
      </c>
    </row>
    <row r="281" spans="1:29" ht="15" x14ac:dyDescent="0.2">
      <c r="A281">
        <v>66981241</v>
      </c>
      <c r="B281">
        <v>280</v>
      </c>
      <c r="C281" s="26" t="s">
        <v>1351</v>
      </c>
      <c r="D281" t="s">
        <v>2001</v>
      </c>
      <c r="E281">
        <v>3163491437</v>
      </c>
      <c r="F281" t="s">
        <v>2002</v>
      </c>
      <c r="G281" s="20" t="s">
        <v>922</v>
      </c>
      <c r="H281" t="s">
        <v>1834</v>
      </c>
      <c r="I281" s="20" t="s">
        <v>1835</v>
      </c>
      <c r="AA281" s="23" t="s">
        <v>1367</v>
      </c>
      <c r="AB281" s="24" t="s">
        <v>1992</v>
      </c>
      <c r="AC281" s="25" t="s">
        <v>1367</v>
      </c>
    </row>
    <row r="282" spans="1:29" ht="15" x14ac:dyDescent="0.2">
      <c r="A282">
        <v>16591744</v>
      </c>
      <c r="B282">
        <v>281</v>
      </c>
      <c r="C282" s="26" t="s">
        <v>1351</v>
      </c>
      <c r="D282" t="s">
        <v>2003</v>
      </c>
      <c r="E282">
        <v>3157784195</v>
      </c>
      <c r="F282" t="s">
        <v>2004</v>
      </c>
      <c r="G282" s="20" t="s">
        <v>922</v>
      </c>
      <c r="H282" t="s">
        <v>1834</v>
      </c>
      <c r="I282" s="20" t="s">
        <v>1835</v>
      </c>
      <c r="AA282" s="23" t="s">
        <v>1367</v>
      </c>
      <c r="AB282" s="24" t="s">
        <v>2005</v>
      </c>
      <c r="AC282" s="25" t="s">
        <v>1367</v>
      </c>
    </row>
    <row r="283" spans="1:29" ht="15" x14ac:dyDescent="0.2">
      <c r="A283">
        <v>94537823</v>
      </c>
      <c r="B283">
        <v>282</v>
      </c>
      <c r="C283" s="26" t="s">
        <v>1351</v>
      </c>
      <c r="D283" t="s">
        <v>2006</v>
      </c>
      <c r="E283">
        <v>3155631475</v>
      </c>
      <c r="F283" t="s">
        <v>2007</v>
      </c>
      <c r="G283" s="20" t="s">
        <v>922</v>
      </c>
      <c r="H283" t="s">
        <v>1834</v>
      </c>
      <c r="I283" s="20" t="s">
        <v>1835</v>
      </c>
      <c r="J283" s="20" t="s">
        <v>71</v>
      </c>
      <c r="K283" s="20" t="s">
        <v>71</v>
      </c>
      <c r="L283" s="20" t="s">
        <v>72</v>
      </c>
      <c r="M283" s="20" t="s">
        <v>71</v>
      </c>
      <c r="N283" s="20" t="s">
        <v>72</v>
      </c>
      <c r="O283" s="20" t="s">
        <v>72</v>
      </c>
      <c r="P283" s="20" t="s">
        <v>72</v>
      </c>
      <c r="Q283" s="20" t="s">
        <v>72</v>
      </c>
      <c r="R283" s="20" t="s">
        <v>72</v>
      </c>
      <c r="S283" s="20" t="s">
        <v>72</v>
      </c>
      <c r="T283" s="20" t="s">
        <v>72</v>
      </c>
      <c r="U283" s="20" t="s">
        <v>72</v>
      </c>
      <c r="V283" s="20" t="s">
        <v>72</v>
      </c>
      <c r="W283" s="20" t="s">
        <v>72</v>
      </c>
      <c r="X283" s="20" t="s">
        <v>71</v>
      </c>
      <c r="Y283" s="20" t="s">
        <v>72</v>
      </c>
      <c r="Z283" s="20" t="s">
        <v>71</v>
      </c>
      <c r="AA283" s="23" t="s">
        <v>80</v>
      </c>
      <c r="AC283" s="25">
        <v>2</v>
      </c>
    </row>
    <row r="284" spans="1:29" ht="15" x14ac:dyDescent="0.2">
      <c r="A284">
        <v>14960260</v>
      </c>
      <c r="B284">
        <v>283</v>
      </c>
      <c r="C284" s="26" t="s">
        <v>1351</v>
      </c>
      <c r="D284" t="s">
        <v>2008</v>
      </c>
      <c r="E284">
        <v>3168788699</v>
      </c>
      <c r="F284" t="s">
        <v>2009</v>
      </c>
      <c r="G284" s="20" t="s">
        <v>922</v>
      </c>
      <c r="H284" t="s">
        <v>1834</v>
      </c>
      <c r="I284" s="20" t="s">
        <v>1835</v>
      </c>
      <c r="J284" s="20" t="s">
        <v>71</v>
      </c>
      <c r="K284" s="20" t="s">
        <v>71</v>
      </c>
      <c r="L284" s="20" t="s">
        <v>72</v>
      </c>
      <c r="M284" s="20" t="s">
        <v>71</v>
      </c>
      <c r="N284" s="20" t="s">
        <v>72</v>
      </c>
      <c r="O284" s="20" t="s">
        <v>72</v>
      </c>
      <c r="P284" s="20" t="s">
        <v>72</v>
      </c>
      <c r="Q284" s="20" t="s">
        <v>72</v>
      </c>
      <c r="R284" s="20" t="s">
        <v>72</v>
      </c>
      <c r="S284" s="20" t="s">
        <v>72</v>
      </c>
      <c r="T284" s="20" t="s">
        <v>72</v>
      </c>
      <c r="U284" s="20" t="s">
        <v>71</v>
      </c>
      <c r="V284" s="20" t="s">
        <v>71</v>
      </c>
      <c r="W284" s="20" t="s">
        <v>71</v>
      </c>
      <c r="X284" s="20" t="s">
        <v>71</v>
      </c>
      <c r="Y284" s="20" t="s">
        <v>71</v>
      </c>
      <c r="Z284" s="20" t="s">
        <v>71</v>
      </c>
      <c r="AA284" s="23" t="s">
        <v>256</v>
      </c>
      <c r="AC284" s="25">
        <v>3</v>
      </c>
    </row>
    <row r="285" spans="1:29" ht="15" x14ac:dyDescent="0.2">
      <c r="A285">
        <v>66973335</v>
      </c>
      <c r="B285">
        <v>284</v>
      </c>
      <c r="C285" s="26" t="s">
        <v>1351</v>
      </c>
      <c r="D285" t="s">
        <v>2010</v>
      </c>
      <c r="E285">
        <v>3215670856</v>
      </c>
      <c r="F285" t="s">
        <v>2011</v>
      </c>
      <c r="G285" s="20" t="s">
        <v>922</v>
      </c>
      <c r="H285" t="s">
        <v>1834</v>
      </c>
      <c r="I285" s="20" t="s">
        <v>1835</v>
      </c>
      <c r="J285" s="20" t="s">
        <v>76</v>
      </c>
      <c r="K285" s="20" t="s">
        <v>76</v>
      </c>
      <c r="L285" s="20" t="s">
        <v>72</v>
      </c>
      <c r="M285" s="20" t="s">
        <v>71</v>
      </c>
      <c r="N285" s="20" t="s">
        <v>72</v>
      </c>
      <c r="O285" s="20" t="s">
        <v>72</v>
      </c>
      <c r="P285" s="20" t="s">
        <v>72</v>
      </c>
      <c r="Q285" s="20" t="s">
        <v>72</v>
      </c>
      <c r="R285" s="20" t="s">
        <v>72</v>
      </c>
      <c r="S285" s="20" t="s">
        <v>72</v>
      </c>
      <c r="T285" s="20" t="s">
        <v>72</v>
      </c>
      <c r="U285" s="20" t="s">
        <v>72</v>
      </c>
      <c r="V285" s="20" t="s">
        <v>72</v>
      </c>
      <c r="W285" s="20" t="s">
        <v>72</v>
      </c>
      <c r="X285" s="20" t="s">
        <v>71</v>
      </c>
      <c r="Y285" s="20" t="s">
        <v>76</v>
      </c>
      <c r="Z285" s="20" t="s">
        <v>71</v>
      </c>
      <c r="AA285" s="23" t="s">
        <v>91</v>
      </c>
      <c r="AC285" s="25">
        <v>2</v>
      </c>
    </row>
    <row r="286" spans="1:29" ht="15" x14ac:dyDescent="0.2">
      <c r="A286">
        <v>1130602891</v>
      </c>
      <c r="B286">
        <v>285</v>
      </c>
      <c r="C286" s="26" t="s">
        <v>1351</v>
      </c>
      <c r="D286" t="s">
        <v>2012</v>
      </c>
      <c r="E286">
        <v>3155465707</v>
      </c>
      <c r="F286" t="s">
        <v>2013</v>
      </c>
      <c r="G286" s="20" t="s">
        <v>922</v>
      </c>
      <c r="H286" t="s">
        <v>1834</v>
      </c>
      <c r="I286" s="20" t="s">
        <v>1835</v>
      </c>
      <c r="J286" s="20" t="s">
        <v>76</v>
      </c>
      <c r="K286" s="20" t="s">
        <v>76</v>
      </c>
      <c r="L286" s="20" t="s">
        <v>71</v>
      </c>
      <c r="M286" s="20" t="s">
        <v>71</v>
      </c>
      <c r="N286" s="20" t="s">
        <v>71</v>
      </c>
      <c r="O286" s="20" t="s">
        <v>71</v>
      </c>
      <c r="P286" s="20" t="s">
        <v>71</v>
      </c>
      <c r="Q286" s="20" t="s">
        <v>71</v>
      </c>
      <c r="R286" s="20" t="s">
        <v>71</v>
      </c>
      <c r="S286" s="20" t="s">
        <v>71</v>
      </c>
      <c r="T286" s="20" t="s">
        <v>71</v>
      </c>
      <c r="U286" s="20" t="s">
        <v>71</v>
      </c>
      <c r="V286" s="20" t="s">
        <v>71</v>
      </c>
      <c r="W286" s="20" t="s">
        <v>71</v>
      </c>
      <c r="X286" s="20" t="s">
        <v>71</v>
      </c>
      <c r="Y286" s="20" t="s">
        <v>71</v>
      </c>
      <c r="Z286" s="20" t="s">
        <v>71</v>
      </c>
      <c r="AA286" s="23" t="s">
        <v>73</v>
      </c>
      <c r="AC286" s="25">
        <v>2</v>
      </c>
    </row>
    <row r="287" spans="1:29" ht="15" x14ac:dyDescent="0.2">
      <c r="A287">
        <v>14465565</v>
      </c>
      <c r="B287">
        <v>286</v>
      </c>
      <c r="C287" s="26" t="s">
        <v>1351</v>
      </c>
      <c r="D287" t="s">
        <v>2014</v>
      </c>
      <c r="E287">
        <v>3157612597</v>
      </c>
      <c r="F287" t="s">
        <v>2015</v>
      </c>
      <c r="G287" s="20" t="s">
        <v>922</v>
      </c>
      <c r="H287" t="s">
        <v>1834</v>
      </c>
      <c r="I287" s="20" t="s">
        <v>480</v>
      </c>
      <c r="J287" s="20" t="s">
        <v>71</v>
      </c>
      <c r="K287" s="20" t="s">
        <v>71</v>
      </c>
      <c r="L287" s="20" t="s">
        <v>72</v>
      </c>
      <c r="M287" s="20" t="s">
        <v>71</v>
      </c>
      <c r="N287" s="20" t="s">
        <v>71</v>
      </c>
      <c r="O287" s="20" t="s">
        <v>72</v>
      </c>
      <c r="P287" s="20" t="s">
        <v>72</v>
      </c>
      <c r="Q287" s="20" t="s">
        <v>72</v>
      </c>
      <c r="R287" s="20" t="s">
        <v>72</v>
      </c>
      <c r="S287" s="20" t="s">
        <v>71</v>
      </c>
      <c r="T287" s="20" t="s">
        <v>71</v>
      </c>
      <c r="U287" s="20" t="s">
        <v>72</v>
      </c>
      <c r="V287" s="20" t="s">
        <v>72</v>
      </c>
      <c r="W287" s="20" t="s">
        <v>72</v>
      </c>
      <c r="X287" s="20" t="s">
        <v>71</v>
      </c>
      <c r="Y287" s="20" t="s">
        <v>72</v>
      </c>
      <c r="Z287" s="20" t="s">
        <v>71</v>
      </c>
      <c r="AA287" s="23" t="s">
        <v>80</v>
      </c>
      <c r="AC287" s="25">
        <v>2</v>
      </c>
    </row>
    <row r="288" spans="1:29" ht="15" x14ac:dyDescent="0.2">
      <c r="A288">
        <v>2272778</v>
      </c>
      <c r="B288">
        <v>287</v>
      </c>
      <c r="C288" s="26" t="s">
        <v>1351</v>
      </c>
      <c r="D288" t="s">
        <v>2016</v>
      </c>
      <c r="E288">
        <v>3175093558</v>
      </c>
      <c r="F288" t="s">
        <v>2017</v>
      </c>
      <c r="G288" s="20" t="s">
        <v>922</v>
      </c>
      <c r="H288" t="s">
        <v>1834</v>
      </c>
      <c r="I288" s="20" t="s">
        <v>1835</v>
      </c>
      <c r="J288" s="20" t="s">
        <v>71</v>
      </c>
      <c r="K288" s="20" t="s">
        <v>71</v>
      </c>
      <c r="L288" s="20" t="s">
        <v>72</v>
      </c>
      <c r="M288" s="20" t="s">
        <v>71</v>
      </c>
      <c r="N288" s="20" t="s">
        <v>72</v>
      </c>
      <c r="O288" s="20" t="s">
        <v>72</v>
      </c>
      <c r="P288" s="20" t="s">
        <v>72</v>
      </c>
      <c r="Q288" s="20" t="s">
        <v>72</v>
      </c>
      <c r="R288" s="20" t="s">
        <v>72</v>
      </c>
      <c r="S288" s="20" t="s">
        <v>72</v>
      </c>
      <c r="T288" s="20" t="s">
        <v>72</v>
      </c>
      <c r="U288" s="20" t="s">
        <v>71</v>
      </c>
      <c r="V288" s="20" t="s">
        <v>71</v>
      </c>
      <c r="W288" s="20" t="s">
        <v>71</v>
      </c>
      <c r="X288" s="20" t="s">
        <v>71</v>
      </c>
      <c r="Y288" s="20" t="s">
        <v>71</v>
      </c>
      <c r="Z288" s="20" t="s">
        <v>71</v>
      </c>
      <c r="AA288" s="23" t="s">
        <v>256</v>
      </c>
      <c r="AC288" s="25">
        <v>3</v>
      </c>
    </row>
    <row r="289" spans="1:29" ht="15" x14ac:dyDescent="0.2">
      <c r="A289">
        <v>67016691</v>
      </c>
      <c r="B289">
        <v>288</v>
      </c>
      <c r="C289" s="26" t="s">
        <v>1351</v>
      </c>
      <c r="D289" t="s">
        <v>2018</v>
      </c>
      <c r="E289">
        <v>3174532931</v>
      </c>
      <c r="F289" t="s">
        <v>2019</v>
      </c>
      <c r="G289" s="20" t="s">
        <v>922</v>
      </c>
      <c r="H289" t="s">
        <v>1834</v>
      </c>
      <c r="I289" s="20" t="s">
        <v>1835</v>
      </c>
      <c r="AA289" s="23" t="s">
        <v>1367</v>
      </c>
      <c r="AB289" s="24" t="s">
        <v>2005</v>
      </c>
      <c r="AC289" s="25" t="s">
        <v>1367</v>
      </c>
    </row>
    <row r="290" spans="1:29" ht="15" x14ac:dyDescent="0.2">
      <c r="A290">
        <v>31162284</v>
      </c>
      <c r="B290">
        <v>289</v>
      </c>
      <c r="C290" s="26" t="s">
        <v>1351</v>
      </c>
      <c r="D290" t="s">
        <v>2020</v>
      </c>
      <c r="E290">
        <v>3155500805</v>
      </c>
      <c r="F290" t="s">
        <v>2021</v>
      </c>
      <c r="G290" s="20" t="s">
        <v>922</v>
      </c>
      <c r="H290" t="s">
        <v>1834</v>
      </c>
      <c r="I290" s="20" t="s">
        <v>1835</v>
      </c>
      <c r="J290" s="20" t="s">
        <v>76</v>
      </c>
      <c r="K290" s="20" t="s">
        <v>76</v>
      </c>
      <c r="L290" s="20" t="s">
        <v>72</v>
      </c>
      <c r="M290" s="20" t="s">
        <v>71</v>
      </c>
      <c r="N290" s="20" t="s">
        <v>72</v>
      </c>
      <c r="O290" s="20" t="s">
        <v>72</v>
      </c>
      <c r="P290" s="20" t="s">
        <v>72</v>
      </c>
      <c r="Q290" s="20" t="s">
        <v>72</v>
      </c>
      <c r="R290" s="20" t="s">
        <v>72</v>
      </c>
      <c r="S290" s="20" t="s">
        <v>72</v>
      </c>
      <c r="T290" s="20" t="s">
        <v>72</v>
      </c>
      <c r="U290" s="20" t="s">
        <v>72</v>
      </c>
      <c r="V290" s="20" t="s">
        <v>72</v>
      </c>
      <c r="W290" s="20" t="s">
        <v>72</v>
      </c>
      <c r="X290" s="20" t="s">
        <v>72</v>
      </c>
      <c r="Y290" s="20" t="s">
        <v>72</v>
      </c>
      <c r="Z290" s="20" t="s">
        <v>72</v>
      </c>
      <c r="AA290" s="23" t="s">
        <v>91</v>
      </c>
      <c r="AC290" s="25">
        <v>1</v>
      </c>
    </row>
    <row r="291" spans="1:29" ht="15" x14ac:dyDescent="0.2">
      <c r="A291">
        <v>25487137</v>
      </c>
      <c r="B291">
        <v>290</v>
      </c>
      <c r="C291" s="26" t="s">
        <v>1351</v>
      </c>
      <c r="D291" t="s">
        <v>2022</v>
      </c>
      <c r="E291">
        <v>3135760641</v>
      </c>
      <c r="F291" t="s">
        <v>2023</v>
      </c>
      <c r="G291" s="20" t="s">
        <v>922</v>
      </c>
      <c r="H291" t="s">
        <v>1834</v>
      </c>
      <c r="I291" s="20" t="s">
        <v>1835</v>
      </c>
      <c r="J291" s="20" t="s">
        <v>76</v>
      </c>
      <c r="K291" s="20" t="s">
        <v>76</v>
      </c>
      <c r="L291" s="20" t="s">
        <v>72</v>
      </c>
      <c r="M291" s="20" t="s">
        <v>71</v>
      </c>
      <c r="N291" s="20" t="s">
        <v>72</v>
      </c>
      <c r="O291" s="20" t="s">
        <v>72</v>
      </c>
      <c r="P291" s="20" t="s">
        <v>72</v>
      </c>
      <c r="Q291" s="20" t="s">
        <v>72</v>
      </c>
      <c r="R291" s="20" t="s">
        <v>72</v>
      </c>
      <c r="S291" s="20" t="s">
        <v>72</v>
      </c>
      <c r="T291" s="20" t="s">
        <v>72</v>
      </c>
      <c r="U291" s="20" t="s">
        <v>72</v>
      </c>
      <c r="V291" s="20" t="s">
        <v>72</v>
      </c>
      <c r="W291" s="20" t="s">
        <v>72</v>
      </c>
      <c r="X291" s="20" t="s">
        <v>72</v>
      </c>
      <c r="Y291" s="20" t="s">
        <v>72</v>
      </c>
      <c r="Z291" s="20" t="s">
        <v>72</v>
      </c>
      <c r="AA291" s="23" t="s">
        <v>91</v>
      </c>
      <c r="AC291" s="25">
        <v>1</v>
      </c>
    </row>
    <row r="292" spans="1:29" ht="15" x14ac:dyDescent="0.2">
      <c r="A292">
        <v>27123795</v>
      </c>
      <c r="B292">
        <v>291</v>
      </c>
      <c r="C292" s="26" t="s">
        <v>1351</v>
      </c>
      <c r="D292" t="s">
        <v>2024</v>
      </c>
      <c r="E292">
        <v>3148873661</v>
      </c>
      <c r="F292" t="s">
        <v>2025</v>
      </c>
      <c r="G292" s="20" t="s">
        <v>922</v>
      </c>
      <c r="H292" t="s">
        <v>1834</v>
      </c>
      <c r="I292" s="20" t="s">
        <v>1835</v>
      </c>
      <c r="J292" s="20" t="s">
        <v>76</v>
      </c>
      <c r="K292" s="20" t="s">
        <v>76</v>
      </c>
      <c r="L292" s="20" t="s">
        <v>71</v>
      </c>
      <c r="M292" s="20" t="s">
        <v>71</v>
      </c>
      <c r="N292" s="20" t="s">
        <v>72</v>
      </c>
      <c r="O292" s="20" t="s">
        <v>72</v>
      </c>
      <c r="P292" s="20" t="s">
        <v>72</v>
      </c>
      <c r="Q292" s="20" t="s">
        <v>71</v>
      </c>
      <c r="R292" s="20" t="s">
        <v>72</v>
      </c>
      <c r="S292" s="20" t="s">
        <v>72</v>
      </c>
      <c r="T292" s="20" t="s">
        <v>72</v>
      </c>
      <c r="U292" s="20" t="s">
        <v>72</v>
      </c>
      <c r="V292" s="20" t="s">
        <v>72</v>
      </c>
      <c r="W292" s="20" t="s">
        <v>72</v>
      </c>
      <c r="X292" s="20" t="s">
        <v>72</v>
      </c>
      <c r="Y292" s="20" t="s">
        <v>72</v>
      </c>
      <c r="Z292" s="20" t="s">
        <v>72</v>
      </c>
      <c r="AA292" s="23" t="s">
        <v>91</v>
      </c>
      <c r="AC292" s="25">
        <v>2</v>
      </c>
    </row>
    <row r="293" spans="1:29" ht="15" x14ac:dyDescent="0.2">
      <c r="A293">
        <v>87085002</v>
      </c>
      <c r="B293">
        <v>292</v>
      </c>
      <c r="C293" s="26" t="s">
        <v>1351</v>
      </c>
      <c r="D293" t="s">
        <v>1936</v>
      </c>
      <c r="E293">
        <v>3128853862</v>
      </c>
      <c r="F293" t="s">
        <v>2026</v>
      </c>
      <c r="G293" s="20" t="s">
        <v>922</v>
      </c>
      <c r="H293" t="s">
        <v>1834</v>
      </c>
      <c r="I293" s="20" t="s">
        <v>1835</v>
      </c>
      <c r="J293" s="20" t="s">
        <v>76</v>
      </c>
      <c r="K293" s="20" t="s">
        <v>76</v>
      </c>
      <c r="L293" s="20" t="s">
        <v>71</v>
      </c>
      <c r="M293" s="20" t="s">
        <v>71</v>
      </c>
      <c r="N293" s="20" t="s">
        <v>72</v>
      </c>
      <c r="O293" s="20" t="s">
        <v>72</v>
      </c>
      <c r="P293" s="20" t="s">
        <v>72</v>
      </c>
      <c r="Q293" s="20" t="s">
        <v>71</v>
      </c>
      <c r="R293" s="20" t="s">
        <v>71</v>
      </c>
      <c r="S293" s="20" t="s">
        <v>71</v>
      </c>
      <c r="T293" s="20" t="s">
        <v>71</v>
      </c>
      <c r="U293" s="20" t="s">
        <v>71</v>
      </c>
      <c r="V293" s="20" t="s">
        <v>71</v>
      </c>
      <c r="W293" s="20" t="s">
        <v>71</v>
      </c>
      <c r="X293" s="20" t="s">
        <v>71</v>
      </c>
      <c r="Y293" s="20" t="s">
        <v>71</v>
      </c>
      <c r="Z293" s="20" t="s">
        <v>71</v>
      </c>
      <c r="AA293" s="23" t="s">
        <v>85</v>
      </c>
      <c r="AC293" s="25">
        <v>2</v>
      </c>
    </row>
    <row r="294" spans="1:29" ht="15" x14ac:dyDescent="0.2">
      <c r="A294">
        <v>19288937</v>
      </c>
      <c r="B294">
        <v>293</v>
      </c>
      <c r="C294" s="26" t="s">
        <v>1351</v>
      </c>
      <c r="D294" t="s">
        <v>2027</v>
      </c>
      <c r="E294">
        <v>3164195955</v>
      </c>
      <c r="F294" t="s">
        <v>2028</v>
      </c>
      <c r="G294" s="20" t="s">
        <v>922</v>
      </c>
      <c r="H294" t="s">
        <v>1834</v>
      </c>
      <c r="I294" s="20" t="s">
        <v>1835</v>
      </c>
      <c r="AA294" s="23" t="s">
        <v>1367</v>
      </c>
      <c r="AB294" s="24" t="s">
        <v>2005</v>
      </c>
      <c r="AC294" s="25" t="s">
        <v>1367</v>
      </c>
    </row>
    <row r="295" spans="1:29" ht="15" x14ac:dyDescent="0.2">
      <c r="A295">
        <v>31855498</v>
      </c>
      <c r="B295">
        <v>294</v>
      </c>
      <c r="C295" s="26" t="s">
        <v>1351</v>
      </c>
      <c r="D295" t="s">
        <v>2029</v>
      </c>
      <c r="E295">
        <v>3184540183</v>
      </c>
      <c r="F295" t="s">
        <v>2030</v>
      </c>
      <c r="G295" s="20" t="s">
        <v>922</v>
      </c>
      <c r="H295" t="s">
        <v>1834</v>
      </c>
      <c r="I295" s="20" t="s">
        <v>1835</v>
      </c>
      <c r="J295" s="20" t="s">
        <v>76</v>
      </c>
      <c r="K295" s="20" t="s">
        <v>76</v>
      </c>
      <c r="L295" s="20" t="s">
        <v>72</v>
      </c>
      <c r="M295" s="20" t="s">
        <v>71</v>
      </c>
      <c r="N295" s="20" t="s">
        <v>72</v>
      </c>
      <c r="O295" s="20" t="s">
        <v>72</v>
      </c>
      <c r="P295" s="20" t="s">
        <v>72</v>
      </c>
      <c r="Q295" s="20" t="s">
        <v>72</v>
      </c>
      <c r="R295" s="20" t="s">
        <v>72</v>
      </c>
      <c r="S295" s="20" t="s">
        <v>72</v>
      </c>
      <c r="T295" s="20" t="s">
        <v>72</v>
      </c>
      <c r="U295" s="20" t="s">
        <v>72</v>
      </c>
      <c r="V295" s="20" t="s">
        <v>72</v>
      </c>
      <c r="W295" s="20" t="s">
        <v>72</v>
      </c>
      <c r="X295" s="20" t="s">
        <v>72</v>
      </c>
      <c r="Y295" s="20" t="s">
        <v>72</v>
      </c>
      <c r="Z295" s="20" t="s">
        <v>72</v>
      </c>
      <c r="AA295" s="23" t="s">
        <v>91</v>
      </c>
      <c r="AC295" s="25">
        <v>1</v>
      </c>
    </row>
    <row r="296" spans="1:29" ht="15" x14ac:dyDescent="0.2">
      <c r="A296">
        <v>94503264</v>
      </c>
      <c r="B296">
        <v>295</v>
      </c>
      <c r="C296" s="26" t="s">
        <v>1351</v>
      </c>
      <c r="D296" t="s">
        <v>1660</v>
      </c>
      <c r="E296">
        <v>3207892548</v>
      </c>
      <c r="F296" t="s">
        <v>2031</v>
      </c>
      <c r="G296" s="20" t="s">
        <v>922</v>
      </c>
      <c r="H296" t="s">
        <v>1834</v>
      </c>
      <c r="I296" s="20" t="s">
        <v>1835</v>
      </c>
      <c r="AA296" s="23" t="s">
        <v>1367</v>
      </c>
      <c r="AB296" s="24" t="s">
        <v>2032</v>
      </c>
      <c r="AC296" s="25" t="s">
        <v>1367</v>
      </c>
    </row>
    <row r="297" spans="1:29" ht="15" x14ac:dyDescent="0.2">
      <c r="A297">
        <v>1144068248</v>
      </c>
      <c r="B297">
        <v>296</v>
      </c>
      <c r="C297" s="26" t="s">
        <v>1351</v>
      </c>
      <c r="D297" t="s">
        <v>2033</v>
      </c>
      <c r="E297">
        <v>3168637231</v>
      </c>
      <c r="F297" t="s">
        <v>2034</v>
      </c>
      <c r="G297" s="20" t="s">
        <v>922</v>
      </c>
      <c r="H297" t="s">
        <v>1834</v>
      </c>
      <c r="I297" s="20" t="s">
        <v>1835</v>
      </c>
      <c r="AA297" s="23" t="s">
        <v>1367</v>
      </c>
      <c r="AB297" s="24" t="s">
        <v>1992</v>
      </c>
      <c r="AC297" s="25" t="s">
        <v>1367</v>
      </c>
    </row>
    <row r="298" spans="1:29" ht="15" x14ac:dyDescent="0.2">
      <c r="A298">
        <v>25489365</v>
      </c>
      <c r="B298">
        <v>297</v>
      </c>
      <c r="C298" s="26" t="s">
        <v>1351</v>
      </c>
      <c r="D298" t="s">
        <v>2035</v>
      </c>
      <c r="E298">
        <v>3203157948</v>
      </c>
      <c r="F298" t="s">
        <v>2036</v>
      </c>
      <c r="G298" s="20" t="s">
        <v>922</v>
      </c>
      <c r="H298" t="s">
        <v>1834</v>
      </c>
      <c r="I298" s="20" t="s">
        <v>1835</v>
      </c>
      <c r="J298" s="20" t="s">
        <v>71</v>
      </c>
      <c r="K298" s="20" t="s">
        <v>71</v>
      </c>
      <c r="L298" s="20" t="s">
        <v>72</v>
      </c>
      <c r="M298" s="20" t="s">
        <v>72</v>
      </c>
      <c r="N298" s="20" t="s">
        <v>72</v>
      </c>
      <c r="O298" s="20" t="s">
        <v>72</v>
      </c>
      <c r="P298" s="20" t="s">
        <v>72</v>
      </c>
      <c r="Q298" s="20" t="s">
        <v>72</v>
      </c>
      <c r="R298" s="20" t="s">
        <v>72</v>
      </c>
      <c r="S298" s="20" t="s">
        <v>72</v>
      </c>
      <c r="T298" s="20" t="s">
        <v>72</v>
      </c>
      <c r="U298" s="20" t="s">
        <v>71</v>
      </c>
      <c r="V298" s="20" t="s">
        <v>71</v>
      </c>
      <c r="W298" s="20" t="s">
        <v>71</v>
      </c>
      <c r="X298" s="20" t="s">
        <v>71</v>
      </c>
      <c r="Y298" s="20" t="s">
        <v>71</v>
      </c>
      <c r="Z298" s="20" t="s">
        <v>71</v>
      </c>
      <c r="AA298" s="23" t="s">
        <v>256</v>
      </c>
      <c r="AC298" s="25">
        <v>3</v>
      </c>
    </row>
    <row r="299" spans="1:29" ht="15" x14ac:dyDescent="0.2">
      <c r="A299">
        <v>1107096112</v>
      </c>
      <c r="B299">
        <v>298</v>
      </c>
      <c r="C299" s="26" t="s">
        <v>1351</v>
      </c>
      <c r="D299" t="s">
        <v>2037</v>
      </c>
      <c r="E299">
        <v>3187896028</v>
      </c>
      <c r="F299" t="s">
        <v>2038</v>
      </c>
      <c r="G299" s="20" t="s">
        <v>922</v>
      </c>
      <c r="H299" t="s">
        <v>1834</v>
      </c>
      <c r="I299" s="20" t="s">
        <v>1835</v>
      </c>
      <c r="J299" s="20" t="s">
        <v>71</v>
      </c>
      <c r="K299" s="20" t="s">
        <v>71</v>
      </c>
      <c r="L299" s="20" t="s">
        <v>72</v>
      </c>
      <c r="M299" s="20" t="s">
        <v>71</v>
      </c>
      <c r="N299" s="20" t="s">
        <v>72</v>
      </c>
      <c r="O299" s="20" t="s">
        <v>72</v>
      </c>
      <c r="P299" s="20" t="s">
        <v>72</v>
      </c>
      <c r="Q299" s="20" t="s">
        <v>72</v>
      </c>
      <c r="R299" s="20" t="s">
        <v>72</v>
      </c>
      <c r="S299" s="20" t="s">
        <v>72</v>
      </c>
      <c r="T299" s="20" t="s">
        <v>72</v>
      </c>
      <c r="U299" s="20" t="s">
        <v>72</v>
      </c>
      <c r="V299" s="20" t="s">
        <v>72</v>
      </c>
      <c r="W299" s="20" t="s">
        <v>72</v>
      </c>
      <c r="X299" s="20" t="s">
        <v>71</v>
      </c>
      <c r="Y299" s="20" t="s">
        <v>72</v>
      </c>
      <c r="Z299" s="20" t="s">
        <v>71</v>
      </c>
      <c r="AA299" s="23" t="s">
        <v>80</v>
      </c>
      <c r="AC299" s="25">
        <v>2</v>
      </c>
    </row>
    <row r="300" spans="1:29" ht="15" x14ac:dyDescent="0.2">
      <c r="A300">
        <v>31219519</v>
      </c>
      <c r="B300">
        <v>299</v>
      </c>
      <c r="C300" s="26" t="s">
        <v>1351</v>
      </c>
      <c r="D300" t="s">
        <v>2039</v>
      </c>
      <c r="E300">
        <v>3022008363</v>
      </c>
      <c r="F300" t="s">
        <v>2040</v>
      </c>
      <c r="G300" s="20" t="s">
        <v>922</v>
      </c>
      <c r="H300" t="s">
        <v>1834</v>
      </c>
      <c r="I300" s="20" t="s">
        <v>1835</v>
      </c>
      <c r="J300" s="20" t="s">
        <v>71</v>
      </c>
      <c r="K300" s="20" t="s">
        <v>71</v>
      </c>
      <c r="L300" s="20" t="s">
        <v>72</v>
      </c>
      <c r="M300" s="20" t="s">
        <v>72</v>
      </c>
      <c r="N300" s="20" t="s">
        <v>72</v>
      </c>
      <c r="O300" s="20" t="s">
        <v>72</v>
      </c>
      <c r="P300" s="20" t="s">
        <v>72</v>
      </c>
      <c r="Q300" s="20" t="s">
        <v>72</v>
      </c>
      <c r="R300" s="20" t="s">
        <v>72</v>
      </c>
      <c r="S300" s="20" t="s">
        <v>72</v>
      </c>
      <c r="T300" s="20" t="s">
        <v>72</v>
      </c>
      <c r="U300" s="20" t="s">
        <v>71</v>
      </c>
      <c r="V300" s="20" t="s">
        <v>71</v>
      </c>
      <c r="W300" s="20" t="s">
        <v>71</v>
      </c>
      <c r="X300" s="20" t="s">
        <v>71</v>
      </c>
      <c r="Y300" s="20" t="s">
        <v>71</v>
      </c>
      <c r="Z300" s="20" t="s">
        <v>71</v>
      </c>
      <c r="AA300" s="23" t="s">
        <v>256</v>
      </c>
      <c r="AC300" s="25">
        <v>3</v>
      </c>
    </row>
    <row r="301" spans="1:29" ht="15" x14ac:dyDescent="0.2">
      <c r="A301">
        <v>25413263</v>
      </c>
      <c r="B301">
        <v>300</v>
      </c>
      <c r="C301" s="26" t="s">
        <v>1351</v>
      </c>
      <c r="D301" t="s">
        <v>2041</v>
      </c>
      <c r="E301">
        <v>3158735358</v>
      </c>
      <c r="F301" t="s">
        <v>2042</v>
      </c>
      <c r="G301" s="20" t="s">
        <v>922</v>
      </c>
      <c r="H301" t="s">
        <v>1834</v>
      </c>
      <c r="I301" s="20" t="s">
        <v>1835</v>
      </c>
      <c r="J301" s="20" t="s">
        <v>71</v>
      </c>
      <c r="K301" s="20" t="s">
        <v>71</v>
      </c>
      <c r="L301" s="20" t="s">
        <v>72</v>
      </c>
      <c r="M301" s="20" t="s">
        <v>72</v>
      </c>
      <c r="N301" s="20" t="s">
        <v>72</v>
      </c>
      <c r="O301" s="20" t="s">
        <v>72</v>
      </c>
      <c r="P301" s="20" t="s">
        <v>72</v>
      </c>
      <c r="Q301" s="20" t="s">
        <v>72</v>
      </c>
      <c r="R301" s="20" t="s">
        <v>72</v>
      </c>
      <c r="S301" s="20" t="s">
        <v>72</v>
      </c>
      <c r="T301" s="20" t="s">
        <v>72</v>
      </c>
      <c r="U301" s="20" t="s">
        <v>71</v>
      </c>
      <c r="V301" s="20" t="s">
        <v>71</v>
      </c>
      <c r="W301" s="20" t="s">
        <v>71</v>
      </c>
      <c r="X301" s="20" t="s">
        <v>71</v>
      </c>
      <c r="Y301" s="20" t="s">
        <v>71</v>
      </c>
      <c r="Z301" s="20" t="s">
        <v>71</v>
      </c>
      <c r="AA301" s="23" t="s">
        <v>256</v>
      </c>
      <c r="AC301" s="25">
        <v>3</v>
      </c>
    </row>
    <row r="302" spans="1:29" ht="15" x14ac:dyDescent="0.2">
      <c r="A302">
        <v>1144028216</v>
      </c>
      <c r="B302">
        <v>301</v>
      </c>
      <c r="C302" s="26" t="s">
        <v>1351</v>
      </c>
      <c r="D302" t="s">
        <v>2043</v>
      </c>
      <c r="E302">
        <v>3184125253</v>
      </c>
      <c r="F302" t="s">
        <v>2044</v>
      </c>
      <c r="G302" s="20" t="s">
        <v>922</v>
      </c>
      <c r="H302" t="s">
        <v>1834</v>
      </c>
      <c r="I302" s="20" t="s">
        <v>1835</v>
      </c>
      <c r="J302" s="20" t="s">
        <v>71</v>
      </c>
      <c r="K302" s="20" t="s">
        <v>71</v>
      </c>
      <c r="L302" s="20" t="s">
        <v>71</v>
      </c>
      <c r="M302" s="20" t="s">
        <v>71</v>
      </c>
      <c r="N302" s="20" t="s">
        <v>71</v>
      </c>
      <c r="O302" s="20" t="s">
        <v>71</v>
      </c>
      <c r="P302" s="20" t="s">
        <v>71</v>
      </c>
      <c r="Q302" s="20" t="s">
        <v>71</v>
      </c>
      <c r="R302" s="20" t="s">
        <v>71</v>
      </c>
      <c r="S302" s="20" t="s">
        <v>71</v>
      </c>
      <c r="T302" s="20" t="s">
        <v>71</v>
      </c>
      <c r="U302" s="20" t="s">
        <v>72</v>
      </c>
      <c r="V302" s="20" t="s">
        <v>72</v>
      </c>
      <c r="W302" s="20" t="s">
        <v>72</v>
      </c>
      <c r="X302" s="20" t="s">
        <v>72</v>
      </c>
      <c r="Y302" s="20" t="s">
        <v>72</v>
      </c>
      <c r="Z302" s="20" t="s">
        <v>72</v>
      </c>
      <c r="AA302" s="23" t="s">
        <v>179</v>
      </c>
      <c r="AC302" s="25">
        <v>3</v>
      </c>
    </row>
    <row r="303" spans="1:29" ht="15" x14ac:dyDescent="0.2">
      <c r="A303">
        <v>1143853398</v>
      </c>
      <c r="B303">
        <v>302</v>
      </c>
      <c r="C303" s="26" t="s">
        <v>1351</v>
      </c>
      <c r="D303" t="s">
        <v>2045</v>
      </c>
      <c r="E303">
        <v>3154873146</v>
      </c>
      <c r="F303" t="s">
        <v>2046</v>
      </c>
      <c r="G303" s="20" t="s">
        <v>922</v>
      </c>
      <c r="H303" t="s">
        <v>1834</v>
      </c>
      <c r="I303" s="20" t="s">
        <v>1835</v>
      </c>
      <c r="J303" s="20" t="s">
        <v>71</v>
      </c>
      <c r="K303" s="20" t="s">
        <v>71</v>
      </c>
      <c r="L303" s="20" t="s">
        <v>72</v>
      </c>
      <c r="M303" s="20" t="s">
        <v>71</v>
      </c>
      <c r="N303" s="20" t="s">
        <v>72</v>
      </c>
      <c r="O303" s="20" t="s">
        <v>72</v>
      </c>
      <c r="P303" s="20" t="s">
        <v>72</v>
      </c>
      <c r="Q303" s="20" t="s">
        <v>72</v>
      </c>
      <c r="R303" s="20" t="s">
        <v>72</v>
      </c>
      <c r="S303" s="20" t="s">
        <v>72</v>
      </c>
      <c r="T303" s="20" t="s">
        <v>72</v>
      </c>
      <c r="U303" s="20" t="s">
        <v>71</v>
      </c>
      <c r="V303" s="20" t="s">
        <v>71</v>
      </c>
      <c r="W303" s="20" t="s">
        <v>71</v>
      </c>
      <c r="X303" s="20" t="s">
        <v>71</v>
      </c>
      <c r="Y303" s="20" t="s">
        <v>71</v>
      </c>
      <c r="Z303" s="20" t="s">
        <v>71</v>
      </c>
      <c r="AA303" s="23" t="s">
        <v>256</v>
      </c>
      <c r="AC303" s="25">
        <v>3</v>
      </c>
    </row>
    <row r="304" spans="1:29" ht="15" x14ac:dyDescent="0.2">
      <c r="A304">
        <v>1143846465</v>
      </c>
      <c r="B304">
        <v>303</v>
      </c>
      <c r="C304" s="26" t="s">
        <v>1351</v>
      </c>
      <c r="D304" t="s">
        <v>2047</v>
      </c>
      <c r="E304">
        <v>3156013244</v>
      </c>
      <c r="F304" t="s">
        <v>2048</v>
      </c>
      <c r="G304" s="20" t="s">
        <v>922</v>
      </c>
      <c r="H304" t="s">
        <v>1834</v>
      </c>
      <c r="I304" s="20" t="s">
        <v>1835</v>
      </c>
      <c r="J304" s="20" t="s">
        <v>76</v>
      </c>
      <c r="K304" s="20" t="s">
        <v>76</v>
      </c>
      <c r="L304" s="20" t="s">
        <v>72</v>
      </c>
      <c r="M304" s="20" t="s">
        <v>71</v>
      </c>
      <c r="N304" s="20" t="s">
        <v>72</v>
      </c>
      <c r="O304" s="20" t="s">
        <v>72</v>
      </c>
      <c r="P304" s="20" t="s">
        <v>72</v>
      </c>
      <c r="Q304" s="20" t="s">
        <v>72</v>
      </c>
      <c r="R304" s="20" t="s">
        <v>72</v>
      </c>
      <c r="S304" s="20" t="s">
        <v>72</v>
      </c>
      <c r="T304" s="20" t="s">
        <v>72</v>
      </c>
      <c r="U304" s="20" t="s">
        <v>71</v>
      </c>
      <c r="V304" s="20" t="s">
        <v>71</v>
      </c>
      <c r="W304" s="20" t="s">
        <v>71</v>
      </c>
      <c r="X304" s="20" t="s">
        <v>71</v>
      </c>
      <c r="Y304" s="20" t="s">
        <v>71</v>
      </c>
      <c r="Z304" s="20" t="s">
        <v>71</v>
      </c>
      <c r="AA304" s="23" t="s">
        <v>85</v>
      </c>
      <c r="AC304" s="25">
        <v>2</v>
      </c>
    </row>
    <row r="305" spans="1:29" ht="15" x14ac:dyDescent="0.2">
      <c r="A305">
        <v>37236302</v>
      </c>
      <c r="B305">
        <v>304</v>
      </c>
      <c r="C305" s="26" t="s">
        <v>1351</v>
      </c>
      <c r="D305" t="s">
        <v>2049</v>
      </c>
      <c r="E305">
        <v>3184942659</v>
      </c>
      <c r="F305" t="s">
        <v>2050</v>
      </c>
      <c r="G305" s="20" t="s">
        <v>922</v>
      </c>
      <c r="H305" t="s">
        <v>1834</v>
      </c>
      <c r="I305" s="20" t="s">
        <v>1835</v>
      </c>
      <c r="J305" s="20" t="s">
        <v>76</v>
      </c>
      <c r="K305" s="20" t="s">
        <v>76</v>
      </c>
      <c r="L305" s="20" t="s">
        <v>72</v>
      </c>
      <c r="M305" s="20" t="s">
        <v>71</v>
      </c>
      <c r="N305" s="20" t="s">
        <v>72</v>
      </c>
      <c r="O305" s="20" t="s">
        <v>72</v>
      </c>
      <c r="P305" s="20" t="s">
        <v>72</v>
      </c>
      <c r="Q305" s="20" t="s">
        <v>72</v>
      </c>
      <c r="R305" s="20" t="s">
        <v>72</v>
      </c>
      <c r="S305" s="20" t="s">
        <v>72</v>
      </c>
      <c r="T305" s="20" t="s">
        <v>72</v>
      </c>
      <c r="U305" s="20" t="s">
        <v>72</v>
      </c>
      <c r="V305" s="20" t="s">
        <v>72</v>
      </c>
      <c r="W305" s="20" t="s">
        <v>72</v>
      </c>
      <c r="X305" s="20" t="s">
        <v>72</v>
      </c>
      <c r="Y305" s="20" t="s">
        <v>72</v>
      </c>
      <c r="Z305" s="20" t="s">
        <v>72</v>
      </c>
      <c r="AA305" s="23" t="s">
        <v>91</v>
      </c>
      <c r="AC305" s="25">
        <v>1</v>
      </c>
    </row>
    <row r="306" spans="1:29" ht="15" x14ac:dyDescent="0.2">
      <c r="A306">
        <v>31272555</v>
      </c>
      <c r="B306">
        <v>305</v>
      </c>
      <c r="C306" s="26" t="s">
        <v>1351</v>
      </c>
      <c r="D306" t="s">
        <v>2051</v>
      </c>
      <c r="E306">
        <v>3122042920</v>
      </c>
      <c r="F306" t="s">
        <v>2052</v>
      </c>
      <c r="G306" s="20" t="s">
        <v>922</v>
      </c>
      <c r="H306" t="s">
        <v>1834</v>
      </c>
      <c r="I306" s="20" t="s">
        <v>1835</v>
      </c>
      <c r="J306" s="20" t="s">
        <v>76</v>
      </c>
      <c r="K306" s="20" t="s">
        <v>76</v>
      </c>
      <c r="L306" s="20" t="s">
        <v>72</v>
      </c>
      <c r="M306" s="20" t="s">
        <v>71</v>
      </c>
      <c r="N306" s="20" t="s">
        <v>72</v>
      </c>
      <c r="O306" s="20" t="s">
        <v>72</v>
      </c>
      <c r="P306" s="20" t="s">
        <v>72</v>
      </c>
      <c r="Q306" s="20" t="s">
        <v>72</v>
      </c>
      <c r="R306" s="20" t="s">
        <v>72</v>
      </c>
      <c r="S306" s="20" t="s">
        <v>72</v>
      </c>
      <c r="T306" s="20" t="s">
        <v>72</v>
      </c>
      <c r="U306" s="20" t="s">
        <v>72</v>
      </c>
      <c r="V306" s="20" t="s">
        <v>72</v>
      </c>
      <c r="W306" s="20" t="s">
        <v>72</v>
      </c>
      <c r="X306" s="20" t="s">
        <v>72</v>
      </c>
      <c r="Y306" s="20" t="s">
        <v>72</v>
      </c>
      <c r="Z306" s="20" t="s">
        <v>72</v>
      </c>
      <c r="AA306" s="23" t="s">
        <v>91</v>
      </c>
      <c r="AC306" s="25">
        <v>1</v>
      </c>
    </row>
    <row r="307" spans="1:29" s="21" customFormat="1" ht="15" x14ac:dyDescent="0.2">
      <c r="A307" s="33">
        <v>1143842194</v>
      </c>
      <c r="B307" s="33">
        <v>306</v>
      </c>
      <c r="C307" s="26" t="s">
        <v>1351</v>
      </c>
      <c r="D307" s="33" t="s">
        <v>2053</v>
      </c>
      <c r="E307" s="33">
        <v>3158348628</v>
      </c>
      <c r="F307" s="33" t="s">
        <v>2054</v>
      </c>
      <c r="G307" s="21" t="s">
        <v>922</v>
      </c>
      <c r="H307" s="33" t="s">
        <v>1834</v>
      </c>
      <c r="I307" s="21" t="s">
        <v>1835</v>
      </c>
      <c r="AA307" s="34" t="s">
        <v>1464</v>
      </c>
      <c r="AB307" s="29" t="s">
        <v>1464</v>
      </c>
      <c r="AC307" s="31" t="s">
        <v>1464</v>
      </c>
    </row>
    <row r="308" spans="1:29" ht="15" x14ac:dyDescent="0.2">
      <c r="A308">
        <v>1143843397</v>
      </c>
      <c r="B308">
        <v>307</v>
      </c>
      <c r="C308" s="26" t="s">
        <v>1351</v>
      </c>
      <c r="D308" t="s">
        <v>2055</v>
      </c>
      <c r="E308">
        <v>3207648618</v>
      </c>
      <c r="F308" t="s">
        <v>2056</v>
      </c>
      <c r="G308" s="20" t="s">
        <v>922</v>
      </c>
      <c r="H308" t="s">
        <v>1834</v>
      </c>
      <c r="I308" s="20" t="s">
        <v>1835</v>
      </c>
      <c r="J308" s="20" t="s">
        <v>76</v>
      </c>
      <c r="K308" s="20" t="s">
        <v>76</v>
      </c>
      <c r="L308" s="20" t="s">
        <v>72</v>
      </c>
      <c r="M308" s="20" t="s">
        <v>71</v>
      </c>
      <c r="N308" s="20" t="s">
        <v>72</v>
      </c>
      <c r="O308" s="20" t="s">
        <v>72</v>
      </c>
      <c r="P308" s="20" t="s">
        <v>72</v>
      </c>
      <c r="Q308" s="20" t="s">
        <v>72</v>
      </c>
      <c r="R308" s="20" t="s">
        <v>72</v>
      </c>
      <c r="S308" s="20" t="s">
        <v>72</v>
      </c>
      <c r="T308" s="20" t="s">
        <v>72</v>
      </c>
      <c r="U308" s="20" t="s">
        <v>72</v>
      </c>
      <c r="V308" s="20" t="s">
        <v>72</v>
      </c>
      <c r="W308" s="20" t="s">
        <v>72</v>
      </c>
      <c r="X308" s="20" t="s">
        <v>71</v>
      </c>
      <c r="Y308" s="20" t="s">
        <v>72</v>
      </c>
      <c r="Z308" s="20" t="s">
        <v>71</v>
      </c>
      <c r="AA308" s="23" t="s">
        <v>91</v>
      </c>
      <c r="AC308" s="25">
        <v>2</v>
      </c>
    </row>
    <row r="309" spans="1:29" ht="15" x14ac:dyDescent="0.2">
      <c r="A309">
        <v>16820143</v>
      </c>
      <c r="B309">
        <v>308</v>
      </c>
      <c r="C309" s="26" t="s">
        <v>1351</v>
      </c>
      <c r="D309" t="s">
        <v>2057</v>
      </c>
      <c r="E309">
        <v>3008380075</v>
      </c>
      <c r="F309" t="s">
        <v>2058</v>
      </c>
      <c r="G309" s="20" t="s">
        <v>922</v>
      </c>
      <c r="H309" t="s">
        <v>1834</v>
      </c>
      <c r="I309" s="20" t="s">
        <v>1835</v>
      </c>
      <c r="J309" s="20" t="s">
        <v>76</v>
      </c>
      <c r="K309" s="20" t="s">
        <v>76</v>
      </c>
      <c r="L309" s="20" t="s">
        <v>72</v>
      </c>
      <c r="M309" s="20" t="s">
        <v>71</v>
      </c>
      <c r="N309" s="20" t="s">
        <v>72</v>
      </c>
      <c r="O309" s="20" t="s">
        <v>72</v>
      </c>
      <c r="P309" s="20" t="s">
        <v>72</v>
      </c>
      <c r="Q309" s="20" t="s">
        <v>72</v>
      </c>
      <c r="R309" s="20" t="s">
        <v>72</v>
      </c>
      <c r="S309" s="20" t="s">
        <v>72</v>
      </c>
      <c r="T309" s="20" t="s">
        <v>72</v>
      </c>
      <c r="U309" s="20" t="s">
        <v>72</v>
      </c>
      <c r="V309" s="20" t="s">
        <v>72</v>
      </c>
      <c r="W309" s="20" t="s">
        <v>72</v>
      </c>
      <c r="X309" s="20" t="s">
        <v>72</v>
      </c>
      <c r="Y309" s="20" t="s">
        <v>72</v>
      </c>
      <c r="Z309" s="20" t="s">
        <v>72</v>
      </c>
      <c r="AA309" s="23" t="s">
        <v>91</v>
      </c>
      <c r="AC309" s="25">
        <v>1</v>
      </c>
    </row>
    <row r="310" spans="1:29" ht="15" x14ac:dyDescent="0.2">
      <c r="A310">
        <v>16830582</v>
      </c>
      <c r="B310">
        <v>309</v>
      </c>
      <c r="C310" s="26" t="s">
        <v>1351</v>
      </c>
      <c r="D310" t="s">
        <v>2059</v>
      </c>
      <c r="E310">
        <v>3185903731</v>
      </c>
      <c r="F310" t="s">
        <v>2060</v>
      </c>
      <c r="G310" s="20" t="s">
        <v>922</v>
      </c>
      <c r="H310" t="s">
        <v>1834</v>
      </c>
      <c r="I310" s="20" t="s">
        <v>1835</v>
      </c>
      <c r="J310" s="20" t="s">
        <v>71</v>
      </c>
      <c r="K310" s="20" t="s">
        <v>71</v>
      </c>
      <c r="L310" s="20" t="s">
        <v>72</v>
      </c>
      <c r="M310" s="20" t="s">
        <v>72</v>
      </c>
      <c r="N310" s="20" t="s">
        <v>72</v>
      </c>
      <c r="O310" s="20" t="s">
        <v>72</v>
      </c>
      <c r="P310" s="20" t="s">
        <v>72</v>
      </c>
      <c r="Q310" s="20" t="s">
        <v>72</v>
      </c>
      <c r="R310" s="20" t="s">
        <v>72</v>
      </c>
      <c r="S310" s="20" t="s">
        <v>72</v>
      </c>
      <c r="T310" s="20" t="s">
        <v>72</v>
      </c>
      <c r="U310" s="20" t="s">
        <v>72</v>
      </c>
      <c r="V310" s="20" t="s">
        <v>72</v>
      </c>
      <c r="W310" s="20" t="s">
        <v>72</v>
      </c>
      <c r="X310" s="20" t="s">
        <v>71</v>
      </c>
      <c r="Y310" s="20" t="s">
        <v>72</v>
      </c>
      <c r="Z310" s="20" t="s">
        <v>71</v>
      </c>
      <c r="AA310" s="23" t="s">
        <v>80</v>
      </c>
      <c r="AC310" s="25">
        <v>2</v>
      </c>
    </row>
    <row r="311" spans="1:29" ht="15" x14ac:dyDescent="0.2">
      <c r="A311">
        <v>2680456</v>
      </c>
      <c r="B311">
        <v>310</v>
      </c>
      <c r="C311" s="26" t="s">
        <v>1351</v>
      </c>
      <c r="D311" t="s">
        <v>2061</v>
      </c>
      <c r="E311">
        <v>3243405749</v>
      </c>
      <c r="F311" t="s">
        <v>2062</v>
      </c>
      <c r="G311" s="20" t="s">
        <v>922</v>
      </c>
      <c r="H311" t="s">
        <v>1834</v>
      </c>
      <c r="I311" s="20" t="s">
        <v>1835</v>
      </c>
      <c r="J311" s="20" t="s">
        <v>71</v>
      </c>
      <c r="K311" s="20" t="s">
        <v>71</v>
      </c>
      <c r="L311" s="20" t="s">
        <v>72</v>
      </c>
      <c r="M311" s="20" t="s">
        <v>71</v>
      </c>
      <c r="N311" s="20" t="s">
        <v>72</v>
      </c>
      <c r="O311" s="20" t="s">
        <v>72</v>
      </c>
      <c r="P311" s="20" t="s">
        <v>72</v>
      </c>
      <c r="Q311" s="20" t="s">
        <v>72</v>
      </c>
      <c r="R311" s="20" t="s">
        <v>72</v>
      </c>
      <c r="S311" s="20" t="s">
        <v>72</v>
      </c>
      <c r="T311" s="20" t="s">
        <v>72</v>
      </c>
      <c r="U311" s="20" t="s">
        <v>72</v>
      </c>
      <c r="V311" s="20" t="s">
        <v>72</v>
      </c>
      <c r="W311" s="20" t="s">
        <v>72</v>
      </c>
      <c r="X311" s="20" t="s">
        <v>72</v>
      </c>
      <c r="Y311" s="20" t="s">
        <v>72</v>
      </c>
      <c r="Z311" s="20" t="s">
        <v>72</v>
      </c>
      <c r="AA311" s="23" t="s">
        <v>80</v>
      </c>
      <c r="AC311" s="25">
        <v>1</v>
      </c>
    </row>
    <row r="312" spans="1:29" ht="15" x14ac:dyDescent="0.2">
      <c r="A312">
        <v>31853274</v>
      </c>
      <c r="B312">
        <v>311</v>
      </c>
      <c r="C312" s="26" t="s">
        <v>1351</v>
      </c>
      <c r="D312" t="s">
        <v>2063</v>
      </c>
      <c r="E312">
        <v>3144228691</v>
      </c>
      <c r="F312" t="s">
        <v>2064</v>
      </c>
      <c r="G312" s="20" t="s">
        <v>922</v>
      </c>
      <c r="H312" t="s">
        <v>1834</v>
      </c>
      <c r="I312" s="20" t="s">
        <v>1835</v>
      </c>
      <c r="J312" s="20" t="s">
        <v>76</v>
      </c>
      <c r="K312" s="20" t="s">
        <v>76</v>
      </c>
      <c r="L312" s="20" t="s">
        <v>72</v>
      </c>
      <c r="M312" s="20" t="s">
        <v>71</v>
      </c>
      <c r="N312" s="20" t="s">
        <v>72</v>
      </c>
      <c r="O312" s="20" t="s">
        <v>72</v>
      </c>
      <c r="P312" s="20" t="s">
        <v>72</v>
      </c>
      <c r="Q312" s="20" t="s">
        <v>72</v>
      </c>
      <c r="R312" s="20" t="s">
        <v>72</v>
      </c>
      <c r="S312" s="20" t="s">
        <v>72</v>
      </c>
      <c r="T312" s="20" t="s">
        <v>72</v>
      </c>
      <c r="U312" s="20" t="s">
        <v>72</v>
      </c>
      <c r="V312" s="20" t="s">
        <v>72</v>
      </c>
      <c r="W312" s="20" t="s">
        <v>72</v>
      </c>
      <c r="X312" s="20" t="s">
        <v>72</v>
      </c>
      <c r="Y312" s="20" t="s">
        <v>72</v>
      </c>
      <c r="Z312" s="20" t="s">
        <v>72</v>
      </c>
      <c r="AA312" s="23" t="s">
        <v>91</v>
      </c>
      <c r="AC312" s="25">
        <v>2</v>
      </c>
    </row>
    <row r="313" spans="1:29" ht="15" x14ac:dyDescent="0.2">
      <c r="A313">
        <v>94063123</v>
      </c>
      <c r="B313">
        <v>312</v>
      </c>
      <c r="C313" s="26" t="s">
        <v>1351</v>
      </c>
      <c r="D313" t="s">
        <v>2065</v>
      </c>
      <c r="E313">
        <v>3106504356</v>
      </c>
      <c r="F313" t="s">
        <v>2066</v>
      </c>
      <c r="G313" s="20" t="s">
        <v>922</v>
      </c>
      <c r="H313" t="s">
        <v>1834</v>
      </c>
      <c r="I313" s="20" t="s">
        <v>1835</v>
      </c>
      <c r="J313" s="20" t="s">
        <v>71</v>
      </c>
      <c r="K313" s="20" t="s">
        <v>71</v>
      </c>
      <c r="L313" s="20" t="s">
        <v>72</v>
      </c>
      <c r="M313" s="20" t="s">
        <v>71</v>
      </c>
      <c r="N313" s="20" t="s">
        <v>72</v>
      </c>
      <c r="O313" s="20" t="s">
        <v>72</v>
      </c>
      <c r="P313" s="20" t="s">
        <v>72</v>
      </c>
      <c r="Q313" s="20" t="s">
        <v>72</v>
      </c>
      <c r="R313" s="20" t="s">
        <v>72</v>
      </c>
      <c r="S313" s="20" t="s">
        <v>72</v>
      </c>
      <c r="T313" s="20" t="s">
        <v>72</v>
      </c>
      <c r="U313" s="20" t="s">
        <v>72</v>
      </c>
      <c r="V313" s="20" t="s">
        <v>72</v>
      </c>
      <c r="W313" s="20" t="s">
        <v>72</v>
      </c>
      <c r="X313" s="20" t="s">
        <v>71</v>
      </c>
      <c r="Y313" s="20" t="s">
        <v>72</v>
      </c>
      <c r="Z313" s="20" t="s">
        <v>71</v>
      </c>
      <c r="AA313" s="23" t="s">
        <v>80</v>
      </c>
      <c r="AC313" s="25">
        <v>2</v>
      </c>
    </row>
    <row r="314" spans="1:29" ht="15" x14ac:dyDescent="0.2">
      <c r="A314">
        <v>1143958126</v>
      </c>
      <c r="B314">
        <v>313</v>
      </c>
      <c r="C314" s="26" t="s">
        <v>1351</v>
      </c>
      <c r="D314" t="s">
        <v>2067</v>
      </c>
      <c r="E314">
        <v>3054631320</v>
      </c>
      <c r="F314" t="s">
        <v>2068</v>
      </c>
      <c r="G314" s="20" t="s">
        <v>922</v>
      </c>
      <c r="H314" t="s">
        <v>1834</v>
      </c>
      <c r="I314" s="20" t="s">
        <v>1835</v>
      </c>
      <c r="AA314" s="23" t="s">
        <v>1367</v>
      </c>
      <c r="AB314" s="24" t="s">
        <v>2069</v>
      </c>
      <c r="AC314" s="25" t="s">
        <v>1367</v>
      </c>
    </row>
    <row r="315" spans="1:29" ht="15" x14ac:dyDescent="0.2">
      <c r="A315">
        <v>66993102</v>
      </c>
      <c r="B315">
        <v>314</v>
      </c>
      <c r="C315" s="26" t="s">
        <v>1351</v>
      </c>
      <c r="D315" t="s">
        <v>1388</v>
      </c>
      <c r="E315">
        <v>3167812318</v>
      </c>
      <c r="F315" t="s">
        <v>2070</v>
      </c>
      <c r="G315" s="20" t="s">
        <v>922</v>
      </c>
      <c r="H315" t="s">
        <v>1834</v>
      </c>
      <c r="I315" s="20" t="s">
        <v>1835</v>
      </c>
      <c r="J315" s="20" t="s">
        <v>71</v>
      </c>
      <c r="K315" s="20" t="s">
        <v>71</v>
      </c>
      <c r="L315" s="20" t="s">
        <v>72</v>
      </c>
      <c r="M315" s="20" t="s">
        <v>71</v>
      </c>
      <c r="N315" s="20" t="s">
        <v>72</v>
      </c>
      <c r="O315" s="20" t="s">
        <v>72</v>
      </c>
      <c r="P315" s="20" t="s">
        <v>72</v>
      </c>
      <c r="Q315" s="20" t="s">
        <v>72</v>
      </c>
      <c r="R315" s="20" t="s">
        <v>72</v>
      </c>
      <c r="S315" s="20" t="s">
        <v>72</v>
      </c>
      <c r="T315" s="20" t="s">
        <v>72</v>
      </c>
      <c r="U315" s="20" t="s">
        <v>72</v>
      </c>
      <c r="V315" s="20" t="s">
        <v>72</v>
      </c>
      <c r="W315" s="20" t="s">
        <v>72</v>
      </c>
      <c r="X315" s="20" t="s">
        <v>71</v>
      </c>
      <c r="Y315" s="20" t="s">
        <v>76</v>
      </c>
      <c r="Z315" s="20" t="s">
        <v>71</v>
      </c>
      <c r="AA315" s="23" t="s">
        <v>80</v>
      </c>
      <c r="AC315" s="25">
        <v>2</v>
      </c>
    </row>
    <row r="316" spans="1:29" ht="15" x14ac:dyDescent="0.2">
      <c r="A316">
        <v>31855556</v>
      </c>
      <c r="B316">
        <v>315</v>
      </c>
      <c r="C316" s="26" t="s">
        <v>1351</v>
      </c>
      <c r="D316" t="s">
        <v>2071</v>
      </c>
      <c r="E316">
        <v>3154421673</v>
      </c>
      <c r="F316" t="s">
        <v>2072</v>
      </c>
      <c r="G316" s="20" t="s">
        <v>922</v>
      </c>
      <c r="H316" t="s">
        <v>1834</v>
      </c>
      <c r="I316" s="20" t="s">
        <v>1835</v>
      </c>
      <c r="J316" s="20" t="s">
        <v>71</v>
      </c>
      <c r="K316" s="20" t="s">
        <v>71</v>
      </c>
      <c r="L316" s="20" t="s">
        <v>71</v>
      </c>
      <c r="M316" s="20" t="s">
        <v>71</v>
      </c>
      <c r="N316" s="20" t="s">
        <v>71</v>
      </c>
      <c r="O316" s="20" t="s">
        <v>71</v>
      </c>
      <c r="P316" s="20" t="s">
        <v>71</v>
      </c>
      <c r="Q316" s="20" t="s">
        <v>71</v>
      </c>
      <c r="R316" s="20" t="s">
        <v>71</v>
      </c>
      <c r="S316" s="20" t="s">
        <v>71</v>
      </c>
      <c r="T316" s="20" t="s">
        <v>71</v>
      </c>
      <c r="U316" s="20" t="s">
        <v>72</v>
      </c>
      <c r="V316" s="20" t="s">
        <v>72</v>
      </c>
      <c r="W316" s="20" t="s">
        <v>72</v>
      </c>
      <c r="X316" s="20" t="s">
        <v>71</v>
      </c>
      <c r="Y316" s="20" t="s">
        <v>72</v>
      </c>
      <c r="Z316" s="20" t="s">
        <v>71</v>
      </c>
      <c r="AA316" s="23" t="s">
        <v>179</v>
      </c>
      <c r="AC316" s="25">
        <v>3</v>
      </c>
    </row>
    <row r="317" spans="1:29" ht="15" x14ac:dyDescent="0.2">
      <c r="A317">
        <v>40765438</v>
      </c>
      <c r="B317">
        <v>316</v>
      </c>
      <c r="C317" s="26" t="s">
        <v>1351</v>
      </c>
      <c r="D317" t="s">
        <v>2073</v>
      </c>
      <c r="E317">
        <v>3166530945</v>
      </c>
      <c r="F317" t="s">
        <v>2074</v>
      </c>
      <c r="G317" s="20" t="s">
        <v>922</v>
      </c>
      <c r="H317" t="s">
        <v>1834</v>
      </c>
      <c r="I317" s="20" t="s">
        <v>1835</v>
      </c>
      <c r="J317" s="20" t="s">
        <v>76</v>
      </c>
      <c r="K317" s="20" t="s">
        <v>76</v>
      </c>
      <c r="L317" s="20" t="s">
        <v>72</v>
      </c>
      <c r="M317" s="20" t="s">
        <v>71</v>
      </c>
      <c r="N317" s="20" t="s">
        <v>72</v>
      </c>
      <c r="O317" s="20" t="s">
        <v>72</v>
      </c>
      <c r="P317" s="20" t="s">
        <v>72</v>
      </c>
      <c r="Q317" s="20" t="s">
        <v>72</v>
      </c>
      <c r="R317" s="20" t="s">
        <v>72</v>
      </c>
      <c r="S317" s="20" t="s">
        <v>72</v>
      </c>
      <c r="T317" s="20" t="s">
        <v>72</v>
      </c>
      <c r="U317" s="20" t="s">
        <v>72</v>
      </c>
      <c r="V317" s="20" t="s">
        <v>72</v>
      </c>
      <c r="W317" s="20" t="s">
        <v>72</v>
      </c>
      <c r="X317" s="20" t="s">
        <v>71</v>
      </c>
      <c r="Y317" s="20" t="s">
        <v>72</v>
      </c>
      <c r="Z317" s="20" t="s">
        <v>71</v>
      </c>
      <c r="AA317" s="23" t="s">
        <v>91</v>
      </c>
      <c r="AC317" s="25">
        <v>2</v>
      </c>
    </row>
    <row r="318" spans="1:29" ht="15" x14ac:dyDescent="0.2">
      <c r="A318">
        <v>94427227</v>
      </c>
      <c r="B318">
        <v>317</v>
      </c>
      <c r="C318" s="26" t="s">
        <v>1351</v>
      </c>
      <c r="D318" t="s">
        <v>2075</v>
      </c>
      <c r="E318">
        <v>3226358299</v>
      </c>
      <c r="F318" t="s">
        <v>2076</v>
      </c>
      <c r="G318" s="20" t="s">
        <v>922</v>
      </c>
      <c r="H318" t="s">
        <v>1834</v>
      </c>
      <c r="I318" s="20" t="s">
        <v>1835</v>
      </c>
      <c r="J318" s="20" t="s">
        <v>71</v>
      </c>
      <c r="K318" s="20" t="s">
        <v>71</v>
      </c>
      <c r="L318" s="20" t="s">
        <v>72</v>
      </c>
      <c r="M318" s="20" t="s">
        <v>71</v>
      </c>
      <c r="N318" s="20" t="s">
        <v>72</v>
      </c>
      <c r="O318" s="20" t="s">
        <v>72</v>
      </c>
      <c r="P318" s="20" t="s">
        <v>72</v>
      </c>
      <c r="Q318" s="20" t="s">
        <v>72</v>
      </c>
      <c r="R318" s="20" t="s">
        <v>72</v>
      </c>
      <c r="S318" s="20" t="s">
        <v>72</v>
      </c>
      <c r="T318" s="20" t="s">
        <v>72</v>
      </c>
      <c r="U318" s="20" t="s">
        <v>72</v>
      </c>
      <c r="V318" s="20" t="s">
        <v>72</v>
      </c>
      <c r="W318" s="20" t="s">
        <v>72</v>
      </c>
      <c r="X318" s="20" t="s">
        <v>71</v>
      </c>
      <c r="Y318" s="20" t="s">
        <v>76</v>
      </c>
      <c r="Z318" s="20" t="s">
        <v>71</v>
      </c>
      <c r="AA318" s="23" t="s">
        <v>80</v>
      </c>
      <c r="AC318" s="25">
        <v>2</v>
      </c>
    </row>
    <row r="319" spans="1:29" ht="15" x14ac:dyDescent="0.2">
      <c r="A319">
        <v>66979672</v>
      </c>
      <c r="B319">
        <v>318</v>
      </c>
      <c r="C319" s="26" t="s">
        <v>1351</v>
      </c>
      <c r="D319" t="s">
        <v>2077</v>
      </c>
      <c r="E319">
        <v>3155645102</v>
      </c>
      <c r="F319" t="s">
        <v>2078</v>
      </c>
      <c r="G319" s="20" t="s">
        <v>922</v>
      </c>
      <c r="H319" t="s">
        <v>1834</v>
      </c>
      <c r="I319" s="20" t="s">
        <v>1835</v>
      </c>
      <c r="J319" s="20" t="s">
        <v>71</v>
      </c>
      <c r="K319" s="20" t="s">
        <v>71</v>
      </c>
      <c r="L319" s="20" t="s">
        <v>72</v>
      </c>
      <c r="M319" s="20" t="s">
        <v>72</v>
      </c>
      <c r="N319" s="20" t="s">
        <v>72</v>
      </c>
      <c r="O319" s="20" t="s">
        <v>72</v>
      </c>
      <c r="P319" s="20" t="s">
        <v>72</v>
      </c>
      <c r="Q319" s="20" t="s">
        <v>72</v>
      </c>
      <c r="R319" s="20" t="s">
        <v>72</v>
      </c>
      <c r="S319" s="20" t="s">
        <v>72</v>
      </c>
      <c r="T319" s="20" t="s">
        <v>72</v>
      </c>
      <c r="AA319" s="23" t="s">
        <v>256</v>
      </c>
      <c r="AB319" s="24" t="s">
        <v>2079</v>
      </c>
      <c r="AC319" s="25">
        <v>2</v>
      </c>
    </row>
    <row r="320" spans="1:29" ht="15" x14ac:dyDescent="0.2">
      <c r="A320">
        <v>31282655</v>
      </c>
      <c r="B320">
        <v>319</v>
      </c>
      <c r="C320" s="26" t="s">
        <v>1351</v>
      </c>
      <c r="D320" t="s">
        <v>1478</v>
      </c>
      <c r="E320">
        <v>3172969366</v>
      </c>
      <c r="F320" t="s">
        <v>2080</v>
      </c>
      <c r="G320" s="20" t="s">
        <v>922</v>
      </c>
      <c r="H320" t="s">
        <v>1834</v>
      </c>
      <c r="I320" s="20" t="s">
        <v>1835</v>
      </c>
      <c r="J320" s="20" t="s">
        <v>71</v>
      </c>
      <c r="K320" s="20" t="s">
        <v>71</v>
      </c>
      <c r="L320" s="20" t="s">
        <v>72</v>
      </c>
      <c r="M320" s="20" t="s">
        <v>71</v>
      </c>
      <c r="N320" s="20" t="s">
        <v>72</v>
      </c>
      <c r="O320" s="20" t="s">
        <v>72</v>
      </c>
      <c r="P320" s="20" t="s">
        <v>72</v>
      </c>
      <c r="Q320" s="20" t="s">
        <v>72</v>
      </c>
      <c r="R320" s="20" t="s">
        <v>72</v>
      </c>
      <c r="S320" s="20" t="s">
        <v>72</v>
      </c>
      <c r="T320" s="20" t="s">
        <v>72</v>
      </c>
      <c r="U320" s="20" t="s">
        <v>72</v>
      </c>
      <c r="V320" s="20" t="s">
        <v>72</v>
      </c>
      <c r="W320" s="20" t="s">
        <v>72</v>
      </c>
      <c r="X320" s="20" t="s">
        <v>71</v>
      </c>
      <c r="Y320" s="20" t="s">
        <v>76</v>
      </c>
      <c r="Z320" s="20" t="s">
        <v>72</v>
      </c>
      <c r="AA320" s="23" t="s">
        <v>80</v>
      </c>
      <c r="AC320" s="25">
        <v>2</v>
      </c>
    </row>
    <row r="321" spans="1:29" ht="15" x14ac:dyDescent="0.2">
      <c r="A321">
        <v>94528503</v>
      </c>
      <c r="B321">
        <v>320</v>
      </c>
      <c r="C321" s="26" t="s">
        <v>1351</v>
      </c>
      <c r="D321" t="s">
        <v>2081</v>
      </c>
      <c r="E321">
        <v>3174217282</v>
      </c>
      <c r="F321" t="s">
        <v>2082</v>
      </c>
      <c r="G321" s="20" t="s">
        <v>922</v>
      </c>
      <c r="H321" t="s">
        <v>1834</v>
      </c>
      <c r="I321" s="20" t="s">
        <v>1835</v>
      </c>
      <c r="J321" s="20" t="s">
        <v>76</v>
      </c>
      <c r="K321" s="20" t="s">
        <v>76</v>
      </c>
      <c r="L321" s="20" t="s">
        <v>72</v>
      </c>
      <c r="M321" s="20" t="s">
        <v>71</v>
      </c>
      <c r="N321" s="20" t="s">
        <v>72</v>
      </c>
      <c r="O321" s="20" t="s">
        <v>72</v>
      </c>
      <c r="P321" s="20" t="s">
        <v>72</v>
      </c>
      <c r="Q321" s="20" t="s">
        <v>72</v>
      </c>
      <c r="R321" s="20" t="s">
        <v>72</v>
      </c>
      <c r="S321" s="20" t="s">
        <v>72</v>
      </c>
      <c r="T321" s="20" t="s">
        <v>72</v>
      </c>
      <c r="U321" s="20" t="s">
        <v>71</v>
      </c>
      <c r="V321" s="20" t="s">
        <v>71</v>
      </c>
      <c r="W321" s="20" t="s">
        <v>71</v>
      </c>
      <c r="X321" s="20" t="s">
        <v>71</v>
      </c>
      <c r="Y321" s="20" t="s">
        <v>71</v>
      </c>
      <c r="Z321" s="20" t="s">
        <v>71</v>
      </c>
      <c r="AA321" s="23" t="s">
        <v>85</v>
      </c>
      <c r="AC321" s="25">
        <v>2</v>
      </c>
    </row>
    <row r="322" spans="1:29" ht="15" x14ac:dyDescent="0.2">
      <c r="A322">
        <v>31244762</v>
      </c>
      <c r="B322">
        <v>321</v>
      </c>
      <c r="C322" s="26" t="s">
        <v>1351</v>
      </c>
      <c r="D322" t="s">
        <v>2083</v>
      </c>
      <c r="E322">
        <v>3186162862</v>
      </c>
      <c r="F322" t="s">
        <v>2084</v>
      </c>
      <c r="G322" s="20" t="s">
        <v>922</v>
      </c>
      <c r="H322" t="s">
        <v>1834</v>
      </c>
      <c r="I322" s="20" t="s">
        <v>1835</v>
      </c>
      <c r="J322" s="20" t="s">
        <v>71</v>
      </c>
      <c r="K322" s="20" t="s">
        <v>71</v>
      </c>
      <c r="L322" s="20" t="s">
        <v>72</v>
      </c>
      <c r="M322" s="20" t="s">
        <v>71</v>
      </c>
      <c r="N322" s="20" t="s">
        <v>72</v>
      </c>
      <c r="O322" s="20" t="s">
        <v>72</v>
      </c>
      <c r="P322" s="20" t="s">
        <v>72</v>
      </c>
      <c r="Q322" s="20" t="s">
        <v>72</v>
      </c>
      <c r="R322" s="20" t="s">
        <v>72</v>
      </c>
      <c r="S322" s="20" t="s">
        <v>72</v>
      </c>
      <c r="T322" s="20" t="s">
        <v>72</v>
      </c>
      <c r="U322" s="20" t="s">
        <v>71</v>
      </c>
      <c r="V322" s="20" t="s">
        <v>71</v>
      </c>
      <c r="W322" s="20" t="s">
        <v>71</v>
      </c>
      <c r="X322" s="20" t="s">
        <v>71</v>
      </c>
      <c r="Y322" s="20" t="s">
        <v>71</v>
      </c>
      <c r="Z322" s="20" t="s">
        <v>71</v>
      </c>
      <c r="AA322" s="23" t="s">
        <v>256</v>
      </c>
      <c r="AC322" s="25">
        <v>3</v>
      </c>
    </row>
    <row r="323" spans="1:29" ht="15" x14ac:dyDescent="0.2">
      <c r="A323">
        <v>38567213</v>
      </c>
      <c r="B323">
        <v>322</v>
      </c>
      <c r="C323" s="26" t="s">
        <v>1351</v>
      </c>
      <c r="D323" t="s">
        <v>2085</v>
      </c>
      <c r="E323">
        <v>3168088406</v>
      </c>
      <c r="F323" t="s">
        <v>2086</v>
      </c>
      <c r="G323" s="20" t="s">
        <v>922</v>
      </c>
      <c r="H323" t="s">
        <v>1834</v>
      </c>
      <c r="I323" s="20" t="s">
        <v>1835</v>
      </c>
      <c r="J323" s="20" t="s">
        <v>71</v>
      </c>
      <c r="K323" s="20" t="s">
        <v>71</v>
      </c>
      <c r="L323" s="20" t="s">
        <v>72</v>
      </c>
      <c r="M323" s="20" t="s">
        <v>71</v>
      </c>
      <c r="N323" s="20" t="s">
        <v>72</v>
      </c>
      <c r="O323" s="20" t="s">
        <v>72</v>
      </c>
      <c r="P323" s="20" t="s">
        <v>72</v>
      </c>
      <c r="Q323" s="20" t="s">
        <v>72</v>
      </c>
      <c r="R323" s="20" t="s">
        <v>72</v>
      </c>
      <c r="S323" s="20" t="s">
        <v>72</v>
      </c>
      <c r="T323" s="20" t="s">
        <v>72</v>
      </c>
      <c r="U323" s="20" t="s">
        <v>72</v>
      </c>
      <c r="V323" s="20" t="s">
        <v>72</v>
      </c>
      <c r="W323" s="20" t="s">
        <v>72</v>
      </c>
      <c r="X323" s="20" t="s">
        <v>72</v>
      </c>
      <c r="Y323" s="20" t="s">
        <v>72</v>
      </c>
      <c r="Z323" s="20" t="s">
        <v>72</v>
      </c>
      <c r="AA323" s="23" t="s">
        <v>80</v>
      </c>
      <c r="AC323" s="25">
        <v>1</v>
      </c>
    </row>
    <row r="324" spans="1:29" ht="15" x14ac:dyDescent="0.2">
      <c r="A324">
        <v>16751591</v>
      </c>
      <c r="B324">
        <v>323</v>
      </c>
      <c r="C324" s="26" t="s">
        <v>1351</v>
      </c>
      <c r="D324" t="s">
        <v>2087</v>
      </c>
      <c r="E324">
        <v>3172635687</v>
      </c>
      <c r="F324" t="s">
        <v>2088</v>
      </c>
      <c r="G324" s="20" t="s">
        <v>922</v>
      </c>
      <c r="H324" t="s">
        <v>1834</v>
      </c>
      <c r="I324" s="20" t="s">
        <v>1835</v>
      </c>
      <c r="J324" s="20" t="s">
        <v>76</v>
      </c>
      <c r="K324" s="20" t="s">
        <v>76</v>
      </c>
      <c r="L324" s="20" t="s">
        <v>72</v>
      </c>
      <c r="M324" s="20" t="s">
        <v>71</v>
      </c>
      <c r="N324" s="20" t="s">
        <v>72</v>
      </c>
      <c r="O324" s="20" t="s">
        <v>72</v>
      </c>
      <c r="P324" s="20" t="s">
        <v>72</v>
      </c>
      <c r="Q324" s="20" t="s">
        <v>72</v>
      </c>
      <c r="R324" s="20" t="s">
        <v>72</v>
      </c>
      <c r="S324" s="20" t="s">
        <v>72</v>
      </c>
      <c r="T324" s="20" t="s">
        <v>72</v>
      </c>
      <c r="U324" s="20" t="s">
        <v>72</v>
      </c>
      <c r="V324" s="20" t="s">
        <v>72</v>
      </c>
      <c r="W324" s="20" t="s">
        <v>72</v>
      </c>
      <c r="X324" s="20" t="s">
        <v>72</v>
      </c>
      <c r="Y324" s="20" t="s">
        <v>72</v>
      </c>
      <c r="Z324" s="20" t="s">
        <v>72</v>
      </c>
      <c r="AA324" s="23" t="s">
        <v>91</v>
      </c>
      <c r="AC324" s="25">
        <v>1</v>
      </c>
    </row>
    <row r="325" spans="1:29" ht="15" x14ac:dyDescent="0.2">
      <c r="A325">
        <v>38551583</v>
      </c>
      <c r="B325">
        <v>324</v>
      </c>
      <c r="C325" s="26" t="s">
        <v>1351</v>
      </c>
      <c r="D325" t="s">
        <v>2089</v>
      </c>
      <c r="E325">
        <v>3178156934</v>
      </c>
      <c r="F325" t="s">
        <v>2090</v>
      </c>
      <c r="G325" s="20" t="s">
        <v>922</v>
      </c>
      <c r="H325" t="s">
        <v>1834</v>
      </c>
      <c r="I325" s="20" t="s">
        <v>1835</v>
      </c>
      <c r="J325" s="20" t="s">
        <v>71</v>
      </c>
      <c r="K325" s="20" t="s">
        <v>71</v>
      </c>
      <c r="L325" s="20" t="s">
        <v>72</v>
      </c>
      <c r="M325" s="20" t="s">
        <v>72</v>
      </c>
      <c r="N325" s="20" t="s">
        <v>72</v>
      </c>
      <c r="O325" s="20" t="s">
        <v>72</v>
      </c>
      <c r="P325" s="20" t="s">
        <v>72</v>
      </c>
      <c r="Q325" s="20" t="s">
        <v>72</v>
      </c>
      <c r="R325" s="20" t="s">
        <v>72</v>
      </c>
      <c r="S325" s="20" t="s">
        <v>72</v>
      </c>
      <c r="T325" s="20" t="s">
        <v>72</v>
      </c>
      <c r="U325" s="20" t="s">
        <v>72</v>
      </c>
      <c r="V325" s="20" t="s">
        <v>72</v>
      </c>
      <c r="W325" s="20" t="s">
        <v>72</v>
      </c>
      <c r="X325" s="20" t="s">
        <v>72</v>
      </c>
      <c r="Y325" s="20" t="s">
        <v>72</v>
      </c>
      <c r="Z325" s="20" t="s">
        <v>72</v>
      </c>
      <c r="AA325" s="23" t="s">
        <v>80</v>
      </c>
      <c r="AC325" s="25">
        <v>1</v>
      </c>
    </row>
    <row r="326" spans="1:29" ht="15" x14ac:dyDescent="0.2">
      <c r="A326">
        <v>48571448</v>
      </c>
      <c r="B326">
        <v>325</v>
      </c>
      <c r="C326" s="26" t="s">
        <v>1351</v>
      </c>
      <c r="D326" t="s">
        <v>2091</v>
      </c>
      <c r="E326">
        <v>3235798397</v>
      </c>
      <c r="F326" t="s">
        <v>2092</v>
      </c>
      <c r="G326" s="20" t="s">
        <v>922</v>
      </c>
      <c r="H326" t="s">
        <v>1834</v>
      </c>
      <c r="I326" s="20" t="s">
        <v>1835</v>
      </c>
      <c r="J326" s="20" t="s">
        <v>71</v>
      </c>
      <c r="K326" s="20" t="s">
        <v>71</v>
      </c>
      <c r="L326" s="20" t="s">
        <v>72</v>
      </c>
      <c r="M326" s="20" t="s">
        <v>71</v>
      </c>
      <c r="N326" s="20" t="s">
        <v>72</v>
      </c>
      <c r="O326" s="20" t="s">
        <v>72</v>
      </c>
      <c r="P326" s="20" t="s">
        <v>72</v>
      </c>
      <c r="Q326" s="20" t="s">
        <v>72</v>
      </c>
      <c r="R326" s="20" t="s">
        <v>72</v>
      </c>
      <c r="S326" s="20" t="s">
        <v>72</v>
      </c>
      <c r="T326" s="20" t="s">
        <v>72</v>
      </c>
      <c r="U326" s="20" t="s">
        <v>72</v>
      </c>
      <c r="V326" s="20" t="s">
        <v>72</v>
      </c>
      <c r="W326" s="20" t="s">
        <v>72</v>
      </c>
      <c r="X326" s="20" t="s">
        <v>72</v>
      </c>
      <c r="Y326" s="20" t="s">
        <v>72</v>
      </c>
      <c r="Z326" s="20" t="s">
        <v>72</v>
      </c>
      <c r="AA326" s="23" t="s">
        <v>80</v>
      </c>
      <c r="AC326" s="25">
        <v>1</v>
      </c>
    </row>
    <row r="327" spans="1:29" ht="15" x14ac:dyDescent="0.2">
      <c r="A327">
        <v>1107511494</v>
      </c>
      <c r="B327">
        <v>326</v>
      </c>
      <c r="C327" s="26" t="s">
        <v>1351</v>
      </c>
      <c r="D327" t="s">
        <v>2093</v>
      </c>
      <c r="E327">
        <v>3164158092</v>
      </c>
      <c r="F327" t="s">
        <v>2094</v>
      </c>
      <c r="G327" s="20" t="s">
        <v>922</v>
      </c>
      <c r="H327" t="s">
        <v>1834</v>
      </c>
      <c r="I327" s="20" t="s">
        <v>1835</v>
      </c>
      <c r="J327" s="20" t="s">
        <v>71</v>
      </c>
      <c r="K327" s="20" t="s">
        <v>71</v>
      </c>
      <c r="L327" s="20" t="s">
        <v>72</v>
      </c>
      <c r="M327" s="20" t="s">
        <v>71</v>
      </c>
      <c r="N327" s="20" t="s">
        <v>72</v>
      </c>
      <c r="O327" s="20" t="s">
        <v>72</v>
      </c>
      <c r="P327" s="20" t="s">
        <v>72</v>
      </c>
      <c r="Q327" s="20" t="s">
        <v>72</v>
      </c>
      <c r="R327" s="20" t="s">
        <v>72</v>
      </c>
      <c r="S327" s="20" t="s">
        <v>72</v>
      </c>
      <c r="T327" s="20" t="s">
        <v>72</v>
      </c>
      <c r="U327" s="20" t="s">
        <v>72</v>
      </c>
      <c r="V327" s="20" t="s">
        <v>72</v>
      </c>
      <c r="W327" s="20" t="s">
        <v>72</v>
      </c>
      <c r="X327" s="20" t="s">
        <v>71</v>
      </c>
      <c r="Y327" s="20" t="s">
        <v>72</v>
      </c>
      <c r="Z327" s="20" t="s">
        <v>71</v>
      </c>
      <c r="AA327" s="23" t="s">
        <v>80</v>
      </c>
      <c r="AC327" s="25">
        <v>2</v>
      </c>
    </row>
    <row r="328" spans="1:29" ht="15" x14ac:dyDescent="0.2">
      <c r="A328">
        <v>1112473004</v>
      </c>
      <c r="B328">
        <v>327</v>
      </c>
      <c r="C328" s="26" t="s">
        <v>1351</v>
      </c>
      <c r="D328" t="s">
        <v>2095</v>
      </c>
      <c r="E328">
        <v>3024577220</v>
      </c>
      <c r="F328" t="s">
        <v>2096</v>
      </c>
      <c r="G328" s="20" t="s">
        <v>922</v>
      </c>
      <c r="H328" t="s">
        <v>1834</v>
      </c>
      <c r="I328" s="20" t="s">
        <v>1835</v>
      </c>
      <c r="J328" s="20" t="s">
        <v>71</v>
      </c>
      <c r="K328" s="20" t="s">
        <v>71</v>
      </c>
      <c r="L328" s="20" t="s">
        <v>72</v>
      </c>
      <c r="M328" s="20" t="s">
        <v>72</v>
      </c>
      <c r="N328" s="20" t="s">
        <v>72</v>
      </c>
      <c r="O328" s="20" t="s">
        <v>72</v>
      </c>
      <c r="P328" s="20" t="s">
        <v>72</v>
      </c>
      <c r="Q328" s="20" t="s">
        <v>72</v>
      </c>
      <c r="R328" s="20" t="s">
        <v>72</v>
      </c>
      <c r="S328" s="20" t="s">
        <v>72</v>
      </c>
      <c r="T328" s="20" t="s">
        <v>72</v>
      </c>
      <c r="U328" s="20" t="s">
        <v>72</v>
      </c>
      <c r="V328" s="20" t="s">
        <v>72</v>
      </c>
      <c r="W328" s="20" t="s">
        <v>72</v>
      </c>
      <c r="X328" s="20" t="s">
        <v>72</v>
      </c>
      <c r="Y328" s="20" t="s">
        <v>72</v>
      </c>
      <c r="Z328" s="20" t="s">
        <v>72</v>
      </c>
      <c r="AA328" s="23" t="s">
        <v>80</v>
      </c>
      <c r="AC328" s="25">
        <v>1</v>
      </c>
    </row>
    <row r="329" spans="1:29" ht="15" x14ac:dyDescent="0.2">
      <c r="A329">
        <v>31574328</v>
      </c>
      <c r="B329">
        <v>328</v>
      </c>
      <c r="C329" s="26" t="s">
        <v>1351</v>
      </c>
      <c r="D329" t="s">
        <v>2097</v>
      </c>
      <c r="E329">
        <v>3153816782</v>
      </c>
      <c r="F329" t="s">
        <v>2098</v>
      </c>
      <c r="G329" s="20" t="s">
        <v>922</v>
      </c>
      <c r="H329" t="s">
        <v>1834</v>
      </c>
      <c r="I329" s="20" t="s">
        <v>1835</v>
      </c>
      <c r="J329" s="20" t="s">
        <v>71</v>
      </c>
      <c r="K329" s="20" t="s">
        <v>71</v>
      </c>
      <c r="L329" s="20" t="s">
        <v>76</v>
      </c>
      <c r="M329" s="20" t="s">
        <v>72</v>
      </c>
      <c r="N329" s="20" t="s">
        <v>72</v>
      </c>
      <c r="O329" s="20" t="s">
        <v>72</v>
      </c>
      <c r="P329" s="20" t="s">
        <v>72</v>
      </c>
      <c r="Q329" s="20" t="s">
        <v>72</v>
      </c>
      <c r="R329" s="20" t="s">
        <v>72</v>
      </c>
      <c r="S329" s="20" t="s">
        <v>72</v>
      </c>
      <c r="T329" s="20" t="s">
        <v>72</v>
      </c>
      <c r="U329" s="20" t="s">
        <v>72</v>
      </c>
      <c r="V329" s="20" t="s">
        <v>72</v>
      </c>
      <c r="W329" s="20" t="s">
        <v>72</v>
      </c>
      <c r="X329" s="20" t="s">
        <v>72</v>
      </c>
      <c r="Y329" s="20" t="s">
        <v>72</v>
      </c>
      <c r="Z329" s="20" t="s">
        <v>72</v>
      </c>
      <c r="AA329" s="23" t="s">
        <v>80</v>
      </c>
      <c r="AC329" s="25">
        <v>1</v>
      </c>
    </row>
    <row r="330" spans="1:29" ht="15" x14ac:dyDescent="0.2">
      <c r="A330">
        <v>16669439</v>
      </c>
      <c r="B330">
        <v>329</v>
      </c>
      <c r="C330" s="26" t="s">
        <v>1351</v>
      </c>
      <c r="D330" t="s">
        <v>2099</v>
      </c>
      <c r="E330">
        <v>3176097967</v>
      </c>
      <c r="F330" t="s">
        <v>2100</v>
      </c>
      <c r="G330" s="20" t="s">
        <v>922</v>
      </c>
      <c r="H330" t="s">
        <v>1834</v>
      </c>
      <c r="I330" s="20" t="s">
        <v>1835</v>
      </c>
      <c r="J330" s="20" t="s">
        <v>76</v>
      </c>
      <c r="K330" s="20" t="s">
        <v>76</v>
      </c>
      <c r="L330" s="20" t="s">
        <v>72</v>
      </c>
      <c r="M330" s="20" t="s">
        <v>71</v>
      </c>
      <c r="N330" s="20" t="s">
        <v>72</v>
      </c>
      <c r="O330" s="20" t="s">
        <v>72</v>
      </c>
      <c r="P330" s="20" t="s">
        <v>72</v>
      </c>
      <c r="Q330" s="20" t="s">
        <v>72</v>
      </c>
      <c r="R330" s="20" t="s">
        <v>72</v>
      </c>
      <c r="S330" s="20" t="s">
        <v>72</v>
      </c>
      <c r="T330" s="20" t="s">
        <v>72</v>
      </c>
      <c r="U330" s="20" t="s">
        <v>71</v>
      </c>
      <c r="V330" s="20" t="s">
        <v>71</v>
      </c>
      <c r="W330" s="20" t="s">
        <v>71</v>
      </c>
      <c r="X330" s="20" t="s">
        <v>71</v>
      </c>
      <c r="Y330" s="20" t="s">
        <v>71</v>
      </c>
      <c r="Z330" s="20" t="s">
        <v>71</v>
      </c>
      <c r="AA330" s="23" t="s">
        <v>85</v>
      </c>
      <c r="AC330" s="25">
        <v>2</v>
      </c>
    </row>
    <row r="331" spans="1:29" ht="15" x14ac:dyDescent="0.2">
      <c r="A331">
        <v>66851995</v>
      </c>
      <c r="B331">
        <v>330</v>
      </c>
      <c r="C331" s="26" t="s">
        <v>1351</v>
      </c>
      <c r="D331" t="s">
        <v>2101</v>
      </c>
      <c r="E331">
        <v>3224981059</v>
      </c>
      <c r="F331" t="s">
        <v>2102</v>
      </c>
      <c r="G331" s="20" t="s">
        <v>922</v>
      </c>
      <c r="H331" t="s">
        <v>1834</v>
      </c>
      <c r="I331" s="20" t="s">
        <v>1835</v>
      </c>
      <c r="J331" s="20" t="s">
        <v>71</v>
      </c>
      <c r="K331" s="20" t="s">
        <v>71</v>
      </c>
      <c r="L331" s="20" t="s">
        <v>72</v>
      </c>
      <c r="M331" s="20" t="s">
        <v>71</v>
      </c>
      <c r="N331" s="20" t="s">
        <v>72</v>
      </c>
      <c r="O331" s="20" t="s">
        <v>72</v>
      </c>
      <c r="P331" s="20" t="s">
        <v>72</v>
      </c>
      <c r="Q331" s="20" t="s">
        <v>72</v>
      </c>
      <c r="R331" s="20" t="s">
        <v>72</v>
      </c>
      <c r="S331" s="20" t="s">
        <v>72</v>
      </c>
      <c r="T331" s="20" t="s">
        <v>72</v>
      </c>
      <c r="U331" s="20" t="s">
        <v>72</v>
      </c>
      <c r="V331" s="20" t="s">
        <v>72</v>
      </c>
      <c r="W331" s="20" t="s">
        <v>72</v>
      </c>
      <c r="X331" s="20" t="s">
        <v>71</v>
      </c>
      <c r="Y331" s="20" t="s">
        <v>76</v>
      </c>
      <c r="Z331" s="20" t="s">
        <v>71</v>
      </c>
      <c r="AA331" s="23" t="s">
        <v>80</v>
      </c>
      <c r="AC331" s="25">
        <v>2</v>
      </c>
    </row>
    <row r="332" spans="1:29" ht="15" x14ac:dyDescent="0.2">
      <c r="A332">
        <v>38892442</v>
      </c>
      <c r="B332">
        <v>331</v>
      </c>
      <c r="C332" s="26" t="s">
        <v>1351</v>
      </c>
      <c r="D332" t="s">
        <v>2103</v>
      </c>
      <c r="E332">
        <v>3117086813</v>
      </c>
      <c r="F332" t="s">
        <v>2104</v>
      </c>
      <c r="G332" s="20" t="s">
        <v>922</v>
      </c>
      <c r="H332" t="s">
        <v>1834</v>
      </c>
      <c r="I332" s="20" t="s">
        <v>1835</v>
      </c>
      <c r="J332" s="20" t="s">
        <v>71</v>
      </c>
      <c r="K332" s="20" t="s">
        <v>71</v>
      </c>
      <c r="L332" s="20" t="s">
        <v>72</v>
      </c>
      <c r="M332" s="20" t="s">
        <v>71</v>
      </c>
      <c r="N332" s="20" t="s">
        <v>72</v>
      </c>
      <c r="O332" s="20" t="s">
        <v>72</v>
      </c>
      <c r="P332" s="20" t="s">
        <v>72</v>
      </c>
      <c r="Q332" s="20" t="s">
        <v>72</v>
      </c>
      <c r="R332" s="20" t="s">
        <v>72</v>
      </c>
      <c r="S332" s="20" t="s">
        <v>72</v>
      </c>
      <c r="T332" s="20" t="s">
        <v>72</v>
      </c>
      <c r="U332" s="20" t="s">
        <v>71</v>
      </c>
      <c r="V332" s="20" t="s">
        <v>71</v>
      </c>
      <c r="W332" s="20" t="s">
        <v>71</v>
      </c>
      <c r="X332" s="20" t="s">
        <v>71</v>
      </c>
      <c r="Y332" s="20" t="s">
        <v>71</v>
      </c>
      <c r="Z332" s="20" t="s">
        <v>71</v>
      </c>
      <c r="AA332" s="23" t="s">
        <v>256</v>
      </c>
      <c r="AC332" s="25">
        <v>3</v>
      </c>
    </row>
    <row r="333" spans="1:29" ht="15" x14ac:dyDescent="0.2">
      <c r="A333">
        <v>16633533</v>
      </c>
      <c r="B333">
        <v>332</v>
      </c>
      <c r="C333" s="26" t="s">
        <v>1351</v>
      </c>
      <c r="D333" t="s">
        <v>2105</v>
      </c>
      <c r="E333">
        <v>3205345942</v>
      </c>
      <c r="F333" t="s">
        <v>2106</v>
      </c>
      <c r="G333" s="20" t="s">
        <v>922</v>
      </c>
      <c r="H333" t="s">
        <v>1834</v>
      </c>
      <c r="I333" s="20" t="s">
        <v>1835</v>
      </c>
      <c r="J333" s="20" t="s">
        <v>76</v>
      </c>
      <c r="K333" s="20" t="s">
        <v>76</v>
      </c>
      <c r="L333" s="20" t="s">
        <v>72</v>
      </c>
      <c r="M333" s="20" t="s">
        <v>76</v>
      </c>
      <c r="N333" s="20" t="s">
        <v>72</v>
      </c>
      <c r="O333" s="20" t="s">
        <v>72</v>
      </c>
      <c r="P333" s="20" t="s">
        <v>72</v>
      </c>
      <c r="Q333" s="20" t="s">
        <v>72</v>
      </c>
      <c r="R333" s="20" t="s">
        <v>72</v>
      </c>
      <c r="S333" s="20" t="s">
        <v>72</v>
      </c>
      <c r="T333" s="20" t="s">
        <v>72</v>
      </c>
      <c r="U333" s="20" t="s">
        <v>72</v>
      </c>
      <c r="V333" s="20" t="s">
        <v>72</v>
      </c>
      <c r="W333" s="20" t="s">
        <v>72</v>
      </c>
      <c r="X333" s="20" t="s">
        <v>72</v>
      </c>
      <c r="Y333" s="20" t="s">
        <v>72</v>
      </c>
      <c r="Z333" s="20" t="s">
        <v>72</v>
      </c>
      <c r="AA333" s="23" t="s">
        <v>91</v>
      </c>
      <c r="AC333" s="25">
        <v>1</v>
      </c>
    </row>
    <row r="334" spans="1:29" ht="15" x14ac:dyDescent="0.2">
      <c r="A334">
        <v>1130594662</v>
      </c>
      <c r="B334">
        <v>333</v>
      </c>
      <c r="C334" s="26" t="s">
        <v>1351</v>
      </c>
      <c r="D334" t="s">
        <v>2107</v>
      </c>
      <c r="E334">
        <v>3165860904</v>
      </c>
      <c r="F334" t="s">
        <v>2108</v>
      </c>
      <c r="G334" s="20" t="s">
        <v>922</v>
      </c>
      <c r="H334" t="s">
        <v>1834</v>
      </c>
      <c r="I334" s="20" t="s">
        <v>1835</v>
      </c>
      <c r="J334" s="20" t="s">
        <v>71</v>
      </c>
      <c r="K334" s="20" t="s">
        <v>71</v>
      </c>
      <c r="L334" s="20" t="s">
        <v>71</v>
      </c>
      <c r="M334" s="20" t="s">
        <v>71</v>
      </c>
      <c r="N334" s="20" t="s">
        <v>71</v>
      </c>
      <c r="O334" s="20" t="s">
        <v>72</v>
      </c>
      <c r="P334" s="20" t="s">
        <v>72</v>
      </c>
      <c r="Q334" s="20" t="s">
        <v>71</v>
      </c>
      <c r="R334" s="20" t="s">
        <v>71</v>
      </c>
      <c r="S334" s="20" t="s">
        <v>72</v>
      </c>
      <c r="T334" s="20" t="s">
        <v>72</v>
      </c>
      <c r="U334" s="20" t="s">
        <v>72</v>
      </c>
      <c r="V334" s="20" t="s">
        <v>72</v>
      </c>
      <c r="W334" s="20" t="s">
        <v>72</v>
      </c>
      <c r="X334" s="20" t="s">
        <v>72</v>
      </c>
      <c r="Y334" s="20" t="s">
        <v>72</v>
      </c>
      <c r="Z334" s="20" t="s">
        <v>72</v>
      </c>
      <c r="AA334" s="23" t="s">
        <v>80</v>
      </c>
      <c r="AC334" s="25">
        <v>2</v>
      </c>
    </row>
    <row r="335" spans="1:29" ht="15" x14ac:dyDescent="0.2">
      <c r="A335">
        <v>31849780</v>
      </c>
      <c r="B335">
        <v>334</v>
      </c>
      <c r="C335" s="26" t="s">
        <v>1351</v>
      </c>
      <c r="D335" t="s">
        <v>2109</v>
      </c>
      <c r="E335"/>
      <c r="F335" t="s">
        <v>2110</v>
      </c>
      <c r="G335" s="20" t="s">
        <v>922</v>
      </c>
      <c r="H335" t="s">
        <v>1834</v>
      </c>
      <c r="I335" s="20" t="s">
        <v>1835</v>
      </c>
      <c r="J335" s="20" t="s">
        <v>71</v>
      </c>
      <c r="K335" s="20" t="s">
        <v>71</v>
      </c>
      <c r="L335" s="20" t="s">
        <v>72</v>
      </c>
      <c r="M335" s="20" t="s">
        <v>71</v>
      </c>
      <c r="N335" s="20" t="s">
        <v>72</v>
      </c>
      <c r="O335" s="20" t="s">
        <v>72</v>
      </c>
      <c r="P335" s="20" t="s">
        <v>72</v>
      </c>
      <c r="Q335" s="20" t="s">
        <v>72</v>
      </c>
      <c r="R335" s="20" t="s">
        <v>72</v>
      </c>
      <c r="S335" s="20" t="s">
        <v>72</v>
      </c>
      <c r="T335" s="20" t="s">
        <v>72</v>
      </c>
      <c r="U335" s="20" t="s">
        <v>72</v>
      </c>
      <c r="V335" s="20" t="s">
        <v>72</v>
      </c>
      <c r="W335" s="20" t="s">
        <v>72</v>
      </c>
      <c r="X335" s="20" t="s">
        <v>71</v>
      </c>
      <c r="Y335" s="20" t="s">
        <v>76</v>
      </c>
      <c r="Z335" s="20" t="s">
        <v>71</v>
      </c>
      <c r="AA335" s="23" t="s">
        <v>80</v>
      </c>
      <c r="AC335" s="25">
        <v>2</v>
      </c>
    </row>
    <row r="336" spans="1:29" ht="15" x14ac:dyDescent="0.2">
      <c r="A336">
        <v>76290401</v>
      </c>
      <c r="B336">
        <v>335</v>
      </c>
      <c r="C336" s="26" t="s">
        <v>1351</v>
      </c>
      <c r="D336" t="s">
        <v>1848</v>
      </c>
      <c r="E336">
        <v>3202446528</v>
      </c>
      <c r="F336" t="s">
        <v>2111</v>
      </c>
      <c r="G336" s="20" t="s">
        <v>922</v>
      </c>
      <c r="H336" t="s">
        <v>1834</v>
      </c>
      <c r="I336" s="20" t="s">
        <v>1835</v>
      </c>
      <c r="J336" s="20" t="s">
        <v>71</v>
      </c>
      <c r="K336" s="20" t="s">
        <v>71</v>
      </c>
      <c r="L336" s="20" t="s">
        <v>72</v>
      </c>
      <c r="M336" s="20" t="s">
        <v>71</v>
      </c>
      <c r="N336" s="20" t="s">
        <v>72</v>
      </c>
      <c r="O336" s="20" t="s">
        <v>72</v>
      </c>
      <c r="P336" s="20" t="s">
        <v>72</v>
      </c>
      <c r="Q336" s="20" t="s">
        <v>72</v>
      </c>
      <c r="R336" s="20" t="s">
        <v>72</v>
      </c>
      <c r="S336" s="20" t="s">
        <v>72</v>
      </c>
      <c r="T336" s="20" t="s">
        <v>72</v>
      </c>
      <c r="U336" s="20" t="s">
        <v>72</v>
      </c>
      <c r="V336" s="20" t="s">
        <v>72</v>
      </c>
      <c r="W336" s="20" t="s">
        <v>72</v>
      </c>
      <c r="X336" s="20" t="s">
        <v>71</v>
      </c>
      <c r="Y336" s="20" t="s">
        <v>76</v>
      </c>
      <c r="Z336" s="20" t="s">
        <v>71</v>
      </c>
      <c r="AA336" s="23" t="s">
        <v>80</v>
      </c>
      <c r="AC336" s="25">
        <v>2</v>
      </c>
    </row>
    <row r="337" spans="1:29" ht="15" x14ac:dyDescent="0.2">
      <c r="A337">
        <v>1143834208</v>
      </c>
      <c r="B337">
        <v>336</v>
      </c>
      <c r="C337" s="26" t="s">
        <v>1351</v>
      </c>
      <c r="D337" t="s">
        <v>2112</v>
      </c>
      <c r="E337">
        <v>3146608394</v>
      </c>
      <c r="F337" t="s">
        <v>2113</v>
      </c>
      <c r="G337" s="20" t="s">
        <v>922</v>
      </c>
      <c r="H337" t="s">
        <v>1834</v>
      </c>
      <c r="I337" s="20" t="s">
        <v>1835</v>
      </c>
      <c r="AA337" s="23" t="s">
        <v>1367</v>
      </c>
      <c r="AB337" s="24" t="s">
        <v>2114</v>
      </c>
      <c r="AC337" s="25" t="s">
        <v>1367</v>
      </c>
    </row>
    <row r="338" spans="1:29" ht="15" x14ac:dyDescent="0.2">
      <c r="A338">
        <v>76337278</v>
      </c>
      <c r="B338">
        <v>337</v>
      </c>
      <c r="C338" s="26" t="s">
        <v>1351</v>
      </c>
      <c r="D338" t="s">
        <v>2087</v>
      </c>
      <c r="E338">
        <v>3044117895</v>
      </c>
      <c r="F338" t="s">
        <v>2115</v>
      </c>
      <c r="G338" s="20" t="s">
        <v>922</v>
      </c>
      <c r="H338" t="s">
        <v>1834</v>
      </c>
      <c r="I338" s="20" t="s">
        <v>1835</v>
      </c>
      <c r="AA338" s="23" t="s">
        <v>1367</v>
      </c>
      <c r="AB338" s="24" t="s">
        <v>2116</v>
      </c>
      <c r="AC338" s="25" t="s">
        <v>1367</v>
      </c>
    </row>
    <row r="339" spans="1:29" ht="15" x14ac:dyDescent="0.2">
      <c r="A339">
        <v>31299759</v>
      </c>
      <c r="B339">
        <v>338</v>
      </c>
      <c r="C339" s="26" t="s">
        <v>1351</v>
      </c>
      <c r="D339" t="s">
        <v>2117</v>
      </c>
      <c r="E339">
        <v>3215373962</v>
      </c>
      <c r="F339" t="s">
        <v>2118</v>
      </c>
      <c r="G339" s="20" t="s">
        <v>922</v>
      </c>
      <c r="H339" t="s">
        <v>1834</v>
      </c>
      <c r="I339" s="20" t="s">
        <v>1835</v>
      </c>
      <c r="J339" s="20" t="s">
        <v>76</v>
      </c>
      <c r="K339" s="20" t="s">
        <v>76</v>
      </c>
      <c r="L339" s="20" t="s">
        <v>72</v>
      </c>
      <c r="M339" s="20" t="s">
        <v>76</v>
      </c>
      <c r="N339" s="20" t="s">
        <v>71</v>
      </c>
      <c r="O339" s="20" t="s">
        <v>72</v>
      </c>
      <c r="P339" s="20" t="s">
        <v>72</v>
      </c>
      <c r="Q339" s="20" t="s">
        <v>72</v>
      </c>
      <c r="R339" s="20" t="s">
        <v>72</v>
      </c>
      <c r="S339" s="20" t="s">
        <v>72</v>
      </c>
      <c r="T339" s="20" t="s">
        <v>72</v>
      </c>
      <c r="U339" s="20" t="s">
        <v>72</v>
      </c>
      <c r="V339" s="20" t="s">
        <v>72</v>
      </c>
      <c r="W339" s="20" t="s">
        <v>72</v>
      </c>
      <c r="X339" s="20" t="s">
        <v>72</v>
      </c>
      <c r="Y339" s="20" t="s">
        <v>72</v>
      </c>
      <c r="Z339" s="20" t="s">
        <v>72</v>
      </c>
      <c r="AA339" s="23" t="s">
        <v>91</v>
      </c>
      <c r="AC339" s="25">
        <v>1</v>
      </c>
    </row>
    <row r="340" spans="1:29" ht="15" x14ac:dyDescent="0.2">
      <c r="A340">
        <v>31925580</v>
      </c>
      <c r="B340">
        <v>339</v>
      </c>
      <c r="C340" s="26" t="s">
        <v>1351</v>
      </c>
      <c r="D340" t="s">
        <v>2119</v>
      </c>
      <c r="E340">
        <v>3217941390</v>
      </c>
      <c r="F340" t="s">
        <v>2120</v>
      </c>
      <c r="G340" s="20" t="s">
        <v>922</v>
      </c>
      <c r="H340" t="s">
        <v>1834</v>
      </c>
      <c r="I340" s="20" t="s">
        <v>1835</v>
      </c>
      <c r="J340" s="20" t="s">
        <v>71</v>
      </c>
      <c r="K340" s="20" t="s">
        <v>71</v>
      </c>
      <c r="L340" s="20" t="s">
        <v>72</v>
      </c>
      <c r="M340" s="20" t="s">
        <v>71</v>
      </c>
      <c r="N340" s="20" t="s">
        <v>72</v>
      </c>
      <c r="O340" s="20" t="s">
        <v>72</v>
      </c>
      <c r="P340" s="20" t="s">
        <v>72</v>
      </c>
      <c r="Q340" s="20" t="s">
        <v>72</v>
      </c>
      <c r="R340" s="20" t="s">
        <v>72</v>
      </c>
      <c r="S340" s="20" t="s">
        <v>72</v>
      </c>
      <c r="T340" s="20" t="s">
        <v>72</v>
      </c>
      <c r="U340" s="20" t="s">
        <v>71</v>
      </c>
      <c r="V340" s="20" t="s">
        <v>71</v>
      </c>
      <c r="W340" s="20" t="s">
        <v>71</v>
      </c>
      <c r="X340" s="20" t="s">
        <v>71</v>
      </c>
      <c r="Y340" s="20" t="s">
        <v>71</v>
      </c>
      <c r="Z340" s="20" t="s">
        <v>71</v>
      </c>
      <c r="AA340" s="23" t="s">
        <v>256</v>
      </c>
      <c r="AC340" s="25">
        <v>3</v>
      </c>
    </row>
    <row r="341" spans="1:29" ht="15" x14ac:dyDescent="0.2">
      <c r="A341">
        <v>10068285</v>
      </c>
      <c r="B341">
        <v>340</v>
      </c>
      <c r="C341" s="26" t="s">
        <v>1351</v>
      </c>
      <c r="D341" t="s">
        <v>2121</v>
      </c>
      <c r="E341">
        <v>3186393418</v>
      </c>
      <c r="F341" t="s">
        <v>2122</v>
      </c>
      <c r="G341" s="20" t="s">
        <v>922</v>
      </c>
      <c r="H341" t="s">
        <v>1834</v>
      </c>
      <c r="I341" s="20" t="s">
        <v>1835</v>
      </c>
      <c r="J341" s="20" t="s">
        <v>72</v>
      </c>
      <c r="K341" s="20" t="s">
        <v>72</v>
      </c>
      <c r="L341" s="20" t="s">
        <v>72</v>
      </c>
      <c r="M341" s="20" t="s">
        <v>76</v>
      </c>
      <c r="N341" s="20" t="s">
        <v>71</v>
      </c>
      <c r="O341" s="20" t="s">
        <v>72</v>
      </c>
      <c r="P341" s="20" t="s">
        <v>72</v>
      </c>
      <c r="Q341" s="20" t="s">
        <v>72</v>
      </c>
      <c r="R341" s="20" t="s">
        <v>72</v>
      </c>
      <c r="S341" s="20" t="s">
        <v>72</v>
      </c>
      <c r="T341" s="20" t="s">
        <v>72</v>
      </c>
      <c r="U341" s="20" t="s">
        <v>72</v>
      </c>
      <c r="V341" s="20" t="s">
        <v>72</v>
      </c>
      <c r="W341" s="20" t="s">
        <v>72</v>
      </c>
      <c r="X341" s="20" t="s">
        <v>71</v>
      </c>
      <c r="Y341" s="20" t="s">
        <v>72</v>
      </c>
      <c r="Z341" s="20" t="s">
        <v>71</v>
      </c>
      <c r="AA341" s="23" t="s">
        <v>91</v>
      </c>
      <c r="AC341" s="25">
        <v>2</v>
      </c>
    </row>
    <row r="342" spans="1:29" ht="15" x14ac:dyDescent="0.2">
      <c r="A342">
        <v>31304999</v>
      </c>
      <c r="B342">
        <v>341</v>
      </c>
      <c r="C342" s="26" t="s">
        <v>1351</v>
      </c>
      <c r="D342" t="s">
        <v>1642</v>
      </c>
      <c r="E342">
        <v>3218796256</v>
      </c>
      <c r="F342" t="s">
        <v>2123</v>
      </c>
      <c r="G342" s="20" t="s">
        <v>922</v>
      </c>
      <c r="H342" t="s">
        <v>1834</v>
      </c>
      <c r="I342" s="20" t="s">
        <v>1835</v>
      </c>
      <c r="J342" s="20" t="s">
        <v>76</v>
      </c>
      <c r="K342" s="20" t="s">
        <v>76</v>
      </c>
      <c r="L342" s="20" t="s">
        <v>71</v>
      </c>
      <c r="M342" s="20" t="s">
        <v>71</v>
      </c>
      <c r="N342" s="20" t="s">
        <v>76</v>
      </c>
      <c r="O342" s="20" t="s">
        <v>76</v>
      </c>
      <c r="P342" s="20" t="s">
        <v>76</v>
      </c>
      <c r="Q342" s="20" t="s">
        <v>71</v>
      </c>
      <c r="R342" s="20" t="s">
        <v>71</v>
      </c>
      <c r="S342" s="20" t="s">
        <v>71</v>
      </c>
      <c r="T342" s="20" t="s">
        <v>71</v>
      </c>
      <c r="U342" s="20" t="s">
        <v>71</v>
      </c>
      <c r="V342" s="20" t="s">
        <v>72</v>
      </c>
      <c r="W342" s="20" t="s">
        <v>72</v>
      </c>
      <c r="X342" s="20" t="s">
        <v>71</v>
      </c>
      <c r="Y342" s="20" t="s">
        <v>76</v>
      </c>
      <c r="Z342" s="20" t="s">
        <v>71</v>
      </c>
      <c r="AA342" s="23" t="s">
        <v>91</v>
      </c>
      <c r="AB342" s="24" t="s">
        <v>2124</v>
      </c>
      <c r="AC342" s="25">
        <v>3</v>
      </c>
    </row>
    <row r="343" spans="1:29" ht="15" x14ac:dyDescent="0.2">
      <c r="A343">
        <v>31876572</v>
      </c>
      <c r="B343">
        <v>342</v>
      </c>
      <c r="C343" s="26" t="s">
        <v>1351</v>
      </c>
      <c r="D343" t="s">
        <v>2125</v>
      </c>
      <c r="E343">
        <v>3173577773</v>
      </c>
      <c r="F343" t="s">
        <v>2126</v>
      </c>
      <c r="G343" s="20" t="s">
        <v>922</v>
      </c>
      <c r="H343" t="s">
        <v>1834</v>
      </c>
      <c r="I343" s="20" t="s">
        <v>1835</v>
      </c>
      <c r="J343" s="20" t="s">
        <v>71</v>
      </c>
      <c r="K343" s="20" t="s">
        <v>72</v>
      </c>
      <c r="L343" s="20" t="s">
        <v>71</v>
      </c>
      <c r="M343" s="20" t="s">
        <v>71</v>
      </c>
      <c r="N343" s="20" t="s">
        <v>71</v>
      </c>
      <c r="O343" s="20" t="s">
        <v>76</v>
      </c>
      <c r="P343" s="20" t="s">
        <v>76</v>
      </c>
      <c r="Q343" s="20" t="s">
        <v>71</v>
      </c>
      <c r="R343" s="20" t="s">
        <v>71</v>
      </c>
      <c r="S343" s="20" t="s">
        <v>71</v>
      </c>
      <c r="T343" s="20" t="s">
        <v>71</v>
      </c>
      <c r="U343" s="20" t="s">
        <v>72</v>
      </c>
      <c r="V343" s="20" t="s">
        <v>72</v>
      </c>
      <c r="W343" s="20" t="s">
        <v>72</v>
      </c>
      <c r="X343" s="20" t="s">
        <v>72</v>
      </c>
      <c r="Y343" s="20" t="s">
        <v>72</v>
      </c>
      <c r="Z343" s="20" t="s">
        <v>72</v>
      </c>
      <c r="AA343" s="23" t="s">
        <v>91</v>
      </c>
      <c r="AC343" s="25">
        <v>1</v>
      </c>
    </row>
    <row r="344" spans="1:29" ht="15" x14ac:dyDescent="0.2">
      <c r="A344">
        <v>16881275</v>
      </c>
      <c r="B344">
        <v>343</v>
      </c>
      <c r="C344" s="26" t="s">
        <v>1351</v>
      </c>
      <c r="D344" t="s">
        <v>2127</v>
      </c>
      <c r="E344">
        <v>3045764681</v>
      </c>
      <c r="F344" t="s">
        <v>2128</v>
      </c>
      <c r="G344" s="20" t="s">
        <v>922</v>
      </c>
      <c r="H344" t="s">
        <v>1834</v>
      </c>
      <c r="I344" s="20" t="s">
        <v>1835</v>
      </c>
      <c r="J344" s="20" t="s">
        <v>71</v>
      </c>
      <c r="K344" s="20" t="s">
        <v>71</v>
      </c>
      <c r="L344" s="20" t="s">
        <v>71</v>
      </c>
      <c r="M344" s="20" t="s">
        <v>71</v>
      </c>
      <c r="N344" s="20" t="s">
        <v>76</v>
      </c>
      <c r="O344" s="20" t="s">
        <v>72</v>
      </c>
      <c r="P344" s="20" t="s">
        <v>72</v>
      </c>
      <c r="Q344" s="20" t="s">
        <v>71</v>
      </c>
      <c r="R344" s="20" t="s">
        <v>71</v>
      </c>
      <c r="S344" s="20" t="s">
        <v>71</v>
      </c>
      <c r="T344" s="20" t="s">
        <v>71</v>
      </c>
      <c r="U344" s="20" t="s">
        <v>72</v>
      </c>
      <c r="V344" s="20" t="s">
        <v>72</v>
      </c>
      <c r="W344" s="20" t="s">
        <v>72</v>
      </c>
      <c r="X344" s="20" t="s">
        <v>72</v>
      </c>
      <c r="Y344" s="20" t="s">
        <v>72</v>
      </c>
      <c r="Z344" s="20" t="s">
        <v>72</v>
      </c>
      <c r="AA344" s="23" t="s">
        <v>80</v>
      </c>
      <c r="AB344" s="24" t="s">
        <v>2129</v>
      </c>
      <c r="AC344" s="25">
        <v>2</v>
      </c>
    </row>
    <row r="345" spans="1:29" ht="15" x14ac:dyDescent="0.2">
      <c r="A345">
        <v>14949573</v>
      </c>
      <c r="B345">
        <v>344</v>
      </c>
      <c r="C345" s="26" t="s">
        <v>1351</v>
      </c>
      <c r="D345" t="s">
        <v>2130</v>
      </c>
      <c r="E345">
        <v>3185530596</v>
      </c>
      <c r="F345" t="s">
        <v>2131</v>
      </c>
      <c r="G345" s="20" t="s">
        <v>922</v>
      </c>
      <c r="H345" t="s">
        <v>1834</v>
      </c>
      <c r="I345" s="20" t="s">
        <v>1835</v>
      </c>
      <c r="J345" s="20" t="s">
        <v>76</v>
      </c>
      <c r="K345" s="20" t="s">
        <v>76</v>
      </c>
      <c r="L345" s="20" t="s">
        <v>72</v>
      </c>
      <c r="M345" s="20" t="s">
        <v>71</v>
      </c>
      <c r="N345" s="20" t="s">
        <v>72</v>
      </c>
      <c r="O345" s="20" t="s">
        <v>72</v>
      </c>
      <c r="P345" s="20" t="s">
        <v>72</v>
      </c>
      <c r="Q345" s="20" t="s">
        <v>72</v>
      </c>
      <c r="R345" s="20" t="s">
        <v>72</v>
      </c>
      <c r="S345" s="20" t="s">
        <v>72</v>
      </c>
      <c r="T345" s="20" t="s">
        <v>72</v>
      </c>
      <c r="U345" s="20" t="s">
        <v>72</v>
      </c>
      <c r="V345" s="20" t="s">
        <v>72</v>
      </c>
      <c r="W345" s="20" t="s">
        <v>72</v>
      </c>
      <c r="X345" s="20" t="s">
        <v>71</v>
      </c>
      <c r="Y345" s="20" t="s">
        <v>71</v>
      </c>
      <c r="Z345" s="20" t="s">
        <v>71</v>
      </c>
      <c r="AA345" s="23" t="s">
        <v>91</v>
      </c>
      <c r="AC345" s="25">
        <v>2</v>
      </c>
    </row>
    <row r="346" spans="1:29" ht="15" x14ac:dyDescent="0.2">
      <c r="A346">
        <v>29398776</v>
      </c>
      <c r="B346">
        <v>345</v>
      </c>
      <c r="C346" s="26" t="s">
        <v>1351</v>
      </c>
      <c r="D346" t="s">
        <v>1674</v>
      </c>
      <c r="E346">
        <v>3158058438</v>
      </c>
      <c r="F346" t="s">
        <v>2132</v>
      </c>
      <c r="G346" s="20" t="s">
        <v>922</v>
      </c>
      <c r="H346" t="s">
        <v>1834</v>
      </c>
      <c r="I346" s="20" t="s">
        <v>1835</v>
      </c>
      <c r="J346" s="20" t="s">
        <v>76</v>
      </c>
      <c r="K346" s="20" t="s">
        <v>76</v>
      </c>
      <c r="U346" s="20" t="s">
        <v>72</v>
      </c>
      <c r="V346" s="20" t="s">
        <v>72</v>
      </c>
      <c r="W346" s="20" t="s">
        <v>72</v>
      </c>
      <c r="X346" s="20" t="s">
        <v>72</v>
      </c>
      <c r="Y346" s="20" t="s">
        <v>71</v>
      </c>
      <c r="Z346" s="20" t="s">
        <v>72</v>
      </c>
      <c r="AA346" s="23" t="s">
        <v>77</v>
      </c>
      <c r="AB346" s="24" t="s">
        <v>2133</v>
      </c>
      <c r="AC346" s="25">
        <v>2</v>
      </c>
    </row>
    <row r="347" spans="1:29" ht="15" x14ac:dyDescent="0.2">
      <c r="A347">
        <v>38558662</v>
      </c>
      <c r="B347">
        <v>346</v>
      </c>
      <c r="C347" s="26" t="s">
        <v>1351</v>
      </c>
      <c r="D347" t="s">
        <v>2134</v>
      </c>
      <c r="E347">
        <v>3108406524</v>
      </c>
      <c r="F347" t="s">
        <v>2135</v>
      </c>
      <c r="G347" s="20" t="s">
        <v>922</v>
      </c>
      <c r="H347" t="s">
        <v>1834</v>
      </c>
      <c r="I347" s="20" t="s">
        <v>480</v>
      </c>
      <c r="J347" s="20" t="s">
        <v>76</v>
      </c>
      <c r="K347" s="20" t="s">
        <v>76</v>
      </c>
      <c r="L347" s="20" t="s">
        <v>71</v>
      </c>
      <c r="M347" s="20" t="s">
        <v>71</v>
      </c>
      <c r="N347" s="20" t="s">
        <v>72</v>
      </c>
      <c r="O347" s="20" t="s">
        <v>72</v>
      </c>
      <c r="P347" s="20" t="s">
        <v>72</v>
      </c>
      <c r="Q347" s="20" t="s">
        <v>71</v>
      </c>
      <c r="R347" s="20" t="s">
        <v>72</v>
      </c>
      <c r="S347" s="20" t="s">
        <v>72</v>
      </c>
      <c r="T347" s="20" t="s">
        <v>72</v>
      </c>
      <c r="U347" s="20" t="s">
        <v>71</v>
      </c>
      <c r="V347" s="20" t="s">
        <v>71</v>
      </c>
      <c r="W347" s="20" t="s">
        <v>71</v>
      </c>
      <c r="X347" s="20" t="s">
        <v>71</v>
      </c>
      <c r="Y347" s="20" t="s">
        <v>71</v>
      </c>
      <c r="Z347" s="20" t="s">
        <v>71</v>
      </c>
      <c r="AA347" s="23" t="s">
        <v>85</v>
      </c>
      <c r="AC347" s="25">
        <v>2</v>
      </c>
    </row>
    <row r="348" spans="1:29" ht="15" x14ac:dyDescent="0.2">
      <c r="A348">
        <v>31255887</v>
      </c>
      <c r="B348">
        <v>347</v>
      </c>
      <c r="C348" s="26" t="s">
        <v>1351</v>
      </c>
      <c r="D348" t="s">
        <v>1872</v>
      </c>
      <c r="E348">
        <v>3177513086</v>
      </c>
      <c r="F348" t="s">
        <v>2136</v>
      </c>
      <c r="G348" s="20" t="s">
        <v>922</v>
      </c>
      <c r="H348" t="s">
        <v>1834</v>
      </c>
      <c r="I348" s="20" t="s">
        <v>1835</v>
      </c>
      <c r="J348" s="20" t="s">
        <v>71</v>
      </c>
      <c r="K348" s="20" t="s">
        <v>71</v>
      </c>
      <c r="U348" s="20" t="s">
        <v>72</v>
      </c>
      <c r="V348" s="20" t="s">
        <v>72</v>
      </c>
      <c r="W348" s="20" t="s">
        <v>72</v>
      </c>
      <c r="X348" s="20" t="s">
        <v>71</v>
      </c>
      <c r="Y348" s="20" t="s">
        <v>72</v>
      </c>
      <c r="Z348" s="20" t="s">
        <v>71</v>
      </c>
      <c r="AA348" s="23" t="s">
        <v>179</v>
      </c>
      <c r="AB348" s="24" t="s">
        <v>2133</v>
      </c>
      <c r="AC348" s="25">
        <v>3</v>
      </c>
    </row>
    <row r="349" spans="1:29" ht="15" x14ac:dyDescent="0.2">
      <c r="A349">
        <v>31857560</v>
      </c>
      <c r="B349">
        <v>348</v>
      </c>
      <c r="C349" s="26" t="s">
        <v>1351</v>
      </c>
      <c r="D349" t="s">
        <v>2137</v>
      </c>
      <c r="E349">
        <v>3155853602</v>
      </c>
      <c r="F349" t="s">
        <v>2138</v>
      </c>
      <c r="G349" s="20" t="s">
        <v>922</v>
      </c>
      <c r="H349" t="s">
        <v>1834</v>
      </c>
      <c r="I349" s="20" t="s">
        <v>1835</v>
      </c>
      <c r="J349" s="20" t="s">
        <v>76</v>
      </c>
      <c r="K349" s="20" t="s">
        <v>76</v>
      </c>
      <c r="L349" s="20" t="s">
        <v>72</v>
      </c>
      <c r="M349" s="20" t="s">
        <v>71</v>
      </c>
      <c r="N349" s="20" t="s">
        <v>72</v>
      </c>
      <c r="O349" s="20" t="s">
        <v>72</v>
      </c>
      <c r="P349" s="20" t="s">
        <v>72</v>
      </c>
      <c r="Q349" s="20" t="s">
        <v>72</v>
      </c>
      <c r="R349" s="20" t="s">
        <v>72</v>
      </c>
      <c r="S349" s="20" t="s">
        <v>72</v>
      </c>
      <c r="T349" s="20" t="s">
        <v>72</v>
      </c>
      <c r="U349" s="20" t="s">
        <v>72</v>
      </c>
      <c r="V349" s="20" t="s">
        <v>72</v>
      </c>
      <c r="W349" s="20" t="s">
        <v>72</v>
      </c>
      <c r="X349" s="20" t="s">
        <v>71</v>
      </c>
      <c r="Y349" s="20" t="s">
        <v>72</v>
      </c>
      <c r="Z349" s="20" t="s">
        <v>71</v>
      </c>
      <c r="AA349" s="23" t="s">
        <v>91</v>
      </c>
      <c r="AC349" s="25">
        <v>2</v>
      </c>
    </row>
    <row r="350" spans="1:29" ht="15" x14ac:dyDescent="0.2">
      <c r="A350">
        <v>25265831</v>
      </c>
      <c r="B350">
        <v>349</v>
      </c>
      <c r="C350" s="26" t="s">
        <v>1351</v>
      </c>
      <c r="D350" t="s">
        <v>2139</v>
      </c>
      <c r="E350">
        <v>3174316168</v>
      </c>
      <c r="F350" t="s">
        <v>2140</v>
      </c>
      <c r="G350" s="20" t="s">
        <v>922</v>
      </c>
      <c r="H350" t="s">
        <v>1834</v>
      </c>
      <c r="I350" s="20" t="s">
        <v>1835</v>
      </c>
      <c r="J350" s="20" t="s">
        <v>71</v>
      </c>
      <c r="K350" s="20" t="s">
        <v>72</v>
      </c>
      <c r="U350" s="20" t="s">
        <v>72</v>
      </c>
      <c r="V350" s="20" t="s">
        <v>72</v>
      </c>
      <c r="W350" s="20" t="s">
        <v>72</v>
      </c>
      <c r="X350" s="20" t="s">
        <v>71</v>
      </c>
      <c r="Y350" s="20" t="s">
        <v>72</v>
      </c>
      <c r="Z350" s="20" t="s">
        <v>72</v>
      </c>
      <c r="AA350" s="23" t="s">
        <v>77</v>
      </c>
      <c r="AB350" s="24" t="s">
        <v>2133</v>
      </c>
      <c r="AC350" s="25">
        <v>1</v>
      </c>
    </row>
    <row r="351" spans="1:29" ht="15" x14ac:dyDescent="0.2">
      <c r="A351">
        <v>4755752</v>
      </c>
      <c r="B351">
        <v>350</v>
      </c>
      <c r="C351" s="26" t="s">
        <v>1351</v>
      </c>
      <c r="D351" t="s">
        <v>2141</v>
      </c>
      <c r="E351">
        <v>3146953436</v>
      </c>
      <c r="F351" t="s">
        <v>2142</v>
      </c>
      <c r="G351" s="20" t="s">
        <v>922</v>
      </c>
      <c r="H351" t="s">
        <v>1834</v>
      </c>
      <c r="I351" s="20" t="s">
        <v>1835</v>
      </c>
      <c r="J351" s="20" t="s">
        <v>71</v>
      </c>
      <c r="K351" s="20" t="s">
        <v>71</v>
      </c>
      <c r="L351" s="20" t="s">
        <v>72</v>
      </c>
      <c r="M351" s="20" t="s">
        <v>71</v>
      </c>
      <c r="N351" s="20" t="s">
        <v>72</v>
      </c>
      <c r="O351" s="20" t="s">
        <v>72</v>
      </c>
      <c r="P351" s="20" t="s">
        <v>72</v>
      </c>
      <c r="Q351" s="20" t="s">
        <v>72</v>
      </c>
      <c r="R351" s="20" t="s">
        <v>72</v>
      </c>
      <c r="S351" s="20" t="s">
        <v>72</v>
      </c>
      <c r="T351" s="20" t="s">
        <v>72</v>
      </c>
      <c r="U351" s="20" t="s">
        <v>72</v>
      </c>
      <c r="V351" s="20" t="s">
        <v>72</v>
      </c>
      <c r="W351" s="20" t="s">
        <v>72</v>
      </c>
      <c r="X351" s="20" t="s">
        <v>71</v>
      </c>
      <c r="Y351" s="20" t="s">
        <v>72</v>
      </c>
      <c r="Z351" s="20" t="s">
        <v>71</v>
      </c>
      <c r="AA351" s="23" t="s">
        <v>80</v>
      </c>
      <c r="AC351" s="25">
        <v>2</v>
      </c>
    </row>
    <row r="352" spans="1:29" ht="15" x14ac:dyDescent="0.2">
      <c r="A352">
        <v>66866128</v>
      </c>
      <c r="B352">
        <v>351</v>
      </c>
      <c r="C352" s="26" t="s">
        <v>1351</v>
      </c>
      <c r="D352" t="s">
        <v>2143</v>
      </c>
      <c r="E352">
        <v>3012815941</v>
      </c>
      <c r="F352" t="s">
        <v>2144</v>
      </c>
      <c r="G352" s="20" t="s">
        <v>922</v>
      </c>
      <c r="H352" t="s">
        <v>1834</v>
      </c>
      <c r="I352" s="20" t="s">
        <v>1835</v>
      </c>
      <c r="J352" s="20" t="s">
        <v>71</v>
      </c>
      <c r="K352" s="20" t="s">
        <v>71</v>
      </c>
      <c r="L352" s="20" t="s">
        <v>71</v>
      </c>
      <c r="M352" s="20" t="s">
        <v>71</v>
      </c>
      <c r="N352" s="20" t="s">
        <v>71</v>
      </c>
      <c r="O352" s="20" t="s">
        <v>71</v>
      </c>
      <c r="P352" s="20" t="s">
        <v>71</v>
      </c>
      <c r="Q352" s="20" t="s">
        <v>71</v>
      </c>
      <c r="R352" s="20" t="s">
        <v>71</v>
      </c>
      <c r="S352" s="20" t="s">
        <v>71</v>
      </c>
      <c r="T352" s="20" t="s">
        <v>71</v>
      </c>
      <c r="U352" s="20" t="s">
        <v>72</v>
      </c>
      <c r="V352" s="20" t="s">
        <v>72</v>
      </c>
      <c r="W352" s="20" t="s">
        <v>72</v>
      </c>
      <c r="X352" s="20" t="s">
        <v>72</v>
      </c>
      <c r="Y352" s="20" t="s">
        <v>72</v>
      </c>
      <c r="Z352" s="20" t="s">
        <v>72</v>
      </c>
      <c r="AA352" s="23" t="s">
        <v>179</v>
      </c>
      <c r="AB352" s="24" t="s">
        <v>2129</v>
      </c>
      <c r="AC352" s="25">
        <v>3</v>
      </c>
    </row>
    <row r="353" spans="1:29" ht="15" x14ac:dyDescent="0.2">
      <c r="A353">
        <v>94374533</v>
      </c>
      <c r="B353">
        <v>352</v>
      </c>
      <c r="C353" s="26" t="s">
        <v>1351</v>
      </c>
      <c r="D353" t="s">
        <v>2145</v>
      </c>
      <c r="E353">
        <v>3238262569</v>
      </c>
      <c r="F353" t="s">
        <v>2146</v>
      </c>
      <c r="G353" s="20" t="s">
        <v>922</v>
      </c>
      <c r="H353" t="s">
        <v>1834</v>
      </c>
      <c r="I353" s="20" t="s">
        <v>1835</v>
      </c>
      <c r="J353" s="20" t="s">
        <v>76</v>
      </c>
      <c r="K353" s="20" t="s">
        <v>76</v>
      </c>
      <c r="L353" s="20" t="s">
        <v>72</v>
      </c>
      <c r="M353" s="20" t="s">
        <v>72</v>
      </c>
      <c r="N353" s="20" t="s">
        <v>72</v>
      </c>
      <c r="O353" s="20" t="s">
        <v>72</v>
      </c>
      <c r="P353" s="20" t="s">
        <v>72</v>
      </c>
      <c r="Q353" s="20" t="s">
        <v>72</v>
      </c>
      <c r="R353" s="20" t="s">
        <v>72</v>
      </c>
      <c r="S353" s="20" t="s">
        <v>72</v>
      </c>
      <c r="T353" s="20" t="s">
        <v>72</v>
      </c>
      <c r="U353" s="20" t="s">
        <v>72</v>
      </c>
      <c r="V353" s="20" t="s">
        <v>72</v>
      </c>
      <c r="W353" s="20" t="s">
        <v>72</v>
      </c>
      <c r="X353" s="20" t="s">
        <v>72</v>
      </c>
      <c r="Y353" s="20" t="s">
        <v>72</v>
      </c>
      <c r="Z353" s="20" t="s">
        <v>72</v>
      </c>
      <c r="AA353" s="23" t="s">
        <v>91</v>
      </c>
      <c r="AC353" s="25">
        <v>1</v>
      </c>
    </row>
    <row r="354" spans="1:29" ht="15" x14ac:dyDescent="0.2">
      <c r="A354">
        <v>16607117</v>
      </c>
      <c r="B354">
        <v>353</v>
      </c>
      <c r="C354" s="26" t="s">
        <v>1351</v>
      </c>
      <c r="D354" t="s">
        <v>2147</v>
      </c>
      <c r="E354">
        <v>3203273557</v>
      </c>
      <c r="F354" t="s">
        <v>2148</v>
      </c>
      <c r="G354" s="20" t="s">
        <v>922</v>
      </c>
      <c r="H354" t="s">
        <v>1834</v>
      </c>
      <c r="I354" s="20" t="s">
        <v>1835</v>
      </c>
      <c r="J354" s="20" t="s">
        <v>76</v>
      </c>
      <c r="K354" s="20" t="s">
        <v>76</v>
      </c>
      <c r="L354" s="20" t="s">
        <v>72</v>
      </c>
      <c r="M354" s="20" t="s">
        <v>71</v>
      </c>
      <c r="N354" s="20" t="s">
        <v>72</v>
      </c>
      <c r="O354" s="20" t="s">
        <v>72</v>
      </c>
      <c r="P354" s="20" t="s">
        <v>72</v>
      </c>
      <c r="Q354" s="20" t="s">
        <v>72</v>
      </c>
      <c r="R354" s="20" t="s">
        <v>72</v>
      </c>
      <c r="S354" s="20" t="s">
        <v>72</v>
      </c>
      <c r="T354" s="20" t="s">
        <v>72</v>
      </c>
      <c r="U354" s="20" t="s">
        <v>72</v>
      </c>
      <c r="V354" s="20" t="s">
        <v>72</v>
      </c>
      <c r="W354" s="20" t="s">
        <v>72</v>
      </c>
      <c r="X354" s="20" t="s">
        <v>71</v>
      </c>
      <c r="Y354" s="20" t="s">
        <v>72</v>
      </c>
      <c r="Z354" s="20" t="s">
        <v>71</v>
      </c>
      <c r="AA354" s="23" t="s">
        <v>91</v>
      </c>
      <c r="AC354" s="25">
        <v>2</v>
      </c>
    </row>
    <row r="355" spans="1:29" ht="15" x14ac:dyDescent="0.2">
      <c r="A355">
        <v>38561325</v>
      </c>
      <c r="B355">
        <v>354</v>
      </c>
      <c r="C355" s="26" t="s">
        <v>1351</v>
      </c>
      <c r="D355" t="s">
        <v>2149</v>
      </c>
      <c r="E355">
        <v>3175708167</v>
      </c>
      <c r="F355" t="s">
        <v>2150</v>
      </c>
      <c r="G355" s="20" t="s">
        <v>922</v>
      </c>
      <c r="H355" t="s">
        <v>1834</v>
      </c>
      <c r="I355" s="20" t="s">
        <v>1835</v>
      </c>
      <c r="J355" s="20" t="s">
        <v>71</v>
      </c>
      <c r="K355" s="20" t="s">
        <v>71</v>
      </c>
      <c r="L355" s="20" t="s">
        <v>71</v>
      </c>
      <c r="M355" s="20" t="s">
        <v>71</v>
      </c>
      <c r="N355" s="20" t="s">
        <v>71</v>
      </c>
      <c r="O355" s="20" t="s">
        <v>71</v>
      </c>
      <c r="P355" s="20" t="s">
        <v>71</v>
      </c>
      <c r="Q355" s="20" t="s">
        <v>71</v>
      </c>
      <c r="R355" s="20" t="s">
        <v>71</v>
      </c>
      <c r="S355" s="20" t="s">
        <v>71</v>
      </c>
      <c r="T355" s="20" t="s">
        <v>71</v>
      </c>
      <c r="U355" s="20" t="s">
        <v>72</v>
      </c>
      <c r="V355" s="20" t="s">
        <v>72</v>
      </c>
      <c r="W355" s="20" t="s">
        <v>72</v>
      </c>
      <c r="X355" s="20" t="s">
        <v>72</v>
      </c>
      <c r="Y355" s="20" t="s">
        <v>72</v>
      </c>
      <c r="Z355" s="20" t="s">
        <v>72</v>
      </c>
      <c r="AA355" s="23" t="s">
        <v>179</v>
      </c>
      <c r="AC355" s="25">
        <v>3</v>
      </c>
    </row>
    <row r="356" spans="1:29" ht="15" x14ac:dyDescent="0.2">
      <c r="A356">
        <v>31474654</v>
      </c>
      <c r="B356">
        <v>355</v>
      </c>
      <c r="C356" s="26" t="s">
        <v>1351</v>
      </c>
      <c r="D356" t="s">
        <v>2151</v>
      </c>
      <c r="E356">
        <v>3136078904</v>
      </c>
      <c r="F356" t="s">
        <v>2152</v>
      </c>
      <c r="G356" s="20" t="s">
        <v>922</v>
      </c>
      <c r="H356" t="s">
        <v>1834</v>
      </c>
      <c r="I356" s="20" t="s">
        <v>1835</v>
      </c>
      <c r="AA356" s="23" t="s">
        <v>1367</v>
      </c>
      <c r="AB356" s="24" t="s">
        <v>1938</v>
      </c>
      <c r="AC356" s="25" t="s">
        <v>1367</v>
      </c>
    </row>
    <row r="357" spans="1:29" ht="15" x14ac:dyDescent="0.2">
      <c r="A357">
        <v>66946161</v>
      </c>
      <c r="B357">
        <v>356</v>
      </c>
      <c r="C357" s="26" t="s">
        <v>1351</v>
      </c>
      <c r="D357" t="s">
        <v>2153</v>
      </c>
      <c r="E357">
        <v>316412137</v>
      </c>
      <c r="F357" t="s">
        <v>2154</v>
      </c>
      <c r="G357" s="20" t="s">
        <v>922</v>
      </c>
      <c r="H357" t="s">
        <v>1834</v>
      </c>
      <c r="I357" s="20" t="s">
        <v>1835</v>
      </c>
      <c r="J357" s="20" t="s">
        <v>76</v>
      </c>
      <c r="K357" s="20" t="s">
        <v>76</v>
      </c>
      <c r="L357" s="20" t="s">
        <v>71</v>
      </c>
      <c r="M357" s="20" t="s">
        <v>71</v>
      </c>
      <c r="N357" s="20" t="s">
        <v>71</v>
      </c>
      <c r="O357" s="20" t="s">
        <v>71</v>
      </c>
      <c r="P357" s="20" t="s">
        <v>71</v>
      </c>
      <c r="Q357" s="20" t="s">
        <v>71</v>
      </c>
      <c r="R357" s="20" t="s">
        <v>71</v>
      </c>
      <c r="S357" s="20" t="s">
        <v>72</v>
      </c>
      <c r="T357" s="20" t="s">
        <v>72</v>
      </c>
      <c r="U357" s="20" t="s">
        <v>72</v>
      </c>
      <c r="V357" s="20" t="s">
        <v>72</v>
      </c>
      <c r="W357" s="20" t="s">
        <v>72</v>
      </c>
      <c r="X357" s="20" t="s">
        <v>72</v>
      </c>
      <c r="Y357" s="20" t="s">
        <v>72</v>
      </c>
      <c r="Z357" s="20" t="s">
        <v>72</v>
      </c>
      <c r="AA357" s="23" t="s">
        <v>91</v>
      </c>
      <c r="AB357" s="24" t="s">
        <v>2155</v>
      </c>
      <c r="AC357" s="25">
        <v>2</v>
      </c>
    </row>
    <row r="358" spans="1:29" ht="15" x14ac:dyDescent="0.2">
      <c r="A358">
        <v>1143833310</v>
      </c>
      <c r="B358">
        <v>357</v>
      </c>
      <c r="C358" s="26" t="s">
        <v>1351</v>
      </c>
      <c r="D358" t="s">
        <v>2156</v>
      </c>
      <c r="E358">
        <v>3107358278</v>
      </c>
      <c r="F358" t="s">
        <v>2157</v>
      </c>
      <c r="G358" s="20" t="s">
        <v>922</v>
      </c>
      <c r="H358" t="s">
        <v>1834</v>
      </c>
      <c r="I358" s="20" t="s">
        <v>1835</v>
      </c>
      <c r="J358" s="20" t="s">
        <v>71</v>
      </c>
      <c r="K358" s="20" t="s">
        <v>71</v>
      </c>
      <c r="L358" s="20" t="s">
        <v>72</v>
      </c>
      <c r="M358" s="20" t="s">
        <v>71</v>
      </c>
      <c r="N358" s="20" t="s">
        <v>72</v>
      </c>
      <c r="O358" s="20" t="s">
        <v>72</v>
      </c>
      <c r="P358" s="20" t="s">
        <v>72</v>
      </c>
      <c r="Q358" s="20" t="s">
        <v>72</v>
      </c>
      <c r="R358" s="20" t="s">
        <v>72</v>
      </c>
      <c r="S358" s="20" t="s">
        <v>72</v>
      </c>
      <c r="T358" s="20" t="s">
        <v>71</v>
      </c>
      <c r="U358" s="20" t="s">
        <v>72</v>
      </c>
      <c r="V358" s="20" t="s">
        <v>72</v>
      </c>
      <c r="W358" s="20" t="s">
        <v>72</v>
      </c>
      <c r="X358" s="20" t="s">
        <v>71</v>
      </c>
      <c r="Y358" s="20" t="s">
        <v>72</v>
      </c>
      <c r="Z358" s="20" t="s">
        <v>71</v>
      </c>
      <c r="AA358" s="23" t="s">
        <v>80</v>
      </c>
      <c r="AC358" s="25">
        <v>2</v>
      </c>
    </row>
    <row r="359" spans="1:29" ht="15" x14ac:dyDescent="0.2">
      <c r="A359">
        <v>66852181</v>
      </c>
      <c r="B359">
        <v>358</v>
      </c>
      <c r="C359" s="26" t="s">
        <v>1351</v>
      </c>
      <c r="D359" t="s">
        <v>1960</v>
      </c>
      <c r="E359">
        <v>3107113344</v>
      </c>
      <c r="F359" t="s">
        <v>2158</v>
      </c>
      <c r="G359" s="20" t="s">
        <v>922</v>
      </c>
      <c r="H359" t="s">
        <v>1834</v>
      </c>
      <c r="I359" s="20" t="s">
        <v>1835</v>
      </c>
      <c r="AA359" s="23" t="s">
        <v>1367</v>
      </c>
      <c r="AB359" s="24" t="s">
        <v>1938</v>
      </c>
      <c r="AC359" s="25" t="s">
        <v>1367</v>
      </c>
    </row>
    <row r="360" spans="1:29" ht="15" x14ac:dyDescent="0.2">
      <c r="A360">
        <v>66903981</v>
      </c>
      <c r="B360">
        <v>359</v>
      </c>
      <c r="C360" s="26" t="s">
        <v>1351</v>
      </c>
      <c r="D360" t="s">
        <v>2159</v>
      </c>
      <c r="E360">
        <v>3052222722</v>
      </c>
      <c r="F360" t="s">
        <v>2160</v>
      </c>
      <c r="G360" s="20" t="s">
        <v>922</v>
      </c>
      <c r="H360" t="s">
        <v>1834</v>
      </c>
      <c r="I360" s="20" t="s">
        <v>1835</v>
      </c>
      <c r="J360" s="20" t="s">
        <v>76</v>
      </c>
      <c r="K360" s="20" t="s">
        <v>76</v>
      </c>
      <c r="L360" s="20" t="s">
        <v>72</v>
      </c>
      <c r="M360" s="20" t="s">
        <v>71</v>
      </c>
      <c r="N360" s="20" t="s">
        <v>72</v>
      </c>
      <c r="O360" s="20" t="s">
        <v>72</v>
      </c>
      <c r="P360" s="20" t="s">
        <v>72</v>
      </c>
      <c r="Q360" s="20" t="s">
        <v>72</v>
      </c>
      <c r="R360" s="20" t="s">
        <v>72</v>
      </c>
      <c r="S360" s="20" t="s">
        <v>72</v>
      </c>
      <c r="T360" s="20" t="s">
        <v>72</v>
      </c>
      <c r="U360" s="20" t="s">
        <v>72</v>
      </c>
      <c r="V360" s="20" t="s">
        <v>72</v>
      </c>
      <c r="W360" s="20" t="s">
        <v>72</v>
      </c>
      <c r="X360" s="20" t="s">
        <v>71</v>
      </c>
      <c r="Y360" s="20" t="s">
        <v>72</v>
      </c>
      <c r="Z360" s="20" t="s">
        <v>71</v>
      </c>
      <c r="AA360" s="23" t="s">
        <v>91</v>
      </c>
      <c r="AC360" s="25">
        <v>2</v>
      </c>
    </row>
    <row r="361" spans="1:29" ht="15" x14ac:dyDescent="0.2">
      <c r="A361">
        <v>1114731315</v>
      </c>
      <c r="B361">
        <v>360</v>
      </c>
      <c r="C361" s="26" t="s">
        <v>1351</v>
      </c>
      <c r="D361" t="s">
        <v>2161</v>
      </c>
      <c r="E361">
        <v>3178119624</v>
      </c>
      <c r="F361" t="s">
        <v>2162</v>
      </c>
      <c r="G361" s="20" t="s">
        <v>922</v>
      </c>
      <c r="H361" t="s">
        <v>1834</v>
      </c>
      <c r="I361" s="20" t="s">
        <v>1835</v>
      </c>
      <c r="J361" s="20" t="s">
        <v>76</v>
      </c>
      <c r="K361" s="20" t="s">
        <v>76</v>
      </c>
      <c r="L361" s="20" t="s">
        <v>71</v>
      </c>
      <c r="M361" s="20" t="s">
        <v>71</v>
      </c>
      <c r="N361" s="20" t="s">
        <v>71</v>
      </c>
      <c r="O361" s="20" t="s">
        <v>71</v>
      </c>
      <c r="P361" s="20" t="s">
        <v>71</v>
      </c>
      <c r="Q361" s="20" t="s">
        <v>71</v>
      </c>
      <c r="R361" s="20" t="s">
        <v>71</v>
      </c>
      <c r="S361" s="20" t="s">
        <v>71</v>
      </c>
      <c r="T361" s="20" t="s">
        <v>71</v>
      </c>
      <c r="U361" s="20" t="s">
        <v>72</v>
      </c>
      <c r="V361" s="20" t="s">
        <v>72</v>
      </c>
      <c r="W361" s="20" t="s">
        <v>72</v>
      </c>
      <c r="X361" s="20" t="s">
        <v>71</v>
      </c>
      <c r="Y361" s="20" t="s">
        <v>72</v>
      </c>
      <c r="Z361" s="20" t="s">
        <v>72</v>
      </c>
      <c r="AA361" s="23" t="s">
        <v>77</v>
      </c>
      <c r="AC361" s="25">
        <v>2</v>
      </c>
    </row>
    <row r="362" spans="1:29" ht="15" x14ac:dyDescent="0.2">
      <c r="A362">
        <v>25490780</v>
      </c>
      <c r="B362">
        <v>361</v>
      </c>
      <c r="C362" s="26" t="s">
        <v>1351</v>
      </c>
      <c r="D362" t="s">
        <v>2163</v>
      </c>
      <c r="E362">
        <v>3207050398</v>
      </c>
      <c r="F362" t="s">
        <v>2164</v>
      </c>
      <c r="G362" s="20" t="s">
        <v>922</v>
      </c>
      <c r="H362" t="s">
        <v>1834</v>
      </c>
      <c r="I362" s="20" t="s">
        <v>1835</v>
      </c>
      <c r="J362" s="20" t="s">
        <v>71</v>
      </c>
      <c r="K362" s="20" t="s">
        <v>71</v>
      </c>
      <c r="L362" s="20" t="s">
        <v>76</v>
      </c>
      <c r="M362" s="20" t="s">
        <v>71</v>
      </c>
      <c r="N362" s="20" t="s">
        <v>76</v>
      </c>
      <c r="O362" s="20" t="s">
        <v>71</v>
      </c>
      <c r="P362" s="20" t="s">
        <v>71</v>
      </c>
      <c r="Q362" s="20" t="s">
        <v>72</v>
      </c>
      <c r="R362" s="20" t="s">
        <v>72</v>
      </c>
      <c r="S362" s="20" t="s">
        <v>71</v>
      </c>
      <c r="T362" s="20" t="s">
        <v>72</v>
      </c>
      <c r="U362" s="20" t="s">
        <v>72</v>
      </c>
      <c r="V362" s="20" t="s">
        <v>72</v>
      </c>
      <c r="W362" s="20" t="s">
        <v>72</v>
      </c>
      <c r="X362" s="20" t="s">
        <v>71</v>
      </c>
      <c r="Y362" s="20" t="s">
        <v>72</v>
      </c>
      <c r="Z362" s="20" t="s">
        <v>71</v>
      </c>
      <c r="AA362" s="23" t="s">
        <v>80</v>
      </c>
      <c r="AB362" s="24" t="s">
        <v>2165</v>
      </c>
      <c r="AC362" s="25">
        <v>2</v>
      </c>
    </row>
    <row r="363" spans="1:29" ht="15" x14ac:dyDescent="0.2">
      <c r="A363">
        <v>66924354</v>
      </c>
      <c r="B363">
        <v>362</v>
      </c>
      <c r="C363" s="26" t="s">
        <v>1351</v>
      </c>
      <c r="D363" t="s">
        <v>2166</v>
      </c>
      <c r="E363">
        <v>3173110802</v>
      </c>
      <c r="F363" t="s">
        <v>2167</v>
      </c>
      <c r="G363" s="20" t="s">
        <v>922</v>
      </c>
      <c r="H363" t="s">
        <v>1834</v>
      </c>
      <c r="I363" s="20" t="s">
        <v>1835</v>
      </c>
      <c r="J363" s="20" t="s">
        <v>71</v>
      </c>
      <c r="K363" s="20" t="s">
        <v>71</v>
      </c>
      <c r="L363" s="20" t="s">
        <v>71</v>
      </c>
      <c r="M363" s="20" t="s">
        <v>71</v>
      </c>
      <c r="N363" s="20" t="s">
        <v>71</v>
      </c>
      <c r="O363" s="20" t="s">
        <v>72</v>
      </c>
      <c r="P363" s="20" t="s">
        <v>72</v>
      </c>
      <c r="Q363" s="20" t="s">
        <v>71</v>
      </c>
      <c r="R363" s="20" t="s">
        <v>72</v>
      </c>
      <c r="S363" s="20" t="s">
        <v>71</v>
      </c>
      <c r="T363" s="20" t="s">
        <v>72</v>
      </c>
      <c r="U363" s="20" t="s">
        <v>71</v>
      </c>
      <c r="V363" s="20" t="s">
        <v>72</v>
      </c>
      <c r="W363" s="20" t="s">
        <v>72</v>
      </c>
      <c r="X363" s="20" t="s">
        <v>71</v>
      </c>
      <c r="Y363" s="20" t="s">
        <v>71</v>
      </c>
      <c r="Z363" s="20" t="s">
        <v>71</v>
      </c>
      <c r="AA363" s="23" t="s">
        <v>80</v>
      </c>
      <c r="AC363" s="25">
        <v>2</v>
      </c>
    </row>
    <row r="364" spans="1:29" ht="15" x14ac:dyDescent="0.2">
      <c r="A364">
        <v>1005934818</v>
      </c>
      <c r="B364">
        <v>363</v>
      </c>
      <c r="C364" s="26" t="s">
        <v>1351</v>
      </c>
      <c r="D364" t="s">
        <v>1832</v>
      </c>
      <c r="E364">
        <v>3226110306</v>
      </c>
      <c r="F364" t="s">
        <v>2168</v>
      </c>
      <c r="G364" s="20" t="s">
        <v>922</v>
      </c>
      <c r="H364" t="s">
        <v>1834</v>
      </c>
      <c r="I364" s="20" t="s">
        <v>1835</v>
      </c>
      <c r="J364" s="20" t="s">
        <v>71</v>
      </c>
      <c r="K364" s="20" t="s">
        <v>71</v>
      </c>
      <c r="L364" s="20" t="s">
        <v>72</v>
      </c>
      <c r="M364" s="20" t="s">
        <v>71</v>
      </c>
      <c r="N364" s="20" t="s">
        <v>72</v>
      </c>
      <c r="O364" s="20" t="s">
        <v>72</v>
      </c>
      <c r="P364" s="20" t="s">
        <v>72</v>
      </c>
      <c r="Q364" s="20" t="s">
        <v>72</v>
      </c>
      <c r="R364" s="20" t="s">
        <v>72</v>
      </c>
      <c r="S364" s="20" t="s">
        <v>72</v>
      </c>
      <c r="T364" s="20" t="s">
        <v>72</v>
      </c>
      <c r="U364" s="20" t="s">
        <v>72</v>
      </c>
      <c r="V364" s="20" t="s">
        <v>72</v>
      </c>
      <c r="W364" s="20" t="s">
        <v>72</v>
      </c>
      <c r="X364" s="20" t="s">
        <v>72</v>
      </c>
      <c r="Y364" s="20" t="s">
        <v>72</v>
      </c>
      <c r="Z364" s="20" t="s">
        <v>72</v>
      </c>
      <c r="AA364" s="23" t="s">
        <v>80</v>
      </c>
      <c r="AC364" s="25">
        <v>2</v>
      </c>
    </row>
    <row r="365" spans="1:29" ht="15" x14ac:dyDescent="0.2">
      <c r="A365">
        <v>66981593</v>
      </c>
      <c r="B365">
        <v>364</v>
      </c>
      <c r="C365" s="26" t="s">
        <v>1351</v>
      </c>
      <c r="D365" t="s">
        <v>2169</v>
      </c>
      <c r="E365">
        <v>3217080193</v>
      </c>
      <c r="F365" t="s">
        <v>2170</v>
      </c>
      <c r="G365" s="20" t="s">
        <v>922</v>
      </c>
      <c r="H365" t="s">
        <v>1834</v>
      </c>
      <c r="I365" s="20" t="s">
        <v>1835</v>
      </c>
      <c r="AA365" s="23" t="s">
        <v>1367</v>
      </c>
      <c r="AB365" s="24" t="s">
        <v>1938</v>
      </c>
      <c r="AC365" s="25" t="s">
        <v>1367</v>
      </c>
    </row>
    <row r="366" spans="1:29" ht="15" x14ac:dyDescent="0.2">
      <c r="A366">
        <v>66972092</v>
      </c>
      <c r="B366">
        <v>365</v>
      </c>
      <c r="C366" s="26" t="s">
        <v>1351</v>
      </c>
      <c r="D366" t="s">
        <v>2171</v>
      </c>
      <c r="E366">
        <v>3137902356</v>
      </c>
      <c r="F366" t="s">
        <v>2172</v>
      </c>
      <c r="G366" s="20" t="s">
        <v>922</v>
      </c>
      <c r="H366" t="s">
        <v>1834</v>
      </c>
      <c r="I366" s="20" t="s">
        <v>1835</v>
      </c>
      <c r="J366" s="20" t="s">
        <v>71</v>
      </c>
      <c r="K366" s="20" t="s">
        <v>71</v>
      </c>
      <c r="L366" s="20" t="s">
        <v>71</v>
      </c>
      <c r="M366" s="20" t="s">
        <v>76</v>
      </c>
      <c r="N366" s="20" t="s">
        <v>71</v>
      </c>
      <c r="O366" s="20" t="s">
        <v>72</v>
      </c>
      <c r="P366" s="20" t="s">
        <v>72</v>
      </c>
      <c r="Q366" s="20" t="s">
        <v>71</v>
      </c>
      <c r="R366" s="20" t="s">
        <v>72</v>
      </c>
      <c r="S366" s="20" t="s">
        <v>71</v>
      </c>
      <c r="T366" s="20" t="s">
        <v>72</v>
      </c>
      <c r="U366" s="20" t="s">
        <v>72</v>
      </c>
      <c r="V366" s="20" t="s">
        <v>72</v>
      </c>
      <c r="W366" s="20" t="s">
        <v>72</v>
      </c>
      <c r="X366" s="20" t="s">
        <v>72</v>
      </c>
      <c r="Y366" s="20" t="s">
        <v>72</v>
      </c>
      <c r="Z366" s="20" t="s">
        <v>72</v>
      </c>
      <c r="AA366" s="23" t="s">
        <v>80</v>
      </c>
      <c r="AB366" s="24" t="s">
        <v>2173</v>
      </c>
      <c r="AC366" s="25">
        <v>2</v>
      </c>
    </row>
    <row r="367" spans="1:29" s="21" customFormat="1" ht="15" x14ac:dyDescent="0.2">
      <c r="A367" s="33">
        <v>16768103</v>
      </c>
      <c r="B367" s="33">
        <v>366</v>
      </c>
      <c r="C367" s="26" t="s">
        <v>1351</v>
      </c>
      <c r="D367" s="33" t="s">
        <v>2174</v>
      </c>
      <c r="E367" s="33">
        <v>3058353539</v>
      </c>
      <c r="F367" s="33" t="s">
        <v>2175</v>
      </c>
      <c r="G367" s="21" t="s">
        <v>922</v>
      </c>
      <c r="H367" s="33" t="s">
        <v>1834</v>
      </c>
      <c r="I367" s="21" t="s">
        <v>1835</v>
      </c>
      <c r="AA367" s="34" t="s">
        <v>1464</v>
      </c>
      <c r="AB367" s="29" t="s">
        <v>1464</v>
      </c>
      <c r="AC367" s="31" t="s">
        <v>1464</v>
      </c>
    </row>
    <row r="368" spans="1:29" ht="15" x14ac:dyDescent="0.2">
      <c r="A368">
        <v>67014248</v>
      </c>
      <c r="B368">
        <v>367</v>
      </c>
      <c r="C368" s="26" t="s">
        <v>1351</v>
      </c>
      <c r="D368" t="s">
        <v>2176</v>
      </c>
      <c r="E368">
        <v>3153875394</v>
      </c>
      <c r="F368" t="s">
        <v>2177</v>
      </c>
      <c r="G368" s="20" t="s">
        <v>922</v>
      </c>
      <c r="H368" t="s">
        <v>1834</v>
      </c>
      <c r="I368" s="20" t="s">
        <v>480</v>
      </c>
      <c r="AA368" s="23" t="s">
        <v>1367</v>
      </c>
      <c r="AB368" s="24" t="s">
        <v>2178</v>
      </c>
      <c r="AC368" s="25" t="s">
        <v>1367</v>
      </c>
    </row>
    <row r="369" spans="1:29" ht="15" x14ac:dyDescent="0.2">
      <c r="A369">
        <v>31304971</v>
      </c>
      <c r="B369">
        <v>368</v>
      </c>
      <c r="C369" s="26" t="s">
        <v>1351</v>
      </c>
      <c r="D369" t="s">
        <v>2179</v>
      </c>
      <c r="E369">
        <v>3207626688</v>
      </c>
      <c r="F369" t="s">
        <v>2180</v>
      </c>
      <c r="G369" s="20" t="s">
        <v>922</v>
      </c>
      <c r="H369" t="s">
        <v>1834</v>
      </c>
      <c r="I369" s="20" t="s">
        <v>1835</v>
      </c>
      <c r="AA369" s="23" t="s">
        <v>1367</v>
      </c>
      <c r="AB369" s="24" t="s">
        <v>2181</v>
      </c>
      <c r="AC369" s="25" t="s">
        <v>1367</v>
      </c>
    </row>
    <row r="370" spans="1:29" ht="15" x14ac:dyDescent="0.2">
      <c r="A370">
        <v>1130599678</v>
      </c>
      <c r="B370">
        <v>369</v>
      </c>
      <c r="C370" s="26" t="s">
        <v>1351</v>
      </c>
      <c r="D370" t="s">
        <v>2182</v>
      </c>
      <c r="E370">
        <v>3014793100</v>
      </c>
      <c r="F370" t="s">
        <v>2183</v>
      </c>
      <c r="G370" s="20" t="s">
        <v>922</v>
      </c>
      <c r="H370" t="s">
        <v>1834</v>
      </c>
      <c r="I370" s="20" t="s">
        <v>1835</v>
      </c>
      <c r="J370" s="20" t="s">
        <v>76</v>
      </c>
      <c r="K370" s="20" t="s">
        <v>76</v>
      </c>
      <c r="L370" s="20" t="s">
        <v>72</v>
      </c>
      <c r="M370" s="20" t="s">
        <v>71</v>
      </c>
      <c r="N370" s="20" t="s">
        <v>72</v>
      </c>
      <c r="O370" s="20" t="s">
        <v>72</v>
      </c>
      <c r="P370" s="20" t="s">
        <v>72</v>
      </c>
      <c r="Q370" s="20" t="s">
        <v>72</v>
      </c>
      <c r="R370" s="20" t="s">
        <v>72</v>
      </c>
      <c r="S370" s="20" t="s">
        <v>72</v>
      </c>
      <c r="T370" s="20" t="s">
        <v>72</v>
      </c>
      <c r="U370" s="20" t="s">
        <v>72</v>
      </c>
      <c r="V370" s="20" t="s">
        <v>72</v>
      </c>
      <c r="W370" s="20" t="s">
        <v>72</v>
      </c>
      <c r="X370" s="20" t="s">
        <v>72</v>
      </c>
      <c r="Y370" s="20" t="s">
        <v>72</v>
      </c>
      <c r="Z370" s="20" t="s">
        <v>72</v>
      </c>
      <c r="AA370" s="23" t="s">
        <v>91</v>
      </c>
      <c r="AC370" s="25">
        <v>1</v>
      </c>
    </row>
    <row r="371" spans="1:29" ht="15" x14ac:dyDescent="0.2">
      <c r="A371">
        <v>29534923</v>
      </c>
      <c r="B371">
        <v>370</v>
      </c>
      <c r="C371" s="26" t="s">
        <v>1351</v>
      </c>
      <c r="D371" t="s">
        <v>2184</v>
      </c>
      <c r="E371">
        <v>3127601185</v>
      </c>
      <c r="F371" t="s">
        <v>2185</v>
      </c>
      <c r="G371" s="20" t="s">
        <v>922</v>
      </c>
      <c r="H371" t="s">
        <v>1834</v>
      </c>
      <c r="I371" s="20" t="s">
        <v>1835</v>
      </c>
      <c r="J371" s="20" t="s">
        <v>76</v>
      </c>
      <c r="K371" s="20" t="s">
        <v>76</v>
      </c>
      <c r="L371" s="20" t="s">
        <v>72</v>
      </c>
      <c r="M371" s="20" t="s">
        <v>71</v>
      </c>
      <c r="N371" s="20" t="s">
        <v>72</v>
      </c>
      <c r="O371" s="20" t="s">
        <v>72</v>
      </c>
      <c r="P371" s="20" t="s">
        <v>72</v>
      </c>
      <c r="Q371" s="20" t="s">
        <v>72</v>
      </c>
      <c r="R371" s="20" t="s">
        <v>72</v>
      </c>
      <c r="S371" s="20" t="s">
        <v>72</v>
      </c>
      <c r="T371" s="20" t="s">
        <v>72</v>
      </c>
      <c r="U371" s="20" t="s">
        <v>72</v>
      </c>
      <c r="V371" s="20" t="s">
        <v>72</v>
      </c>
      <c r="W371" s="20" t="s">
        <v>72</v>
      </c>
      <c r="X371" s="20" t="s">
        <v>71</v>
      </c>
      <c r="Y371" s="20" t="s">
        <v>71</v>
      </c>
      <c r="Z371" s="20" t="s">
        <v>71</v>
      </c>
      <c r="AA371" s="23" t="s">
        <v>91</v>
      </c>
      <c r="AC371" s="25">
        <v>2</v>
      </c>
    </row>
    <row r="372" spans="1:29" ht="15" x14ac:dyDescent="0.2">
      <c r="A372">
        <v>67007953</v>
      </c>
      <c r="B372">
        <v>371</v>
      </c>
      <c r="C372" s="26" t="s">
        <v>1351</v>
      </c>
      <c r="D372" t="s">
        <v>2186</v>
      </c>
      <c r="E372">
        <v>3172685209</v>
      </c>
      <c r="F372" t="s">
        <v>2187</v>
      </c>
      <c r="G372" s="20" t="s">
        <v>922</v>
      </c>
      <c r="H372" t="s">
        <v>1834</v>
      </c>
      <c r="I372" s="20" t="s">
        <v>1835</v>
      </c>
      <c r="J372" s="20" t="s">
        <v>76</v>
      </c>
      <c r="K372" s="20" t="s">
        <v>76</v>
      </c>
      <c r="L372" s="20" t="s">
        <v>72</v>
      </c>
      <c r="M372" s="20" t="s">
        <v>71</v>
      </c>
      <c r="N372" s="20" t="s">
        <v>72</v>
      </c>
      <c r="O372" s="20" t="s">
        <v>72</v>
      </c>
      <c r="P372" s="20" t="s">
        <v>72</v>
      </c>
      <c r="Q372" s="20" t="s">
        <v>72</v>
      </c>
      <c r="R372" s="20" t="s">
        <v>72</v>
      </c>
      <c r="S372" s="20" t="s">
        <v>72</v>
      </c>
      <c r="T372" s="20" t="s">
        <v>72</v>
      </c>
      <c r="U372" s="20" t="s">
        <v>72</v>
      </c>
      <c r="V372" s="20" t="s">
        <v>72</v>
      </c>
      <c r="W372" s="20" t="s">
        <v>72</v>
      </c>
      <c r="X372" s="20" t="s">
        <v>72</v>
      </c>
      <c r="Y372" s="20" t="s">
        <v>72</v>
      </c>
      <c r="Z372" s="20" t="s">
        <v>72</v>
      </c>
      <c r="AA372" s="23" t="s">
        <v>91</v>
      </c>
      <c r="AC372" s="25">
        <v>1</v>
      </c>
    </row>
    <row r="373" spans="1:29" ht="15" x14ac:dyDescent="0.2">
      <c r="A373">
        <v>4698828</v>
      </c>
      <c r="B373">
        <v>372</v>
      </c>
      <c r="C373" s="26" t="s">
        <v>1351</v>
      </c>
      <c r="D373" t="s">
        <v>2188</v>
      </c>
      <c r="E373">
        <v>3215343219</v>
      </c>
      <c r="F373" t="s">
        <v>2189</v>
      </c>
      <c r="G373" s="20" t="s">
        <v>922</v>
      </c>
      <c r="H373" t="s">
        <v>1834</v>
      </c>
      <c r="I373" s="20" t="s">
        <v>1835</v>
      </c>
      <c r="J373" s="20" t="s">
        <v>76</v>
      </c>
      <c r="K373" s="20" t="s">
        <v>76</v>
      </c>
      <c r="L373" s="20" t="s">
        <v>72</v>
      </c>
      <c r="M373" s="20" t="s">
        <v>71</v>
      </c>
      <c r="N373" s="20" t="s">
        <v>72</v>
      </c>
      <c r="O373" s="20" t="s">
        <v>72</v>
      </c>
      <c r="P373" s="20" t="s">
        <v>72</v>
      </c>
      <c r="Q373" s="20" t="s">
        <v>72</v>
      </c>
      <c r="R373" s="20" t="s">
        <v>72</v>
      </c>
      <c r="S373" s="20" t="s">
        <v>72</v>
      </c>
      <c r="T373" s="20" t="s">
        <v>72</v>
      </c>
      <c r="U373" s="20" t="s">
        <v>72</v>
      </c>
      <c r="V373" s="20" t="s">
        <v>72</v>
      </c>
      <c r="W373" s="20" t="s">
        <v>72</v>
      </c>
      <c r="X373" s="20" t="s">
        <v>72</v>
      </c>
      <c r="Y373" s="20" t="s">
        <v>72</v>
      </c>
      <c r="Z373" s="20" t="s">
        <v>72</v>
      </c>
      <c r="AA373" s="23" t="s">
        <v>91</v>
      </c>
      <c r="AC373" s="25">
        <v>1</v>
      </c>
    </row>
    <row r="374" spans="1:29" ht="15" x14ac:dyDescent="0.2">
      <c r="A374">
        <v>14940320</v>
      </c>
      <c r="B374">
        <v>373</v>
      </c>
      <c r="C374" s="26" t="s">
        <v>1351</v>
      </c>
      <c r="D374" t="s">
        <v>2190</v>
      </c>
      <c r="E374"/>
      <c r="F374" t="s">
        <v>2191</v>
      </c>
      <c r="G374" s="20" t="s">
        <v>922</v>
      </c>
      <c r="H374" t="s">
        <v>1834</v>
      </c>
      <c r="I374" s="20" t="s">
        <v>1835</v>
      </c>
      <c r="AA374" s="23" t="s">
        <v>1367</v>
      </c>
      <c r="AB374" s="24" t="s">
        <v>2192</v>
      </c>
      <c r="AC374" s="25" t="s">
        <v>1367</v>
      </c>
    </row>
    <row r="375" spans="1:29" ht="15" x14ac:dyDescent="0.2">
      <c r="A375">
        <v>31400886</v>
      </c>
      <c r="B375">
        <v>374</v>
      </c>
      <c r="C375" s="26" t="s">
        <v>1351</v>
      </c>
      <c r="D375" t="s">
        <v>2193</v>
      </c>
      <c r="E375">
        <v>3165843718</v>
      </c>
      <c r="F375" t="s">
        <v>2194</v>
      </c>
      <c r="G375" s="20" t="s">
        <v>922</v>
      </c>
      <c r="H375" t="s">
        <v>1834</v>
      </c>
      <c r="I375" s="20" t="s">
        <v>1835</v>
      </c>
      <c r="J375" s="20" t="s">
        <v>71</v>
      </c>
      <c r="K375" s="20" t="s">
        <v>71</v>
      </c>
      <c r="L375" s="20" t="s">
        <v>72</v>
      </c>
      <c r="M375" s="20" t="s">
        <v>71</v>
      </c>
      <c r="N375" s="20" t="s">
        <v>72</v>
      </c>
      <c r="O375" s="20" t="s">
        <v>72</v>
      </c>
      <c r="P375" s="20" t="s">
        <v>72</v>
      </c>
      <c r="Q375" s="20" t="s">
        <v>72</v>
      </c>
      <c r="R375" s="20" t="s">
        <v>72</v>
      </c>
      <c r="S375" s="20" t="s">
        <v>72</v>
      </c>
      <c r="T375" s="20" t="s">
        <v>72</v>
      </c>
      <c r="U375" s="20" t="s">
        <v>72</v>
      </c>
      <c r="V375" s="20" t="s">
        <v>72</v>
      </c>
      <c r="W375" s="20" t="s">
        <v>72</v>
      </c>
      <c r="X375" s="20" t="s">
        <v>72</v>
      </c>
      <c r="Y375" s="20" t="s">
        <v>72</v>
      </c>
      <c r="Z375" s="20" t="s">
        <v>71</v>
      </c>
      <c r="AA375" s="23" t="s">
        <v>80</v>
      </c>
      <c r="AC375" s="25">
        <v>2</v>
      </c>
    </row>
    <row r="376" spans="1:29" ht="15" x14ac:dyDescent="0.2">
      <c r="A376">
        <v>31838102</v>
      </c>
      <c r="B376">
        <v>375</v>
      </c>
      <c r="C376" s="26" t="s">
        <v>1351</v>
      </c>
      <c r="D376" t="s">
        <v>2195</v>
      </c>
      <c r="E376">
        <v>3154557512</v>
      </c>
      <c r="F376" t="s">
        <v>2196</v>
      </c>
      <c r="G376" s="20" t="s">
        <v>922</v>
      </c>
      <c r="H376" t="s">
        <v>1834</v>
      </c>
      <c r="I376" s="20" t="s">
        <v>1835</v>
      </c>
      <c r="J376" s="20" t="s">
        <v>71</v>
      </c>
      <c r="K376" s="20" t="s">
        <v>71</v>
      </c>
      <c r="L376" s="20" t="s">
        <v>72</v>
      </c>
      <c r="M376" s="20" t="s">
        <v>71</v>
      </c>
      <c r="N376" s="20" t="s">
        <v>72</v>
      </c>
      <c r="O376" s="20" t="s">
        <v>72</v>
      </c>
      <c r="P376" s="20" t="s">
        <v>72</v>
      </c>
      <c r="Q376" s="20" t="s">
        <v>72</v>
      </c>
      <c r="R376" s="20" t="s">
        <v>72</v>
      </c>
      <c r="S376" s="20" t="s">
        <v>72</v>
      </c>
      <c r="T376" s="20" t="s">
        <v>72</v>
      </c>
      <c r="U376" s="20" t="s">
        <v>71</v>
      </c>
      <c r="V376" s="20" t="s">
        <v>71</v>
      </c>
      <c r="W376" s="20" t="s">
        <v>71</v>
      </c>
      <c r="X376" s="20" t="s">
        <v>71</v>
      </c>
      <c r="Y376" s="20" t="s">
        <v>71</v>
      </c>
      <c r="Z376" s="20" t="s">
        <v>71</v>
      </c>
      <c r="AA376" s="23" t="s">
        <v>256</v>
      </c>
      <c r="AC376" s="25">
        <v>1</v>
      </c>
    </row>
    <row r="377" spans="1:29" ht="15" x14ac:dyDescent="0.2">
      <c r="A377">
        <v>1130614058</v>
      </c>
      <c r="B377">
        <v>376</v>
      </c>
      <c r="C377" s="26" t="s">
        <v>1351</v>
      </c>
      <c r="D377" t="s">
        <v>2197</v>
      </c>
      <c r="E377">
        <v>3154512880</v>
      </c>
      <c r="F377" t="s">
        <v>2198</v>
      </c>
      <c r="G377" s="20" t="s">
        <v>922</v>
      </c>
      <c r="H377" t="s">
        <v>1834</v>
      </c>
      <c r="I377" s="20" t="s">
        <v>1835</v>
      </c>
      <c r="J377" s="20" t="s">
        <v>71</v>
      </c>
      <c r="K377" s="20" t="s">
        <v>71</v>
      </c>
      <c r="L377" s="20" t="s">
        <v>71</v>
      </c>
      <c r="M377" s="20" t="s">
        <v>71</v>
      </c>
      <c r="N377" s="20" t="s">
        <v>71</v>
      </c>
      <c r="O377" s="20" t="s">
        <v>72</v>
      </c>
      <c r="P377" s="20" t="s">
        <v>72</v>
      </c>
      <c r="Q377" s="20" t="s">
        <v>71</v>
      </c>
      <c r="R377" s="20" t="s">
        <v>72</v>
      </c>
      <c r="S377" s="20" t="s">
        <v>72</v>
      </c>
      <c r="T377" s="20" t="s">
        <v>72</v>
      </c>
      <c r="U377" s="20" t="s">
        <v>71</v>
      </c>
      <c r="V377" s="20" t="s">
        <v>71</v>
      </c>
      <c r="W377" s="20" t="s">
        <v>71</v>
      </c>
      <c r="X377" s="20" t="s">
        <v>71</v>
      </c>
      <c r="Y377" s="20" t="s">
        <v>76</v>
      </c>
      <c r="Z377" s="20" t="s">
        <v>76</v>
      </c>
      <c r="AA377" s="23" t="s">
        <v>80</v>
      </c>
      <c r="AB377" s="24" t="s">
        <v>2199</v>
      </c>
      <c r="AC377" s="25">
        <v>2</v>
      </c>
    </row>
    <row r="378" spans="1:29" ht="15" x14ac:dyDescent="0.2">
      <c r="A378">
        <v>31870926</v>
      </c>
      <c r="B378">
        <v>377</v>
      </c>
      <c r="C378" s="26" t="s">
        <v>1351</v>
      </c>
      <c r="D378" t="s">
        <v>2200</v>
      </c>
      <c r="E378">
        <v>3145885299</v>
      </c>
      <c r="F378" t="s">
        <v>2201</v>
      </c>
      <c r="G378" s="20" t="s">
        <v>922</v>
      </c>
      <c r="H378" t="s">
        <v>1834</v>
      </c>
      <c r="I378" s="20" t="s">
        <v>1835</v>
      </c>
      <c r="J378" s="20" t="s">
        <v>71</v>
      </c>
      <c r="K378" s="20" t="s">
        <v>71</v>
      </c>
      <c r="L378" s="20" t="s">
        <v>72</v>
      </c>
      <c r="M378" s="20" t="s">
        <v>71</v>
      </c>
      <c r="N378" s="20" t="s">
        <v>72</v>
      </c>
      <c r="O378" s="20" t="s">
        <v>72</v>
      </c>
      <c r="P378" s="20" t="s">
        <v>72</v>
      </c>
      <c r="Q378" s="20" t="s">
        <v>72</v>
      </c>
      <c r="R378" s="20" t="s">
        <v>72</v>
      </c>
      <c r="S378" s="20" t="s">
        <v>72</v>
      </c>
      <c r="T378" s="20" t="s">
        <v>72</v>
      </c>
      <c r="U378" s="20" t="s">
        <v>71</v>
      </c>
      <c r="V378" s="20" t="s">
        <v>71</v>
      </c>
      <c r="W378" s="20" t="s">
        <v>71</v>
      </c>
      <c r="X378" s="20" t="s">
        <v>71</v>
      </c>
      <c r="Y378" s="20" t="s">
        <v>71</v>
      </c>
      <c r="Z378" s="20" t="s">
        <v>71</v>
      </c>
      <c r="AA378" s="23" t="s">
        <v>256</v>
      </c>
      <c r="AC378" s="25">
        <v>3</v>
      </c>
    </row>
    <row r="379" spans="1:29" ht="15" x14ac:dyDescent="0.2">
      <c r="A379">
        <v>94534343</v>
      </c>
      <c r="B379">
        <v>378</v>
      </c>
      <c r="C379" s="26" t="s">
        <v>1351</v>
      </c>
      <c r="D379" t="s">
        <v>2202</v>
      </c>
      <c r="E379">
        <v>3107938497</v>
      </c>
      <c r="F379" t="s">
        <v>2203</v>
      </c>
      <c r="G379" s="20" t="s">
        <v>922</v>
      </c>
      <c r="H379" t="s">
        <v>1834</v>
      </c>
      <c r="I379" s="20" t="s">
        <v>1835</v>
      </c>
      <c r="AA379" s="23" t="s">
        <v>1367</v>
      </c>
      <c r="AB379" s="24" t="s">
        <v>2204</v>
      </c>
      <c r="AC379" s="25" t="s">
        <v>1367</v>
      </c>
    </row>
    <row r="380" spans="1:29" ht="15" x14ac:dyDescent="0.2">
      <c r="A380">
        <v>16698500</v>
      </c>
      <c r="B380">
        <v>379</v>
      </c>
      <c r="C380" s="26" t="s">
        <v>1351</v>
      </c>
      <c r="D380" t="s">
        <v>2205</v>
      </c>
      <c r="E380">
        <v>3137926869</v>
      </c>
      <c r="F380" t="s">
        <v>2206</v>
      </c>
      <c r="G380" s="20" t="s">
        <v>922</v>
      </c>
      <c r="H380" t="s">
        <v>1834</v>
      </c>
      <c r="I380" s="20" t="s">
        <v>1835</v>
      </c>
      <c r="J380" s="20" t="s">
        <v>71</v>
      </c>
      <c r="K380" s="20" t="s">
        <v>71</v>
      </c>
      <c r="L380" s="20" t="s">
        <v>72</v>
      </c>
      <c r="M380" s="20" t="s">
        <v>71</v>
      </c>
      <c r="N380" s="20" t="s">
        <v>72</v>
      </c>
      <c r="O380" s="20" t="s">
        <v>72</v>
      </c>
      <c r="P380" s="20" t="s">
        <v>72</v>
      </c>
      <c r="Q380" s="20" t="s">
        <v>72</v>
      </c>
      <c r="R380" s="20" t="s">
        <v>72</v>
      </c>
      <c r="S380" s="20" t="s">
        <v>72</v>
      </c>
      <c r="T380" s="20" t="s">
        <v>72</v>
      </c>
      <c r="U380" s="20" t="s">
        <v>72</v>
      </c>
      <c r="V380" s="20" t="s">
        <v>72</v>
      </c>
      <c r="W380" s="20" t="s">
        <v>72</v>
      </c>
      <c r="X380" s="20" t="s">
        <v>72</v>
      </c>
      <c r="Y380" s="20" t="s">
        <v>72</v>
      </c>
      <c r="Z380" s="20" t="s">
        <v>72</v>
      </c>
      <c r="AA380" s="23" t="s">
        <v>80</v>
      </c>
      <c r="AC380" s="25">
        <v>1</v>
      </c>
    </row>
    <row r="381" spans="1:29" ht="15" x14ac:dyDescent="0.2">
      <c r="A381">
        <v>16281450</v>
      </c>
      <c r="B381">
        <v>380</v>
      </c>
      <c r="C381" s="26" t="s">
        <v>1351</v>
      </c>
      <c r="D381" t="s">
        <v>2207</v>
      </c>
      <c r="E381">
        <v>3168376880</v>
      </c>
      <c r="F381" t="s">
        <v>2208</v>
      </c>
      <c r="G381" s="20" t="s">
        <v>922</v>
      </c>
      <c r="H381" t="s">
        <v>1834</v>
      </c>
      <c r="I381" s="20" t="s">
        <v>1835</v>
      </c>
      <c r="J381" s="20" t="s">
        <v>71</v>
      </c>
      <c r="K381" s="20" t="s">
        <v>71</v>
      </c>
      <c r="L381" s="20" t="s">
        <v>72</v>
      </c>
      <c r="M381" s="20" t="s">
        <v>71</v>
      </c>
      <c r="N381" s="20" t="s">
        <v>72</v>
      </c>
      <c r="O381" s="20" t="s">
        <v>72</v>
      </c>
      <c r="P381" s="20" t="s">
        <v>72</v>
      </c>
      <c r="Q381" s="20" t="s">
        <v>72</v>
      </c>
      <c r="R381" s="20" t="s">
        <v>72</v>
      </c>
      <c r="S381" s="20" t="s">
        <v>72</v>
      </c>
      <c r="T381" s="20" t="s">
        <v>72</v>
      </c>
      <c r="U381" s="20" t="s">
        <v>71</v>
      </c>
      <c r="V381" s="20" t="s">
        <v>71</v>
      </c>
      <c r="W381" s="20" t="s">
        <v>71</v>
      </c>
      <c r="X381" s="20" t="s">
        <v>71</v>
      </c>
      <c r="Y381" s="20" t="s">
        <v>71</v>
      </c>
      <c r="Z381" s="20" t="s">
        <v>71</v>
      </c>
      <c r="AA381" s="23" t="s">
        <v>256</v>
      </c>
      <c r="AC381" s="25">
        <v>3</v>
      </c>
    </row>
    <row r="382" spans="1:29" ht="15" x14ac:dyDescent="0.2">
      <c r="A382">
        <v>31264907</v>
      </c>
      <c r="B382">
        <v>381</v>
      </c>
      <c r="C382" s="26" t="s">
        <v>1351</v>
      </c>
      <c r="D382" t="s">
        <v>2209</v>
      </c>
      <c r="E382">
        <v>3172694483</v>
      </c>
      <c r="F382" t="s">
        <v>2210</v>
      </c>
      <c r="G382" s="20" t="s">
        <v>922</v>
      </c>
      <c r="H382" t="s">
        <v>1834</v>
      </c>
      <c r="I382" s="20" t="s">
        <v>1835</v>
      </c>
      <c r="J382" s="20" t="s">
        <v>76</v>
      </c>
      <c r="K382" s="20" t="s">
        <v>76</v>
      </c>
      <c r="L382" s="20" t="s">
        <v>72</v>
      </c>
      <c r="M382" s="20" t="s">
        <v>71</v>
      </c>
      <c r="N382" s="20" t="s">
        <v>72</v>
      </c>
      <c r="O382" s="20" t="s">
        <v>72</v>
      </c>
      <c r="P382" s="20" t="s">
        <v>72</v>
      </c>
      <c r="Q382" s="20" t="s">
        <v>72</v>
      </c>
      <c r="R382" s="20" t="s">
        <v>72</v>
      </c>
      <c r="S382" s="20" t="s">
        <v>72</v>
      </c>
      <c r="T382" s="20" t="s">
        <v>72</v>
      </c>
      <c r="U382" s="20" t="s">
        <v>72</v>
      </c>
      <c r="V382" s="20" t="s">
        <v>72</v>
      </c>
      <c r="W382" s="20" t="s">
        <v>72</v>
      </c>
      <c r="X382" s="20" t="s">
        <v>72</v>
      </c>
      <c r="Y382" s="20" t="s">
        <v>72</v>
      </c>
      <c r="Z382" s="20" t="s">
        <v>72</v>
      </c>
      <c r="AA382" s="23" t="s">
        <v>91</v>
      </c>
      <c r="AB382" s="24" t="s">
        <v>2211</v>
      </c>
      <c r="AC382" s="25">
        <v>2</v>
      </c>
    </row>
    <row r="383" spans="1:29" ht="15" x14ac:dyDescent="0.2">
      <c r="A383">
        <v>1143838084</v>
      </c>
      <c r="B383">
        <v>382</v>
      </c>
      <c r="C383" s="26" t="s">
        <v>1351</v>
      </c>
      <c r="D383" t="s">
        <v>2212</v>
      </c>
      <c r="E383">
        <v>3188113619</v>
      </c>
      <c r="F383" t="s">
        <v>2213</v>
      </c>
      <c r="G383" s="20" t="s">
        <v>922</v>
      </c>
      <c r="H383" t="s">
        <v>1834</v>
      </c>
      <c r="I383" s="20" t="s">
        <v>1835</v>
      </c>
      <c r="J383" s="20" t="s">
        <v>76</v>
      </c>
      <c r="K383" s="20" t="s">
        <v>76</v>
      </c>
      <c r="L383" s="20" t="s">
        <v>71</v>
      </c>
      <c r="M383" s="20" t="s">
        <v>71</v>
      </c>
      <c r="N383" s="20" t="s">
        <v>71</v>
      </c>
      <c r="O383" s="20" t="s">
        <v>71</v>
      </c>
      <c r="P383" s="20" t="s">
        <v>71</v>
      </c>
      <c r="Q383" s="20" t="s">
        <v>71</v>
      </c>
      <c r="R383" s="20" t="s">
        <v>71</v>
      </c>
      <c r="S383" s="20" t="s">
        <v>71</v>
      </c>
      <c r="T383" s="20" t="s">
        <v>71</v>
      </c>
      <c r="U383" s="20" t="s">
        <v>72</v>
      </c>
      <c r="V383" s="20" t="s">
        <v>72</v>
      </c>
      <c r="W383" s="20" t="s">
        <v>72</v>
      </c>
      <c r="X383" s="20" t="s">
        <v>72</v>
      </c>
      <c r="Y383" s="20" t="s">
        <v>72</v>
      </c>
      <c r="Z383" s="20" t="s">
        <v>72</v>
      </c>
      <c r="AA383" s="23" t="s">
        <v>77</v>
      </c>
      <c r="AB383" s="24" t="s">
        <v>2211</v>
      </c>
      <c r="AC383" s="25">
        <v>2</v>
      </c>
    </row>
    <row r="384" spans="1:29" ht="15" x14ac:dyDescent="0.2">
      <c r="A384">
        <v>1522015</v>
      </c>
      <c r="B384">
        <v>383</v>
      </c>
      <c r="C384" s="26" t="s">
        <v>1351</v>
      </c>
      <c r="D384" t="s">
        <v>2214</v>
      </c>
      <c r="E384">
        <v>3113632864</v>
      </c>
      <c r="F384" t="s">
        <v>2215</v>
      </c>
      <c r="G384" s="20" t="s">
        <v>922</v>
      </c>
      <c r="H384" t="s">
        <v>1834</v>
      </c>
      <c r="I384" s="20" t="s">
        <v>1835</v>
      </c>
      <c r="J384" s="20" t="s">
        <v>76</v>
      </c>
      <c r="K384" s="20" t="s">
        <v>76</v>
      </c>
      <c r="L384" s="20" t="s">
        <v>72</v>
      </c>
      <c r="M384" s="20" t="s">
        <v>71</v>
      </c>
      <c r="N384" s="20" t="s">
        <v>72</v>
      </c>
      <c r="O384" s="20" t="s">
        <v>72</v>
      </c>
      <c r="P384" s="20" t="s">
        <v>72</v>
      </c>
      <c r="Q384" s="20" t="s">
        <v>72</v>
      </c>
      <c r="R384" s="20" t="s">
        <v>72</v>
      </c>
      <c r="S384" s="20" t="s">
        <v>72</v>
      </c>
      <c r="T384" s="20" t="s">
        <v>72</v>
      </c>
      <c r="U384" s="20" t="s">
        <v>72</v>
      </c>
      <c r="V384" s="20" t="s">
        <v>72</v>
      </c>
      <c r="W384" s="20" t="s">
        <v>72</v>
      </c>
      <c r="X384" s="20" t="s">
        <v>72</v>
      </c>
      <c r="Y384" s="20" t="s">
        <v>72</v>
      </c>
      <c r="Z384" s="20" t="s">
        <v>72</v>
      </c>
      <c r="AA384" s="23" t="s">
        <v>91</v>
      </c>
      <c r="AC384" s="25">
        <v>1</v>
      </c>
    </row>
    <row r="385" spans="1:29" ht="15" x14ac:dyDescent="0.2">
      <c r="A385">
        <v>38980483</v>
      </c>
      <c r="B385">
        <v>384</v>
      </c>
      <c r="C385" s="26" t="s">
        <v>1351</v>
      </c>
      <c r="D385" t="s">
        <v>2216</v>
      </c>
      <c r="E385">
        <v>3188211895</v>
      </c>
      <c r="F385" t="s">
        <v>2217</v>
      </c>
      <c r="G385" s="20" t="s">
        <v>922</v>
      </c>
      <c r="H385" t="s">
        <v>1834</v>
      </c>
      <c r="I385" s="20" t="s">
        <v>1835</v>
      </c>
      <c r="AA385" s="23" t="s">
        <v>1367</v>
      </c>
      <c r="AB385" s="24" t="s">
        <v>2204</v>
      </c>
      <c r="AC385" s="25" t="s">
        <v>1367</v>
      </c>
    </row>
    <row r="386" spans="1:29" ht="15" x14ac:dyDescent="0.2">
      <c r="A386">
        <v>38641010</v>
      </c>
      <c r="B386">
        <v>385</v>
      </c>
      <c r="C386" s="26" t="s">
        <v>1351</v>
      </c>
      <c r="D386" t="s">
        <v>2218</v>
      </c>
      <c r="E386">
        <v>3163130987</v>
      </c>
      <c r="F386" t="s">
        <v>2219</v>
      </c>
      <c r="G386" s="20" t="s">
        <v>922</v>
      </c>
      <c r="H386" t="s">
        <v>1834</v>
      </c>
      <c r="I386" s="20" t="s">
        <v>1835</v>
      </c>
      <c r="J386" s="20" t="s">
        <v>71</v>
      </c>
      <c r="K386" s="20" t="s">
        <v>71</v>
      </c>
      <c r="L386" s="20" t="s">
        <v>72</v>
      </c>
      <c r="M386" s="20" t="s">
        <v>71</v>
      </c>
      <c r="N386" s="20" t="s">
        <v>72</v>
      </c>
      <c r="O386" s="20" t="s">
        <v>72</v>
      </c>
      <c r="P386" s="20" t="s">
        <v>72</v>
      </c>
      <c r="Q386" s="20" t="s">
        <v>72</v>
      </c>
      <c r="R386" s="20" t="s">
        <v>72</v>
      </c>
      <c r="S386" s="20" t="s">
        <v>72</v>
      </c>
      <c r="T386" s="20" t="s">
        <v>72</v>
      </c>
      <c r="U386" s="20" t="s">
        <v>71</v>
      </c>
      <c r="V386" s="20" t="s">
        <v>76</v>
      </c>
      <c r="W386" s="20" t="s">
        <v>76</v>
      </c>
      <c r="X386" s="20" t="s">
        <v>72</v>
      </c>
      <c r="Y386" s="20" t="s">
        <v>76</v>
      </c>
      <c r="Z386" s="20" t="s">
        <v>72</v>
      </c>
      <c r="AA386" s="23" t="s">
        <v>80</v>
      </c>
      <c r="AB386" s="24" t="s">
        <v>2211</v>
      </c>
      <c r="AC386" s="25">
        <v>2</v>
      </c>
    </row>
    <row r="387" spans="1:29" ht="15" x14ac:dyDescent="0.2">
      <c r="A387">
        <v>67009210</v>
      </c>
      <c r="B387">
        <v>386</v>
      </c>
      <c r="C387" s="26" t="s">
        <v>1351</v>
      </c>
      <c r="D387" t="s">
        <v>2067</v>
      </c>
      <c r="E387">
        <v>3177518713</v>
      </c>
      <c r="F387" t="s">
        <v>2220</v>
      </c>
      <c r="G387" s="20" t="s">
        <v>922</v>
      </c>
      <c r="H387" t="s">
        <v>1834</v>
      </c>
      <c r="I387" s="20" t="s">
        <v>1835</v>
      </c>
      <c r="J387" s="20" t="s">
        <v>76</v>
      </c>
      <c r="K387" s="20" t="s">
        <v>76</v>
      </c>
      <c r="L387" s="20" t="s">
        <v>72</v>
      </c>
      <c r="M387" s="20" t="s">
        <v>71</v>
      </c>
      <c r="N387" s="20" t="s">
        <v>72</v>
      </c>
      <c r="O387" s="20" t="s">
        <v>72</v>
      </c>
      <c r="P387" s="20" t="s">
        <v>72</v>
      </c>
      <c r="Q387" s="20" t="s">
        <v>72</v>
      </c>
      <c r="R387" s="20" t="s">
        <v>72</v>
      </c>
      <c r="S387" s="20" t="s">
        <v>72</v>
      </c>
      <c r="T387" s="20" t="s">
        <v>72</v>
      </c>
      <c r="U387" s="20" t="s">
        <v>72</v>
      </c>
      <c r="V387" s="20" t="s">
        <v>72</v>
      </c>
      <c r="W387" s="20" t="s">
        <v>72</v>
      </c>
      <c r="X387" s="20" t="s">
        <v>71</v>
      </c>
      <c r="Y387" s="20" t="s">
        <v>76</v>
      </c>
      <c r="Z387" s="20" t="s">
        <v>71</v>
      </c>
      <c r="AA387" s="23" t="s">
        <v>91</v>
      </c>
      <c r="AC387" s="25">
        <v>2</v>
      </c>
    </row>
    <row r="388" spans="1:29" ht="15" x14ac:dyDescent="0.2">
      <c r="A388">
        <v>38667116</v>
      </c>
      <c r="B388">
        <v>387</v>
      </c>
      <c r="C388" s="26" t="s">
        <v>1351</v>
      </c>
      <c r="D388" t="s">
        <v>2221</v>
      </c>
      <c r="E388">
        <v>3136537165</v>
      </c>
      <c r="F388" t="s">
        <v>2222</v>
      </c>
      <c r="G388" s="20" t="s">
        <v>922</v>
      </c>
      <c r="H388" t="s">
        <v>1834</v>
      </c>
      <c r="I388" s="20" t="s">
        <v>1835</v>
      </c>
      <c r="J388" s="20" t="s">
        <v>71</v>
      </c>
      <c r="K388" s="20" t="s">
        <v>71</v>
      </c>
      <c r="L388" s="20" t="s">
        <v>72</v>
      </c>
      <c r="M388" s="20" t="s">
        <v>71</v>
      </c>
      <c r="N388" s="20" t="s">
        <v>71</v>
      </c>
      <c r="O388" s="20" t="s">
        <v>71</v>
      </c>
      <c r="P388" s="20" t="s">
        <v>71</v>
      </c>
      <c r="Q388" s="20" t="s">
        <v>72</v>
      </c>
      <c r="R388" s="20" t="s">
        <v>72</v>
      </c>
      <c r="S388" s="20" t="s">
        <v>72</v>
      </c>
      <c r="T388" s="20" t="s">
        <v>72</v>
      </c>
      <c r="U388" s="20" t="s">
        <v>72</v>
      </c>
      <c r="V388" s="20" t="s">
        <v>72</v>
      </c>
      <c r="W388" s="20" t="s">
        <v>72</v>
      </c>
      <c r="X388" s="20" t="s">
        <v>72</v>
      </c>
      <c r="Y388" s="20" t="s">
        <v>72</v>
      </c>
      <c r="Z388" s="20" t="s">
        <v>72</v>
      </c>
      <c r="AA388" s="23" t="s">
        <v>80</v>
      </c>
      <c r="AC388" s="25">
        <v>2</v>
      </c>
    </row>
    <row r="389" spans="1:29" ht="15" x14ac:dyDescent="0.2">
      <c r="A389">
        <v>29377098</v>
      </c>
      <c r="B389">
        <v>388</v>
      </c>
      <c r="C389" s="26" t="s">
        <v>1351</v>
      </c>
      <c r="D389" t="s">
        <v>2223</v>
      </c>
      <c r="E389">
        <v>3156345107</v>
      </c>
      <c r="F389" t="s">
        <v>2224</v>
      </c>
      <c r="G389" s="20" t="s">
        <v>922</v>
      </c>
      <c r="H389" t="s">
        <v>1834</v>
      </c>
      <c r="I389" s="20" t="s">
        <v>1835</v>
      </c>
      <c r="J389" s="20" t="s">
        <v>71</v>
      </c>
      <c r="K389" s="20" t="s">
        <v>71</v>
      </c>
      <c r="L389" s="20" t="s">
        <v>72</v>
      </c>
      <c r="M389" s="20" t="s">
        <v>71</v>
      </c>
      <c r="N389" s="20" t="s">
        <v>72</v>
      </c>
      <c r="O389" s="20" t="s">
        <v>72</v>
      </c>
      <c r="P389" s="20" t="s">
        <v>72</v>
      </c>
      <c r="Q389" s="20" t="s">
        <v>72</v>
      </c>
      <c r="R389" s="20" t="s">
        <v>72</v>
      </c>
      <c r="S389" s="20" t="s">
        <v>72</v>
      </c>
      <c r="T389" s="20" t="s">
        <v>72</v>
      </c>
      <c r="U389" s="20" t="s">
        <v>72</v>
      </c>
      <c r="V389" s="20" t="s">
        <v>72</v>
      </c>
      <c r="W389" s="20" t="s">
        <v>72</v>
      </c>
      <c r="X389" s="20" t="s">
        <v>71</v>
      </c>
      <c r="Y389" s="20" t="s">
        <v>72</v>
      </c>
      <c r="Z389" s="20" t="s">
        <v>72</v>
      </c>
      <c r="AA389" s="23" t="s">
        <v>80</v>
      </c>
      <c r="AC389" s="25">
        <v>1</v>
      </c>
    </row>
    <row r="390" spans="1:29" ht="15" x14ac:dyDescent="0.2">
      <c r="A390">
        <v>16582114</v>
      </c>
      <c r="B390">
        <v>389</v>
      </c>
      <c r="C390" s="26" t="s">
        <v>1351</v>
      </c>
      <c r="D390" t="s">
        <v>2225</v>
      </c>
      <c r="E390">
        <v>3174617184</v>
      </c>
      <c r="F390" t="s">
        <v>2226</v>
      </c>
      <c r="G390" s="20" t="s">
        <v>922</v>
      </c>
      <c r="H390" t="s">
        <v>1834</v>
      </c>
      <c r="I390" s="20" t="s">
        <v>1835</v>
      </c>
      <c r="J390" s="20" t="s">
        <v>71</v>
      </c>
      <c r="K390" s="20" t="s">
        <v>71</v>
      </c>
      <c r="L390" s="20" t="s">
        <v>72</v>
      </c>
      <c r="M390" s="20" t="s">
        <v>71</v>
      </c>
      <c r="N390" s="20" t="s">
        <v>72</v>
      </c>
      <c r="O390" s="20" t="s">
        <v>72</v>
      </c>
      <c r="P390" s="20" t="s">
        <v>72</v>
      </c>
      <c r="Q390" s="20" t="s">
        <v>72</v>
      </c>
      <c r="R390" s="20" t="s">
        <v>72</v>
      </c>
      <c r="S390" s="20" t="s">
        <v>72</v>
      </c>
      <c r="T390" s="20" t="s">
        <v>72</v>
      </c>
      <c r="U390" s="20" t="s">
        <v>71</v>
      </c>
      <c r="V390" s="20" t="s">
        <v>71</v>
      </c>
      <c r="W390" s="20" t="s">
        <v>71</v>
      </c>
      <c r="X390" s="20" t="s">
        <v>71</v>
      </c>
      <c r="Y390" s="20" t="s">
        <v>71</v>
      </c>
      <c r="Z390" s="20" t="s">
        <v>71</v>
      </c>
      <c r="AA390" s="23" t="s">
        <v>256</v>
      </c>
      <c r="AC390" s="25">
        <v>3</v>
      </c>
    </row>
    <row r="391" spans="1:29" s="22" customFormat="1" ht="15" x14ac:dyDescent="0.2">
      <c r="A391" s="35">
        <v>38669358</v>
      </c>
      <c r="B391" s="35">
        <v>390</v>
      </c>
      <c r="C391" s="26" t="s">
        <v>1351</v>
      </c>
      <c r="D391" s="35" t="s">
        <v>2227</v>
      </c>
      <c r="E391" s="35">
        <v>3178195378</v>
      </c>
      <c r="F391" s="35" t="s">
        <v>2228</v>
      </c>
      <c r="G391" s="22" t="s">
        <v>922</v>
      </c>
      <c r="H391" s="35" t="s">
        <v>1834</v>
      </c>
      <c r="I391" s="22" t="s">
        <v>1835</v>
      </c>
      <c r="J391" s="20" t="s">
        <v>72</v>
      </c>
      <c r="K391" s="20" t="s">
        <v>72</v>
      </c>
      <c r="L391" s="20" t="s">
        <v>72</v>
      </c>
      <c r="M391" s="20" t="s">
        <v>72</v>
      </c>
      <c r="N391" s="20" t="s">
        <v>72</v>
      </c>
      <c r="O391" s="20" t="s">
        <v>72</v>
      </c>
      <c r="P391" s="20" t="s">
        <v>72</v>
      </c>
      <c r="Q391" s="20" t="s">
        <v>72</v>
      </c>
      <c r="R391" s="20" t="s">
        <v>72</v>
      </c>
      <c r="S391" s="20" t="s">
        <v>72</v>
      </c>
      <c r="T391" s="20" t="s">
        <v>72</v>
      </c>
      <c r="U391" s="20" t="s">
        <v>72</v>
      </c>
      <c r="V391" s="20" t="s">
        <v>72</v>
      </c>
      <c r="W391" s="20" t="s">
        <v>72</v>
      </c>
      <c r="X391" s="20" t="s">
        <v>72</v>
      </c>
      <c r="Y391" s="20" t="s">
        <v>72</v>
      </c>
      <c r="Z391" s="20" t="s">
        <v>72</v>
      </c>
      <c r="AA391" s="36" t="s">
        <v>91</v>
      </c>
      <c r="AB391" s="37"/>
      <c r="AC391" s="38">
        <v>1</v>
      </c>
    </row>
    <row r="392" spans="1:29" ht="15" x14ac:dyDescent="0.2">
      <c r="A392">
        <v>1143841673</v>
      </c>
      <c r="B392">
        <v>391</v>
      </c>
      <c r="C392" s="26" t="s">
        <v>1351</v>
      </c>
      <c r="D392" t="s">
        <v>2229</v>
      </c>
      <c r="E392">
        <v>3157724695</v>
      </c>
      <c r="F392" t="s">
        <v>2230</v>
      </c>
      <c r="G392" s="20" t="s">
        <v>922</v>
      </c>
      <c r="H392" t="s">
        <v>1834</v>
      </c>
      <c r="I392" s="20" t="s">
        <v>1835</v>
      </c>
      <c r="AA392" s="23" t="s">
        <v>1367</v>
      </c>
      <c r="AB392" s="24" t="s">
        <v>2231</v>
      </c>
      <c r="AC392" s="25" t="s">
        <v>1367</v>
      </c>
    </row>
    <row r="393" spans="1:29" ht="15" x14ac:dyDescent="0.2">
      <c r="A393">
        <v>31916260</v>
      </c>
      <c r="B393">
        <v>392</v>
      </c>
      <c r="C393" s="26" t="s">
        <v>1351</v>
      </c>
      <c r="D393" t="s">
        <v>2232</v>
      </c>
      <c r="E393"/>
      <c r="F393" t="s">
        <v>2233</v>
      </c>
      <c r="G393" s="20" t="s">
        <v>922</v>
      </c>
      <c r="H393" t="s">
        <v>1834</v>
      </c>
      <c r="I393" s="20" t="s">
        <v>1835</v>
      </c>
      <c r="J393" s="20" t="s">
        <v>76</v>
      </c>
      <c r="K393" s="20" t="s">
        <v>76</v>
      </c>
      <c r="L393" s="20" t="s">
        <v>72</v>
      </c>
      <c r="M393" s="20" t="s">
        <v>71</v>
      </c>
      <c r="N393" s="20" t="s">
        <v>72</v>
      </c>
      <c r="O393" s="20" t="s">
        <v>72</v>
      </c>
      <c r="P393" s="20" t="s">
        <v>72</v>
      </c>
      <c r="Q393" s="20" t="s">
        <v>72</v>
      </c>
      <c r="R393" s="20" t="s">
        <v>72</v>
      </c>
      <c r="S393" s="20" t="s">
        <v>72</v>
      </c>
      <c r="T393" s="20" t="s">
        <v>72</v>
      </c>
      <c r="U393" s="20" t="s">
        <v>71</v>
      </c>
      <c r="V393" s="20" t="s">
        <v>71</v>
      </c>
      <c r="W393" s="20" t="s">
        <v>71</v>
      </c>
      <c r="X393" s="20" t="s">
        <v>71</v>
      </c>
      <c r="Y393" s="20" t="s">
        <v>71</v>
      </c>
      <c r="Z393" s="20" t="s">
        <v>71</v>
      </c>
      <c r="AA393" s="23" t="s">
        <v>85</v>
      </c>
      <c r="AC393" s="25">
        <v>2</v>
      </c>
    </row>
    <row r="394" spans="1:29" ht="15" x14ac:dyDescent="0.2">
      <c r="A394">
        <v>31248209</v>
      </c>
      <c r="B394">
        <v>393</v>
      </c>
      <c r="C394" s="26" t="s">
        <v>1351</v>
      </c>
      <c r="D394" t="s">
        <v>2234</v>
      </c>
      <c r="E394">
        <v>3153158343</v>
      </c>
      <c r="F394" t="s">
        <v>2235</v>
      </c>
      <c r="G394" s="20" t="s">
        <v>922</v>
      </c>
      <c r="H394" t="s">
        <v>1834</v>
      </c>
      <c r="I394" s="20" t="s">
        <v>1835</v>
      </c>
      <c r="J394" s="20" t="s">
        <v>71</v>
      </c>
      <c r="K394" s="20" t="s">
        <v>72</v>
      </c>
      <c r="L394" s="20" t="s">
        <v>72</v>
      </c>
      <c r="M394" s="20" t="s">
        <v>71</v>
      </c>
      <c r="N394" s="20" t="s">
        <v>72</v>
      </c>
      <c r="O394" s="20" t="s">
        <v>72</v>
      </c>
      <c r="P394" s="20" t="s">
        <v>72</v>
      </c>
      <c r="Q394" s="20" t="s">
        <v>72</v>
      </c>
      <c r="R394" s="20" t="s">
        <v>72</v>
      </c>
      <c r="S394" s="20" t="s">
        <v>72</v>
      </c>
      <c r="T394" s="20" t="s">
        <v>72</v>
      </c>
      <c r="U394" s="20" t="s">
        <v>72</v>
      </c>
      <c r="V394" s="20" t="s">
        <v>72</v>
      </c>
      <c r="W394" s="20" t="s">
        <v>72</v>
      </c>
      <c r="X394" s="20" t="s">
        <v>72</v>
      </c>
      <c r="Y394" s="20" t="s">
        <v>72</v>
      </c>
      <c r="Z394" s="20" t="s">
        <v>71</v>
      </c>
      <c r="AA394" s="23" t="s">
        <v>91</v>
      </c>
      <c r="AC394" s="25">
        <v>1</v>
      </c>
    </row>
    <row r="395" spans="1:29" ht="15" x14ac:dyDescent="0.2">
      <c r="A395">
        <v>66953260</v>
      </c>
      <c r="B395">
        <v>394</v>
      </c>
      <c r="C395" s="26" t="s">
        <v>1351</v>
      </c>
      <c r="D395" t="s">
        <v>2236</v>
      </c>
      <c r="E395">
        <v>3153596545</v>
      </c>
      <c r="F395" t="s">
        <v>2237</v>
      </c>
      <c r="G395" s="20" t="s">
        <v>922</v>
      </c>
      <c r="H395" t="s">
        <v>1834</v>
      </c>
      <c r="I395" s="20" t="s">
        <v>1835</v>
      </c>
      <c r="J395" s="20" t="s">
        <v>76</v>
      </c>
      <c r="K395" s="20" t="s">
        <v>76</v>
      </c>
      <c r="L395" s="20" t="s">
        <v>72</v>
      </c>
      <c r="M395" s="20" t="s">
        <v>71</v>
      </c>
      <c r="N395" s="20" t="s">
        <v>72</v>
      </c>
      <c r="O395" s="20" t="s">
        <v>72</v>
      </c>
      <c r="P395" s="20" t="s">
        <v>72</v>
      </c>
      <c r="Q395" s="20" t="s">
        <v>72</v>
      </c>
      <c r="R395" s="20" t="s">
        <v>72</v>
      </c>
      <c r="S395" s="20" t="s">
        <v>72</v>
      </c>
      <c r="T395" s="20" t="s">
        <v>72</v>
      </c>
      <c r="U395" s="20" t="s">
        <v>71</v>
      </c>
      <c r="V395" s="20" t="s">
        <v>71</v>
      </c>
      <c r="W395" s="20" t="s">
        <v>71</v>
      </c>
      <c r="X395" s="20" t="s">
        <v>71</v>
      </c>
      <c r="Y395" s="20" t="s">
        <v>71</v>
      </c>
      <c r="Z395" s="20" t="s">
        <v>71</v>
      </c>
      <c r="AA395" s="23" t="s">
        <v>85</v>
      </c>
      <c r="AC395" s="25">
        <v>2</v>
      </c>
    </row>
    <row r="396" spans="1:29" ht="15" x14ac:dyDescent="0.2">
      <c r="A396">
        <v>24117503</v>
      </c>
      <c r="B396">
        <v>395</v>
      </c>
      <c r="C396" s="26" t="s">
        <v>1351</v>
      </c>
      <c r="D396" t="s">
        <v>2238</v>
      </c>
      <c r="E396">
        <v>3182509572</v>
      </c>
      <c r="F396" t="s">
        <v>2239</v>
      </c>
      <c r="G396" s="20" t="s">
        <v>922</v>
      </c>
      <c r="H396" t="s">
        <v>1834</v>
      </c>
      <c r="I396" s="20" t="s">
        <v>1835</v>
      </c>
      <c r="J396" s="20" t="s">
        <v>76</v>
      </c>
      <c r="K396" s="20" t="s">
        <v>76</v>
      </c>
      <c r="L396" s="20" t="s">
        <v>71</v>
      </c>
      <c r="M396" s="20" t="s">
        <v>71</v>
      </c>
      <c r="N396" s="20" t="s">
        <v>71</v>
      </c>
      <c r="O396" s="20" t="s">
        <v>71</v>
      </c>
      <c r="P396" s="20" t="s">
        <v>71</v>
      </c>
      <c r="Q396" s="20" t="s">
        <v>71</v>
      </c>
      <c r="R396" s="20" t="s">
        <v>71</v>
      </c>
      <c r="S396" s="20" t="s">
        <v>71</v>
      </c>
      <c r="T396" s="20" t="s">
        <v>71</v>
      </c>
      <c r="U396" s="20" t="s">
        <v>71</v>
      </c>
      <c r="V396" s="20" t="s">
        <v>71</v>
      </c>
      <c r="W396" s="20" t="s">
        <v>71</v>
      </c>
      <c r="X396" s="20" t="s">
        <v>71</v>
      </c>
      <c r="Y396" s="20" t="s">
        <v>71</v>
      </c>
      <c r="Z396" s="20" t="s">
        <v>71</v>
      </c>
      <c r="AA396" s="23" t="s">
        <v>73</v>
      </c>
      <c r="AC396" s="25">
        <v>3</v>
      </c>
    </row>
    <row r="397" spans="1:29" ht="15" x14ac:dyDescent="0.2">
      <c r="A397">
        <v>1107077651</v>
      </c>
      <c r="B397">
        <v>396</v>
      </c>
      <c r="C397" s="26" t="s">
        <v>1351</v>
      </c>
      <c r="D397" t="s">
        <v>2240</v>
      </c>
      <c r="E397">
        <v>3028081456</v>
      </c>
      <c r="F397" t="s">
        <v>2241</v>
      </c>
      <c r="G397" s="20" t="s">
        <v>922</v>
      </c>
      <c r="H397" t="s">
        <v>1834</v>
      </c>
      <c r="I397" s="20" t="s">
        <v>1835</v>
      </c>
      <c r="AA397" s="23" t="s">
        <v>1367</v>
      </c>
      <c r="AB397" s="24" t="s">
        <v>2242</v>
      </c>
      <c r="AC397" s="25" t="s">
        <v>1367</v>
      </c>
    </row>
    <row r="398" spans="1:29" ht="15" x14ac:dyDescent="0.2">
      <c r="A398">
        <v>1143853293</v>
      </c>
      <c r="B398">
        <v>397</v>
      </c>
      <c r="C398" s="26" t="s">
        <v>1351</v>
      </c>
      <c r="D398" t="s">
        <v>2243</v>
      </c>
      <c r="E398">
        <v>3161675208</v>
      </c>
      <c r="F398" t="s">
        <v>2244</v>
      </c>
      <c r="G398" s="20" t="s">
        <v>922</v>
      </c>
      <c r="H398" t="s">
        <v>1834</v>
      </c>
      <c r="I398" s="20" t="s">
        <v>1835</v>
      </c>
      <c r="J398" s="20" t="s">
        <v>71</v>
      </c>
      <c r="K398" s="20" t="s">
        <v>71</v>
      </c>
      <c r="L398" s="20" t="s">
        <v>72</v>
      </c>
      <c r="M398" s="20" t="s">
        <v>71</v>
      </c>
      <c r="N398" s="20" t="s">
        <v>72</v>
      </c>
      <c r="O398" s="20" t="s">
        <v>72</v>
      </c>
      <c r="P398" s="20" t="s">
        <v>72</v>
      </c>
      <c r="Q398" s="20" t="s">
        <v>72</v>
      </c>
      <c r="R398" s="20" t="s">
        <v>72</v>
      </c>
      <c r="S398" s="20" t="s">
        <v>72</v>
      </c>
      <c r="T398" s="20" t="s">
        <v>72</v>
      </c>
      <c r="U398" s="20" t="s">
        <v>72</v>
      </c>
      <c r="V398" s="20" t="s">
        <v>72</v>
      </c>
      <c r="W398" s="20" t="s">
        <v>72</v>
      </c>
      <c r="X398" s="20" t="s">
        <v>72</v>
      </c>
      <c r="Y398" s="20" t="s">
        <v>72</v>
      </c>
      <c r="Z398" s="20" t="s">
        <v>72</v>
      </c>
      <c r="AA398" s="23" t="s">
        <v>80</v>
      </c>
      <c r="AB398" s="24" t="s">
        <v>2211</v>
      </c>
      <c r="AC398" s="25">
        <v>2</v>
      </c>
    </row>
    <row r="399" spans="1:29" ht="15" x14ac:dyDescent="0.2">
      <c r="A399">
        <v>94403143</v>
      </c>
      <c r="B399">
        <v>398</v>
      </c>
      <c r="C399" s="26" t="s">
        <v>1351</v>
      </c>
      <c r="D399" t="s">
        <v>2245</v>
      </c>
      <c r="E399">
        <v>3168159341</v>
      </c>
      <c r="F399" t="s">
        <v>2246</v>
      </c>
      <c r="G399" s="20" t="s">
        <v>922</v>
      </c>
      <c r="H399" t="s">
        <v>1834</v>
      </c>
      <c r="I399" s="20" t="s">
        <v>1835</v>
      </c>
      <c r="J399" s="20" t="s">
        <v>71</v>
      </c>
      <c r="K399" s="20" t="s">
        <v>71</v>
      </c>
      <c r="L399" s="20" t="s">
        <v>72</v>
      </c>
      <c r="M399" s="20" t="s">
        <v>76</v>
      </c>
      <c r="N399" s="20" t="s">
        <v>72</v>
      </c>
      <c r="O399" s="20" t="s">
        <v>72</v>
      </c>
      <c r="P399" s="20" t="s">
        <v>72</v>
      </c>
      <c r="Q399" s="20" t="s">
        <v>72</v>
      </c>
      <c r="R399" s="20" t="s">
        <v>72</v>
      </c>
      <c r="S399" s="20" t="s">
        <v>72</v>
      </c>
      <c r="T399" s="20" t="s">
        <v>72</v>
      </c>
      <c r="U399" s="20" t="s">
        <v>72</v>
      </c>
      <c r="V399" s="20" t="s">
        <v>72</v>
      </c>
      <c r="W399" s="20" t="s">
        <v>72</v>
      </c>
      <c r="X399" s="20" t="s">
        <v>72</v>
      </c>
      <c r="Y399" s="20" t="s">
        <v>72</v>
      </c>
      <c r="Z399" s="20" t="s">
        <v>72</v>
      </c>
      <c r="AA399" s="23" t="s">
        <v>80</v>
      </c>
      <c r="AC399" s="25">
        <v>2</v>
      </c>
    </row>
    <row r="400" spans="1:29" ht="15" x14ac:dyDescent="0.2">
      <c r="A400">
        <v>14947608</v>
      </c>
      <c r="B400">
        <v>399</v>
      </c>
      <c r="C400" s="26" t="s">
        <v>1351</v>
      </c>
      <c r="D400" t="s">
        <v>2247</v>
      </c>
      <c r="E400">
        <v>3217601294</v>
      </c>
      <c r="F400" t="s">
        <v>2248</v>
      </c>
      <c r="G400" s="20" t="s">
        <v>922</v>
      </c>
      <c r="H400" t="s">
        <v>1834</v>
      </c>
      <c r="I400" s="20" t="s">
        <v>1835</v>
      </c>
      <c r="J400" s="20" t="s">
        <v>76</v>
      </c>
      <c r="K400" s="20" t="s">
        <v>76</v>
      </c>
      <c r="L400" s="20" t="s">
        <v>72</v>
      </c>
      <c r="M400" s="20" t="s">
        <v>71</v>
      </c>
      <c r="N400" s="20" t="s">
        <v>72</v>
      </c>
      <c r="O400" s="20" t="s">
        <v>72</v>
      </c>
      <c r="P400" s="20" t="s">
        <v>72</v>
      </c>
      <c r="Q400" s="20" t="s">
        <v>72</v>
      </c>
      <c r="R400" s="20" t="s">
        <v>72</v>
      </c>
      <c r="S400" s="20" t="s">
        <v>72</v>
      </c>
      <c r="T400" s="20" t="s">
        <v>72</v>
      </c>
      <c r="U400" s="20" t="s">
        <v>72</v>
      </c>
      <c r="V400" s="20" t="s">
        <v>72</v>
      </c>
      <c r="W400" s="20" t="s">
        <v>72</v>
      </c>
      <c r="X400" s="20" t="s">
        <v>72</v>
      </c>
      <c r="Y400" s="20" t="s">
        <v>72</v>
      </c>
      <c r="Z400" s="20" t="s">
        <v>72</v>
      </c>
      <c r="AA400" s="23" t="s">
        <v>91</v>
      </c>
      <c r="AC400" s="25">
        <v>1</v>
      </c>
    </row>
    <row r="401" spans="1:29" ht="15" x14ac:dyDescent="0.2">
      <c r="A401">
        <v>94501681</v>
      </c>
      <c r="B401">
        <v>400</v>
      </c>
      <c r="C401" s="26" t="s">
        <v>1351</v>
      </c>
      <c r="D401" t="s">
        <v>2249</v>
      </c>
      <c r="E401">
        <v>3157863202</v>
      </c>
      <c r="F401" t="s">
        <v>2250</v>
      </c>
      <c r="G401" s="20" t="s">
        <v>922</v>
      </c>
      <c r="H401" t="s">
        <v>1834</v>
      </c>
      <c r="I401" s="20" t="s">
        <v>1835</v>
      </c>
      <c r="AA401" s="23" t="s">
        <v>1367</v>
      </c>
      <c r="AB401" s="24" t="s">
        <v>2251</v>
      </c>
      <c r="AC401" s="25" t="s">
        <v>1367</v>
      </c>
    </row>
    <row r="402" spans="1:29" ht="15" hidden="1" x14ac:dyDescent="0.2">
      <c r="A402">
        <v>71603638</v>
      </c>
      <c r="B402">
        <v>401</v>
      </c>
      <c r="C402" s="26" t="s">
        <v>1351</v>
      </c>
      <c r="D402" t="s">
        <v>2252</v>
      </c>
      <c r="E402">
        <v>6045233111</v>
      </c>
      <c r="F402" t="s">
        <v>2253</v>
      </c>
      <c r="G402" s="20" t="s">
        <v>2254</v>
      </c>
      <c r="H402" t="s">
        <v>2255</v>
      </c>
      <c r="I402" s="20" t="s">
        <v>2256</v>
      </c>
      <c r="J402" s="20" t="s">
        <v>71</v>
      </c>
      <c r="K402" s="20" t="s">
        <v>71</v>
      </c>
      <c r="L402" s="20" t="s">
        <v>72</v>
      </c>
      <c r="M402" s="20" t="s">
        <v>71</v>
      </c>
      <c r="N402" s="20" t="s">
        <v>72</v>
      </c>
      <c r="O402" s="20" t="s">
        <v>72</v>
      </c>
      <c r="P402" s="20" t="s">
        <v>72</v>
      </c>
      <c r="Q402" s="20" t="s">
        <v>72</v>
      </c>
      <c r="R402" s="20" t="s">
        <v>72</v>
      </c>
      <c r="S402" s="20" t="s">
        <v>72</v>
      </c>
      <c r="T402" s="20" t="s">
        <v>72</v>
      </c>
      <c r="U402" s="20" t="s">
        <v>71</v>
      </c>
      <c r="V402" s="20" t="s">
        <v>71</v>
      </c>
      <c r="W402" s="20" t="s">
        <v>71</v>
      </c>
      <c r="X402" s="20" t="s">
        <v>71</v>
      </c>
      <c r="Y402" s="20" t="s">
        <v>71</v>
      </c>
      <c r="Z402" s="20" t="s">
        <v>71</v>
      </c>
      <c r="AA402" s="23" t="s">
        <v>256</v>
      </c>
      <c r="AC402" s="27">
        <v>2</v>
      </c>
    </row>
    <row r="403" spans="1:29" ht="15" hidden="1" x14ac:dyDescent="0.2">
      <c r="A403">
        <v>43500072</v>
      </c>
      <c r="B403">
        <v>402</v>
      </c>
      <c r="C403" s="26" t="s">
        <v>1351</v>
      </c>
      <c r="D403" t="s">
        <v>2257</v>
      </c>
      <c r="E403">
        <v>3148920194</v>
      </c>
      <c r="F403" t="s">
        <v>2258</v>
      </c>
      <c r="G403" s="20" t="s">
        <v>2254</v>
      </c>
      <c r="H403" t="s">
        <v>2255</v>
      </c>
      <c r="I403" s="20" t="s">
        <v>2259</v>
      </c>
      <c r="AA403" s="23" t="s">
        <v>1367</v>
      </c>
      <c r="AB403" s="24" t="s">
        <v>2260</v>
      </c>
      <c r="AC403" s="25" t="s">
        <v>1367</v>
      </c>
    </row>
    <row r="404" spans="1:29" ht="15" hidden="1" x14ac:dyDescent="0.2">
      <c r="A404">
        <v>43913057</v>
      </c>
      <c r="B404">
        <v>403</v>
      </c>
      <c r="C404" s="26" t="s">
        <v>1351</v>
      </c>
      <c r="D404" t="s">
        <v>2261</v>
      </c>
      <c r="E404">
        <v>0.3136861292</v>
      </c>
      <c r="F404" t="s">
        <v>2262</v>
      </c>
      <c r="G404" s="20" t="s">
        <v>2254</v>
      </c>
      <c r="H404" t="s">
        <v>2255</v>
      </c>
      <c r="I404" s="20" t="s">
        <v>2259</v>
      </c>
      <c r="J404" s="20" t="s">
        <v>71</v>
      </c>
      <c r="K404" s="20" t="s">
        <v>71</v>
      </c>
      <c r="L404" s="20" t="s">
        <v>72</v>
      </c>
      <c r="M404" s="20" t="s">
        <v>71</v>
      </c>
      <c r="N404" s="20" t="s">
        <v>72</v>
      </c>
      <c r="O404" s="20" t="s">
        <v>72</v>
      </c>
      <c r="P404" s="20" t="s">
        <v>72</v>
      </c>
      <c r="Q404" s="20" t="s">
        <v>72</v>
      </c>
      <c r="R404" s="20" t="s">
        <v>72</v>
      </c>
      <c r="S404" s="20" t="s">
        <v>72</v>
      </c>
      <c r="T404" s="20" t="s">
        <v>72</v>
      </c>
      <c r="U404" s="20" t="s">
        <v>72</v>
      </c>
      <c r="V404" s="20" t="s">
        <v>72</v>
      </c>
      <c r="W404" s="20" t="s">
        <v>72</v>
      </c>
      <c r="X404" s="20" t="s">
        <v>71</v>
      </c>
      <c r="Y404" s="20" t="s">
        <v>72</v>
      </c>
      <c r="Z404" s="20" t="s">
        <v>72</v>
      </c>
      <c r="AA404" s="23" t="s">
        <v>80</v>
      </c>
      <c r="AC404" s="27">
        <v>2</v>
      </c>
    </row>
    <row r="405" spans="1:29" ht="15" hidden="1" x14ac:dyDescent="0.2">
      <c r="A405">
        <v>43066481</v>
      </c>
      <c r="B405">
        <v>404</v>
      </c>
      <c r="C405" s="26" t="s">
        <v>1351</v>
      </c>
      <c r="D405" t="s">
        <v>2263</v>
      </c>
      <c r="E405">
        <v>6044587997</v>
      </c>
      <c r="F405" t="s">
        <v>2264</v>
      </c>
      <c r="G405" s="20" t="s">
        <v>2254</v>
      </c>
      <c r="H405" t="s">
        <v>2255</v>
      </c>
      <c r="I405" s="20" t="s">
        <v>2259</v>
      </c>
      <c r="J405" s="20" t="s">
        <v>72</v>
      </c>
      <c r="K405" s="20" t="s">
        <v>72</v>
      </c>
      <c r="L405" s="20" t="s">
        <v>72</v>
      </c>
      <c r="M405" s="20" t="s">
        <v>71</v>
      </c>
      <c r="N405" s="20" t="s">
        <v>72</v>
      </c>
      <c r="O405" s="20" t="s">
        <v>72</v>
      </c>
      <c r="P405" s="20" t="s">
        <v>72</v>
      </c>
      <c r="Q405" s="20" t="s">
        <v>72</v>
      </c>
      <c r="R405" s="20" t="s">
        <v>72</v>
      </c>
      <c r="S405" s="20" t="s">
        <v>72</v>
      </c>
      <c r="T405" s="20" t="s">
        <v>72</v>
      </c>
      <c r="U405" s="20" t="s">
        <v>72</v>
      </c>
      <c r="V405" s="20" t="s">
        <v>72</v>
      </c>
      <c r="W405" s="20" t="s">
        <v>72</v>
      </c>
      <c r="X405" s="20" t="s">
        <v>72</v>
      </c>
      <c r="Y405" s="20" t="s">
        <v>72</v>
      </c>
      <c r="Z405" s="20" t="s">
        <v>72</v>
      </c>
      <c r="AA405" s="23" t="s">
        <v>91</v>
      </c>
      <c r="AC405" s="27">
        <v>1</v>
      </c>
    </row>
    <row r="406" spans="1:29" ht="15" hidden="1" x14ac:dyDescent="0.2">
      <c r="A406">
        <v>1128437441</v>
      </c>
      <c r="B406">
        <v>405</v>
      </c>
      <c r="C406" s="26" t="s">
        <v>1351</v>
      </c>
      <c r="D406" t="s">
        <v>2265</v>
      </c>
      <c r="E406">
        <v>3014445400</v>
      </c>
      <c r="F406" t="s">
        <v>2266</v>
      </c>
      <c r="G406" s="20" t="s">
        <v>2254</v>
      </c>
      <c r="H406" t="s">
        <v>2255</v>
      </c>
      <c r="I406" s="20" t="s">
        <v>2259</v>
      </c>
      <c r="J406" s="20" t="s">
        <v>72</v>
      </c>
      <c r="K406" s="20" t="s">
        <v>72</v>
      </c>
      <c r="L406" s="20" t="s">
        <v>72</v>
      </c>
      <c r="M406" s="20" t="s">
        <v>71</v>
      </c>
      <c r="N406" s="20" t="s">
        <v>72</v>
      </c>
      <c r="O406" s="20" t="s">
        <v>72</v>
      </c>
      <c r="P406" s="20" t="s">
        <v>72</v>
      </c>
      <c r="Q406" s="20" t="s">
        <v>72</v>
      </c>
      <c r="R406" s="20" t="s">
        <v>72</v>
      </c>
      <c r="S406" s="20" t="s">
        <v>72</v>
      </c>
      <c r="T406" s="20" t="s">
        <v>72</v>
      </c>
      <c r="U406" s="20" t="s">
        <v>72</v>
      </c>
      <c r="V406" s="20" t="s">
        <v>72</v>
      </c>
      <c r="W406" s="20" t="s">
        <v>72</v>
      </c>
      <c r="X406" s="20" t="s">
        <v>72</v>
      </c>
      <c r="Y406" s="20" t="s">
        <v>72</v>
      </c>
      <c r="Z406" s="20" t="s">
        <v>72</v>
      </c>
      <c r="AA406" s="23" t="s">
        <v>91</v>
      </c>
      <c r="AC406" s="27">
        <v>1</v>
      </c>
    </row>
    <row r="407" spans="1:29" ht="15" hidden="1" x14ac:dyDescent="0.2">
      <c r="A407">
        <v>8299054</v>
      </c>
      <c r="B407">
        <v>406</v>
      </c>
      <c r="C407" s="26" t="s">
        <v>1351</v>
      </c>
      <c r="D407" t="s">
        <v>2267</v>
      </c>
      <c r="E407">
        <v>3215179160</v>
      </c>
      <c r="F407" t="s">
        <v>2268</v>
      </c>
      <c r="G407" s="20" t="s">
        <v>2254</v>
      </c>
      <c r="H407" t="s">
        <v>2255</v>
      </c>
      <c r="I407" s="20" t="s">
        <v>2256</v>
      </c>
      <c r="J407" s="20" t="s">
        <v>72</v>
      </c>
      <c r="K407" s="20" t="s">
        <v>72</v>
      </c>
      <c r="L407" s="20" t="s">
        <v>72</v>
      </c>
      <c r="M407" s="20" t="s">
        <v>71</v>
      </c>
      <c r="N407" s="20" t="s">
        <v>72</v>
      </c>
      <c r="O407" s="20" t="s">
        <v>72</v>
      </c>
      <c r="P407" s="20" t="s">
        <v>72</v>
      </c>
      <c r="Q407" s="20" t="s">
        <v>72</v>
      </c>
      <c r="R407" s="20" t="s">
        <v>72</v>
      </c>
      <c r="S407" s="20" t="s">
        <v>72</v>
      </c>
      <c r="T407" s="20" t="s">
        <v>72</v>
      </c>
      <c r="U407" s="20" t="s">
        <v>72</v>
      </c>
      <c r="V407" s="20" t="s">
        <v>72</v>
      </c>
      <c r="W407" s="20" t="s">
        <v>72</v>
      </c>
      <c r="X407" s="20" t="s">
        <v>72</v>
      </c>
      <c r="Y407" s="20" t="s">
        <v>72</v>
      </c>
      <c r="Z407" s="20" t="s">
        <v>72</v>
      </c>
      <c r="AA407" s="23" t="s">
        <v>91</v>
      </c>
      <c r="AC407" s="27">
        <v>1</v>
      </c>
    </row>
    <row r="408" spans="1:29" ht="15" hidden="1" x14ac:dyDescent="0.2">
      <c r="A408">
        <v>9142652</v>
      </c>
      <c r="B408">
        <v>407</v>
      </c>
      <c r="C408" s="26" t="s">
        <v>1351</v>
      </c>
      <c r="D408" t="s">
        <v>1936</v>
      </c>
      <c r="E408">
        <v>3104205773</v>
      </c>
      <c r="F408" t="s">
        <v>2269</v>
      </c>
      <c r="G408" s="20" t="s">
        <v>2254</v>
      </c>
      <c r="H408" t="s">
        <v>2255</v>
      </c>
      <c r="I408" s="20" t="s">
        <v>2259</v>
      </c>
      <c r="J408" s="20" t="s">
        <v>72</v>
      </c>
      <c r="K408" s="20" t="s">
        <v>72</v>
      </c>
      <c r="L408" s="20" t="s">
        <v>72</v>
      </c>
      <c r="M408" s="20" t="s">
        <v>71</v>
      </c>
      <c r="N408" s="20" t="s">
        <v>72</v>
      </c>
      <c r="O408" s="20" t="s">
        <v>72</v>
      </c>
      <c r="P408" s="20" t="s">
        <v>72</v>
      </c>
      <c r="Q408" s="20" t="s">
        <v>72</v>
      </c>
      <c r="R408" s="20" t="s">
        <v>72</v>
      </c>
      <c r="S408" s="20" t="s">
        <v>72</v>
      </c>
      <c r="T408" s="20" t="s">
        <v>72</v>
      </c>
      <c r="U408" s="20" t="s">
        <v>72</v>
      </c>
      <c r="V408" s="20" t="s">
        <v>72</v>
      </c>
      <c r="W408" s="20" t="s">
        <v>72</v>
      </c>
      <c r="X408" s="20" t="s">
        <v>72</v>
      </c>
      <c r="Y408" s="20" t="s">
        <v>72</v>
      </c>
      <c r="Z408" s="20" t="s">
        <v>72</v>
      </c>
      <c r="AA408" s="23" t="s">
        <v>91</v>
      </c>
      <c r="AC408" s="27">
        <v>1</v>
      </c>
    </row>
    <row r="409" spans="1:29" ht="15" hidden="1" x14ac:dyDescent="0.2">
      <c r="A409">
        <v>43565594</v>
      </c>
      <c r="B409">
        <v>408</v>
      </c>
      <c r="C409" s="26" t="s">
        <v>1351</v>
      </c>
      <c r="D409" t="s">
        <v>1676</v>
      </c>
      <c r="E409">
        <v>3103935473</v>
      </c>
      <c r="F409" t="s">
        <v>2270</v>
      </c>
      <c r="G409" s="20" t="s">
        <v>2254</v>
      </c>
      <c r="H409" t="s">
        <v>2255</v>
      </c>
      <c r="I409" s="20" t="s">
        <v>2256</v>
      </c>
      <c r="J409" s="20" t="s">
        <v>72</v>
      </c>
      <c r="K409" s="20" t="s">
        <v>72</v>
      </c>
      <c r="L409" s="20" t="s">
        <v>72</v>
      </c>
      <c r="M409" s="20" t="s">
        <v>71</v>
      </c>
      <c r="N409" s="20" t="s">
        <v>72</v>
      </c>
      <c r="O409" s="20" t="s">
        <v>72</v>
      </c>
      <c r="P409" s="20" t="s">
        <v>72</v>
      </c>
      <c r="Q409" s="20" t="s">
        <v>72</v>
      </c>
      <c r="R409" s="20" t="s">
        <v>72</v>
      </c>
      <c r="S409" s="20" t="s">
        <v>72</v>
      </c>
      <c r="T409" s="20" t="s">
        <v>72</v>
      </c>
      <c r="U409" s="20" t="s">
        <v>72</v>
      </c>
      <c r="V409" s="20" t="s">
        <v>72</v>
      </c>
      <c r="W409" s="20" t="s">
        <v>72</v>
      </c>
      <c r="X409" s="20" t="s">
        <v>72</v>
      </c>
      <c r="Y409" s="20" t="s">
        <v>72</v>
      </c>
      <c r="Z409" s="20" t="s">
        <v>72</v>
      </c>
      <c r="AA409" s="23" t="s">
        <v>91</v>
      </c>
      <c r="AC409" s="27">
        <v>1</v>
      </c>
    </row>
    <row r="410" spans="1:29" ht="15" hidden="1" x14ac:dyDescent="0.2">
      <c r="A410">
        <v>21977805</v>
      </c>
      <c r="B410">
        <v>409</v>
      </c>
      <c r="C410" s="26" t="s">
        <v>1351</v>
      </c>
      <c r="D410" t="s">
        <v>2271</v>
      </c>
      <c r="E410">
        <v>3104977259</v>
      </c>
      <c r="F410" t="s">
        <v>2272</v>
      </c>
      <c r="G410" s="20" t="s">
        <v>2254</v>
      </c>
      <c r="H410" t="s">
        <v>2255</v>
      </c>
      <c r="I410" s="20" t="s">
        <v>2259</v>
      </c>
      <c r="J410" s="20" t="s">
        <v>72</v>
      </c>
      <c r="K410" s="20" t="s">
        <v>72</v>
      </c>
      <c r="L410" s="20" t="s">
        <v>76</v>
      </c>
      <c r="M410" s="20" t="s">
        <v>71</v>
      </c>
      <c r="N410" s="20" t="s">
        <v>72</v>
      </c>
      <c r="O410" s="20" t="s">
        <v>72</v>
      </c>
      <c r="P410" s="20" t="s">
        <v>72</v>
      </c>
      <c r="Q410" s="20" t="s">
        <v>72</v>
      </c>
      <c r="R410" s="20" t="s">
        <v>72</v>
      </c>
      <c r="S410" s="20" t="s">
        <v>72</v>
      </c>
      <c r="T410" s="20" t="s">
        <v>72</v>
      </c>
      <c r="U410" s="20" t="s">
        <v>71</v>
      </c>
      <c r="V410" s="20" t="s">
        <v>71</v>
      </c>
      <c r="W410" s="20" t="s">
        <v>71</v>
      </c>
      <c r="X410" s="20" t="s">
        <v>71</v>
      </c>
      <c r="Y410" s="20" t="s">
        <v>71</v>
      </c>
      <c r="Z410" s="20" t="s">
        <v>71</v>
      </c>
      <c r="AA410" s="23" t="s">
        <v>85</v>
      </c>
      <c r="AC410" s="27">
        <v>2</v>
      </c>
    </row>
    <row r="411" spans="1:29" ht="15" hidden="1" x14ac:dyDescent="0.2">
      <c r="A411">
        <v>32452654</v>
      </c>
      <c r="B411">
        <v>410</v>
      </c>
      <c r="C411" s="26" t="s">
        <v>1351</v>
      </c>
      <c r="D411" t="s">
        <v>2273</v>
      </c>
      <c r="E411">
        <v>3227329867</v>
      </c>
      <c r="F411" t="s">
        <v>2274</v>
      </c>
      <c r="G411" s="20" t="s">
        <v>2254</v>
      </c>
      <c r="H411" t="s">
        <v>2255</v>
      </c>
      <c r="I411" s="20" t="s">
        <v>2259</v>
      </c>
      <c r="J411" s="20" t="s">
        <v>76</v>
      </c>
      <c r="K411" s="20" t="s">
        <v>76</v>
      </c>
      <c r="L411" s="20" t="s">
        <v>72</v>
      </c>
      <c r="M411" s="20" t="s">
        <v>76</v>
      </c>
      <c r="N411" s="20" t="s">
        <v>72</v>
      </c>
      <c r="O411" s="20" t="s">
        <v>72</v>
      </c>
      <c r="P411" s="20" t="s">
        <v>72</v>
      </c>
      <c r="Q411" s="20" t="s">
        <v>72</v>
      </c>
      <c r="R411" s="20" t="s">
        <v>72</v>
      </c>
      <c r="S411" s="20" t="s">
        <v>72</v>
      </c>
      <c r="T411" s="20" t="s">
        <v>72</v>
      </c>
      <c r="U411" s="20" t="s">
        <v>72</v>
      </c>
      <c r="V411" s="20" t="s">
        <v>72</v>
      </c>
      <c r="W411" s="20" t="s">
        <v>72</v>
      </c>
      <c r="X411" s="20" t="s">
        <v>72</v>
      </c>
      <c r="Y411" s="20" t="s">
        <v>72</v>
      </c>
      <c r="Z411" s="20" t="s">
        <v>72</v>
      </c>
      <c r="AA411" s="23" t="s">
        <v>91</v>
      </c>
      <c r="AC411" s="27">
        <v>1</v>
      </c>
    </row>
    <row r="412" spans="1:29" ht="15" hidden="1" x14ac:dyDescent="0.2">
      <c r="A412">
        <v>1035921080</v>
      </c>
      <c r="B412">
        <v>411</v>
      </c>
      <c r="C412" s="26" t="s">
        <v>1351</v>
      </c>
      <c r="D412" t="s">
        <v>2275</v>
      </c>
      <c r="E412">
        <v>3207796109</v>
      </c>
      <c r="F412" t="s">
        <v>2276</v>
      </c>
      <c r="G412" s="20" t="s">
        <v>2254</v>
      </c>
      <c r="H412" t="s">
        <v>2255</v>
      </c>
      <c r="I412" s="20" t="s">
        <v>2256</v>
      </c>
      <c r="J412" s="20" t="s">
        <v>76</v>
      </c>
      <c r="K412" s="20" t="s">
        <v>76</v>
      </c>
      <c r="L412" s="20" t="s">
        <v>71</v>
      </c>
      <c r="M412" s="20" t="s">
        <v>71</v>
      </c>
      <c r="N412" s="20" t="s">
        <v>71</v>
      </c>
      <c r="O412" s="20" t="s">
        <v>71</v>
      </c>
      <c r="P412" s="20" t="s">
        <v>71</v>
      </c>
      <c r="Q412" s="20" t="s">
        <v>71</v>
      </c>
      <c r="R412" s="20" t="s">
        <v>71</v>
      </c>
      <c r="S412" s="20" t="s">
        <v>71</v>
      </c>
      <c r="T412" s="20" t="s">
        <v>71</v>
      </c>
      <c r="U412" s="20" t="s">
        <v>72</v>
      </c>
      <c r="V412" s="20" t="s">
        <v>72</v>
      </c>
      <c r="W412" s="20" t="s">
        <v>72</v>
      </c>
      <c r="X412" s="20" t="s">
        <v>72</v>
      </c>
      <c r="Y412" s="20" t="s">
        <v>72</v>
      </c>
      <c r="Z412" s="20" t="s">
        <v>72</v>
      </c>
      <c r="AA412" s="23" t="s">
        <v>77</v>
      </c>
      <c r="AC412" s="27">
        <v>2</v>
      </c>
    </row>
    <row r="413" spans="1:29" ht="15" hidden="1" x14ac:dyDescent="0.2">
      <c r="A413">
        <v>39177963</v>
      </c>
      <c r="B413">
        <v>412</v>
      </c>
      <c r="C413" s="26" t="s">
        <v>1351</v>
      </c>
      <c r="D413" t="s">
        <v>2277</v>
      </c>
      <c r="E413">
        <v>3132523594</v>
      </c>
      <c r="F413" t="s">
        <v>2278</v>
      </c>
      <c r="G413" s="20" t="s">
        <v>2254</v>
      </c>
      <c r="H413" t="s">
        <v>2255</v>
      </c>
      <c r="I413" s="20" t="s">
        <v>2259</v>
      </c>
      <c r="J413" s="20" t="s">
        <v>76</v>
      </c>
      <c r="K413" s="20" t="s">
        <v>76</v>
      </c>
      <c r="L413" s="20" t="s">
        <v>72</v>
      </c>
      <c r="M413" s="20" t="s">
        <v>71</v>
      </c>
      <c r="N413" s="20" t="s">
        <v>72</v>
      </c>
      <c r="O413" s="20" t="s">
        <v>72</v>
      </c>
      <c r="P413" s="20" t="s">
        <v>72</v>
      </c>
      <c r="Q413" s="20" t="s">
        <v>72</v>
      </c>
      <c r="R413" s="20" t="s">
        <v>72</v>
      </c>
      <c r="S413" s="20" t="s">
        <v>72</v>
      </c>
      <c r="T413" s="20" t="s">
        <v>72</v>
      </c>
      <c r="U413" s="20" t="s">
        <v>72</v>
      </c>
      <c r="V413" s="20" t="s">
        <v>72</v>
      </c>
      <c r="W413" s="20" t="s">
        <v>72</v>
      </c>
      <c r="X413" s="20" t="s">
        <v>72</v>
      </c>
      <c r="Y413" s="20" t="s">
        <v>72</v>
      </c>
      <c r="Z413" s="20" t="s">
        <v>72</v>
      </c>
      <c r="AA413" s="23" t="s">
        <v>80</v>
      </c>
      <c r="AC413" s="27">
        <v>2</v>
      </c>
    </row>
    <row r="414" spans="1:29" ht="15" hidden="1" x14ac:dyDescent="0.2">
      <c r="A414">
        <v>1001033236</v>
      </c>
      <c r="B414">
        <v>413</v>
      </c>
      <c r="C414" s="26" t="s">
        <v>1351</v>
      </c>
      <c r="D414" t="s">
        <v>2279</v>
      </c>
      <c r="E414">
        <v>3136009069</v>
      </c>
      <c r="F414" t="s">
        <v>2280</v>
      </c>
      <c r="G414" s="20" t="s">
        <v>2254</v>
      </c>
      <c r="H414" t="s">
        <v>2255</v>
      </c>
      <c r="I414" s="20" t="s">
        <v>2259</v>
      </c>
      <c r="AA414" s="23" t="s">
        <v>1367</v>
      </c>
      <c r="AB414" s="24" t="s">
        <v>2260</v>
      </c>
      <c r="AC414" s="25" t="s">
        <v>1367</v>
      </c>
    </row>
    <row r="415" spans="1:29" ht="15" hidden="1" x14ac:dyDescent="0.2">
      <c r="A415">
        <v>8306303</v>
      </c>
      <c r="B415">
        <v>414</v>
      </c>
      <c r="C415" s="26" t="s">
        <v>1351</v>
      </c>
      <c r="D415" t="s">
        <v>2281</v>
      </c>
      <c r="E415">
        <v>3016290757</v>
      </c>
      <c r="F415" t="s">
        <v>2282</v>
      </c>
      <c r="G415" s="20" t="s">
        <v>2254</v>
      </c>
      <c r="H415" t="s">
        <v>2255</v>
      </c>
      <c r="I415" s="20" t="s">
        <v>2259</v>
      </c>
      <c r="J415" s="20" t="s">
        <v>71</v>
      </c>
      <c r="K415" s="20" t="s">
        <v>71</v>
      </c>
      <c r="L415" s="20" t="s">
        <v>76</v>
      </c>
      <c r="M415" s="20" t="s">
        <v>71</v>
      </c>
      <c r="N415" s="20" t="s">
        <v>72</v>
      </c>
      <c r="O415" s="20" t="s">
        <v>72</v>
      </c>
      <c r="P415" s="20" t="s">
        <v>72</v>
      </c>
      <c r="Q415" s="20" t="s">
        <v>72</v>
      </c>
      <c r="R415" s="20" t="s">
        <v>72</v>
      </c>
      <c r="S415" s="20" t="s">
        <v>72</v>
      </c>
      <c r="T415" s="20" t="s">
        <v>72</v>
      </c>
      <c r="U415" s="20" t="s">
        <v>72</v>
      </c>
      <c r="V415" s="20" t="s">
        <v>72</v>
      </c>
      <c r="W415" s="20" t="s">
        <v>72</v>
      </c>
      <c r="X415" s="20" t="s">
        <v>72</v>
      </c>
      <c r="Y415" s="20" t="s">
        <v>72</v>
      </c>
      <c r="Z415" s="20" t="s">
        <v>72</v>
      </c>
      <c r="AA415" s="23" t="s">
        <v>80</v>
      </c>
      <c r="AC415" s="25">
        <v>2</v>
      </c>
    </row>
    <row r="416" spans="1:29" ht="15" hidden="1" x14ac:dyDescent="0.2">
      <c r="A416">
        <v>70108470</v>
      </c>
      <c r="B416">
        <v>415</v>
      </c>
      <c r="C416" s="26" t="s">
        <v>1351</v>
      </c>
      <c r="D416" t="s">
        <v>2283</v>
      </c>
      <c r="E416">
        <v>3216333452</v>
      </c>
      <c r="F416" t="s">
        <v>2284</v>
      </c>
      <c r="G416" s="20" t="s">
        <v>2254</v>
      </c>
      <c r="H416" t="s">
        <v>2255</v>
      </c>
      <c r="I416" s="20" t="s">
        <v>2256</v>
      </c>
      <c r="J416" s="20" t="s">
        <v>76</v>
      </c>
      <c r="K416" s="20" t="s">
        <v>76</v>
      </c>
      <c r="L416" s="20" t="s">
        <v>72</v>
      </c>
      <c r="M416" s="20" t="s">
        <v>71</v>
      </c>
      <c r="N416" s="20" t="s">
        <v>72</v>
      </c>
      <c r="O416" s="20" t="s">
        <v>72</v>
      </c>
      <c r="P416" s="20" t="s">
        <v>72</v>
      </c>
      <c r="Q416" s="20" t="s">
        <v>72</v>
      </c>
      <c r="R416" s="20" t="s">
        <v>72</v>
      </c>
      <c r="S416" s="20" t="s">
        <v>72</v>
      </c>
      <c r="T416" s="20" t="s">
        <v>72</v>
      </c>
      <c r="U416" s="20" t="s">
        <v>72</v>
      </c>
      <c r="V416" s="20" t="s">
        <v>72</v>
      </c>
      <c r="W416" s="20" t="s">
        <v>72</v>
      </c>
      <c r="X416" s="20" t="s">
        <v>72</v>
      </c>
      <c r="Y416" s="20" t="s">
        <v>72</v>
      </c>
      <c r="Z416" s="20" t="s">
        <v>72</v>
      </c>
      <c r="AA416" s="23" t="s">
        <v>91</v>
      </c>
      <c r="AC416" s="25">
        <v>1</v>
      </c>
    </row>
    <row r="417" spans="1:29" ht="15" hidden="1" x14ac:dyDescent="0.2">
      <c r="A417">
        <v>32501795</v>
      </c>
      <c r="B417">
        <v>416</v>
      </c>
      <c r="C417" s="26" t="s">
        <v>1351</v>
      </c>
      <c r="D417" t="s">
        <v>2285</v>
      </c>
      <c r="E417">
        <v>3197347152</v>
      </c>
      <c r="F417" t="s">
        <v>2286</v>
      </c>
      <c r="G417" s="20" t="s">
        <v>2254</v>
      </c>
      <c r="H417" t="s">
        <v>2255</v>
      </c>
      <c r="I417" s="20" t="s">
        <v>2256</v>
      </c>
      <c r="J417" s="20" t="s">
        <v>71</v>
      </c>
      <c r="K417" s="20" t="s">
        <v>71</v>
      </c>
      <c r="L417" s="20" t="s">
        <v>72</v>
      </c>
      <c r="M417" s="20" t="s">
        <v>71</v>
      </c>
      <c r="N417" s="20" t="s">
        <v>72</v>
      </c>
      <c r="O417" s="20" t="s">
        <v>72</v>
      </c>
      <c r="P417" s="20" t="s">
        <v>72</v>
      </c>
      <c r="Q417" s="20" t="s">
        <v>72</v>
      </c>
      <c r="R417" s="20" t="s">
        <v>72</v>
      </c>
      <c r="S417" s="20" t="s">
        <v>72</v>
      </c>
      <c r="T417" s="20" t="s">
        <v>72</v>
      </c>
      <c r="U417" s="20" t="s">
        <v>76</v>
      </c>
      <c r="V417" s="20" t="s">
        <v>72</v>
      </c>
      <c r="W417" s="20" t="s">
        <v>72</v>
      </c>
      <c r="X417" s="20" t="s">
        <v>76</v>
      </c>
      <c r="Y417" s="20" t="s">
        <v>76</v>
      </c>
      <c r="Z417" s="20" t="s">
        <v>76</v>
      </c>
      <c r="AA417" s="23" t="s">
        <v>80</v>
      </c>
      <c r="AC417" s="25">
        <v>2</v>
      </c>
    </row>
    <row r="418" spans="1:29" ht="15" hidden="1" x14ac:dyDescent="0.2">
      <c r="A418">
        <v>1128481612</v>
      </c>
      <c r="B418">
        <v>417</v>
      </c>
      <c r="C418" s="26" t="s">
        <v>1351</v>
      </c>
      <c r="D418" t="s">
        <v>2287</v>
      </c>
      <c r="E418">
        <v>3022359328</v>
      </c>
      <c r="F418" t="s">
        <v>2288</v>
      </c>
      <c r="G418" s="20" t="s">
        <v>2254</v>
      </c>
      <c r="H418" t="s">
        <v>2255</v>
      </c>
      <c r="I418" s="20" t="s">
        <v>2259</v>
      </c>
      <c r="J418" s="20" t="s">
        <v>71</v>
      </c>
      <c r="K418" s="20" t="s">
        <v>71</v>
      </c>
      <c r="L418" s="20" t="s">
        <v>76</v>
      </c>
      <c r="M418" s="20" t="s">
        <v>71</v>
      </c>
      <c r="N418" s="20" t="s">
        <v>72</v>
      </c>
      <c r="O418" s="20" t="s">
        <v>72</v>
      </c>
      <c r="P418" s="20" t="s">
        <v>72</v>
      </c>
      <c r="Q418" s="20" t="s">
        <v>72</v>
      </c>
      <c r="R418" s="20" t="s">
        <v>72</v>
      </c>
      <c r="S418" s="20" t="s">
        <v>72</v>
      </c>
      <c r="T418" s="20" t="s">
        <v>72</v>
      </c>
      <c r="U418" s="20" t="s">
        <v>71</v>
      </c>
      <c r="V418" s="20" t="s">
        <v>71</v>
      </c>
      <c r="W418" s="20" t="s">
        <v>71</v>
      </c>
      <c r="X418" s="20" t="s">
        <v>71</v>
      </c>
      <c r="Y418" s="20" t="s">
        <v>71</v>
      </c>
      <c r="Z418" s="20" t="s">
        <v>71</v>
      </c>
      <c r="AA418" s="23" t="s">
        <v>256</v>
      </c>
      <c r="AC418" s="25">
        <v>2</v>
      </c>
    </row>
    <row r="419" spans="1:29" ht="15" hidden="1" x14ac:dyDescent="0.2">
      <c r="A419">
        <v>1152449711</v>
      </c>
      <c r="B419">
        <v>418</v>
      </c>
      <c r="C419" s="26" t="s">
        <v>1351</v>
      </c>
      <c r="D419" t="s">
        <v>2289</v>
      </c>
      <c r="E419">
        <v>3207760120</v>
      </c>
      <c r="F419" t="s">
        <v>2290</v>
      </c>
      <c r="G419" s="20" t="s">
        <v>2254</v>
      </c>
      <c r="H419" t="s">
        <v>2255</v>
      </c>
      <c r="I419" s="20" t="s">
        <v>2256</v>
      </c>
      <c r="J419" s="20" t="s">
        <v>76</v>
      </c>
      <c r="K419" s="20" t="s">
        <v>76</v>
      </c>
      <c r="L419" s="20" t="s">
        <v>76</v>
      </c>
      <c r="M419" s="20" t="s">
        <v>71</v>
      </c>
      <c r="N419" s="20" t="s">
        <v>72</v>
      </c>
      <c r="O419" s="20" t="s">
        <v>72</v>
      </c>
      <c r="P419" s="20" t="s">
        <v>72</v>
      </c>
      <c r="Q419" s="20" t="s">
        <v>72</v>
      </c>
      <c r="R419" s="20" t="s">
        <v>72</v>
      </c>
      <c r="S419" s="20" t="s">
        <v>72</v>
      </c>
      <c r="T419" s="20" t="s">
        <v>72</v>
      </c>
      <c r="U419" s="20" t="s">
        <v>72</v>
      </c>
      <c r="V419" s="20" t="s">
        <v>72</v>
      </c>
      <c r="W419" s="20" t="s">
        <v>72</v>
      </c>
      <c r="X419" s="20" t="s">
        <v>72</v>
      </c>
      <c r="Y419" s="20" t="s">
        <v>72</v>
      </c>
      <c r="Z419" s="20" t="s">
        <v>72</v>
      </c>
      <c r="AA419" s="23" t="s">
        <v>80</v>
      </c>
      <c r="AC419" s="25">
        <v>2</v>
      </c>
    </row>
    <row r="420" spans="1:29" ht="15" hidden="1" x14ac:dyDescent="0.2">
      <c r="A420">
        <v>21906091</v>
      </c>
      <c r="B420">
        <v>419</v>
      </c>
      <c r="C420" s="26" t="s">
        <v>1351</v>
      </c>
      <c r="D420" t="s">
        <v>2291</v>
      </c>
      <c r="E420">
        <v>3137877415</v>
      </c>
      <c r="F420" t="s">
        <v>2292</v>
      </c>
      <c r="G420" s="20" t="s">
        <v>2254</v>
      </c>
      <c r="H420" t="s">
        <v>2255</v>
      </c>
      <c r="I420" s="20" t="s">
        <v>2256</v>
      </c>
      <c r="AA420" s="23" t="s">
        <v>1367</v>
      </c>
      <c r="AB420" s="24" t="s">
        <v>2260</v>
      </c>
      <c r="AC420" s="25" t="s">
        <v>1367</v>
      </c>
    </row>
    <row r="421" spans="1:29" ht="15" hidden="1" x14ac:dyDescent="0.2">
      <c r="A421">
        <v>71671195</v>
      </c>
      <c r="B421">
        <v>420</v>
      </c>
      <c r="C421" s="26" t="s">
        <v>1351</v>
      </c>
      <c r="D421" t="s">
        <v>2293</v>
      </c>
      <c r="E421">
        <v>3224410431</v>
      </c>
      <c r="F421" t="s">
        <v>2294</v>
      </c>
      <c r="G421" s="20" t="s">
        <v>2254</v>
      </c>
      <c r="H421" t="s">
        <v>2255</v>
      </c>
      <c r="I421" s="20" t="s">
        <v>2256</v>
      </c>
      <c r="J421" s="20" t="s">
        <v>76</v>
      </c>
      <c r="K421" s="20" t="s">
        <v>72</v>
      </c>
      <c r="L421" s="20" t="s">
        <v>71</v>
      </c>
      <c r="M421" s="20" t="s">
        <v>71</v>
      </c>
      <c r="N421" s="20" t="s">
        <v>71</v>
      </c>
      <c r="O421" s="20" t="s">
        <v>71</v>
      </c>
      <c r="P421" s="20" t="s">
        <v>71</v>
      </c>
      <c r="Q421" s="20" t="s">
        <v>71</v>
      </c>
      <c r="R421" s="20" t="s">
        <v>71</v>
      </c>
      <c r="S421" s="20" t="s">
        <v>71</v>
      </c>
      <c r="T421" s="20" t="s">
        <v>71</v>
      </c>
      <c r="U421" s="20" t="s">
        <v>76</v>
      </c>
      <c r="V421" s="20" t="s">
        <v>76</v>
      </c>
      <c r="W421" s="20" t="s">
        <v>76</v>
      </c>
      <c r="X421" s="20" t="s">
        <v>71</v>
      </c>
      <c r="Y421" s="20" t="s">
        <v>71</v>
      </c>
      <c r="Z421" s="20" t="s">
        <v>71</v>
      </c>
      <c r="AA421" s="23" t="s">
        <v>77</v>
      </c>
      <c r="AC421" s="25">
        <v>2</v>
      </c>
    </row>
    <row r="422" spans="1:29" ht="15" hidden="1" x14ac:dyDescent="0.2">
      <c r="A422">
        <v>43044407</v>
      </c>
      <c r="B422">
        <v>421</v>
      </c>
      <c r="C422" s="26" t="s">
        <v>1351</v>
      </c>
      <c r="D422" t="s">
        <v>2295</v>
      </c>
      <c r="E422">
        <v>3126523801</v>
      </c>
      <c r="F422" t="s">
        <v>2296</v>
      </c>
      <c r="G422" s="20" t="s">
        <v>2254</v>
      </c>
      <c r="H422" t="s">
        <v>2255</v>
      </c>
      <c r="I422" s="20" t="s">
        <v>2256</v>
      </c>
      <c r="J422" s="20" t="s">
        <v>71</v>
      </c>
      <c r="K422" s="20" t="s">
        <v>71</v>
      </c>
      <c r="L422" s="20" t="s">
        <v>76</v>
      </c>
      <c r="M422" s="20" t="s">
        <v>71</v>
      </c>
      <c r="N422" s="20" t="s">
        <v>76</v>
      </c>
      <c r="O422" s="20" t="s">
        <v>76</v>
      </c>
      <c r="P422" s="20" t="s">
        <v>72</v>
      </c>
      <c r="Q422" s="20" t="s">
        <v>72</v>
      </c>
      <c r="R422" s="20" t="s">
        <v>72</v>
      </c>
      <c r="S422" s="20" t="s">
        <v>72</v>
      </c>
      <c r="T422" s="20" t="s">
        <v>72</v>
      </c>
      <c r="U422" s="20" t="s">
        <v>72</v>
      </c>
      <c r="V422" s="20" t="s">
        <v>72</v>
      </c>
      <c r="W422" s="20" t="s">
        <v>72</v>
      </c>
      <c r="X422" s="20" t="s">
        <v>72</v>
      </c>
      <c r="Y422" s="20" t="s">
        <v>72</v>
      </c>
      <c r="Z422" s="20" t="s">
        <v>72</v>
      </c>
      <c r="AA422" s="23" t="s">
        <v>80</v>
      </c>
      <c r="AC422" s="25">
        <v>2</v>
      </c>
    </row>
    <row r="423" spans="1:29" ht="15" hidden="1" x14ac:dyDescent="0.2">
      <c r="A423">
        <v>43524391</v>
      </c>
      <c r="B423">
        <v>422</v>
      </c>
      <c r="C423" s="26" t="s">
        <v>1351</v>
      </c>
      <c r="D423" t="s">
        <v>2297</v>
      </c>
      <c r="E423">
        <v>3503485716</v>
      </c>
      <c r="F423" t="s">
        <v>2298</v>
      </c>
      <c r="G423" s="20" t="s">
        <v>2254</v>
      </c>
      <c r="H423" t="s">
        <v>2255</v>
      </c>
      <c r="I423" s="20" t="s">
        <v>2256</v>
      </c>
      <c r="J423" s="20" t="s">
        <v>76</v>
      </c>
      <c r="K423" s="20" t="s">
        <v>76</v>
      </c>
      <c r="L423" s="20" t="s">
        <v>71</v>
      </c>
      <c r="M423" s="20" t="s">
        <v>71</v>
      </c>
      <c r="N423" s="20" t="s">
        <v>72</v>
      </c>
      <c r="O423" s="20" t="s">
        <v>72</v>
      </c>
      <c r="P423" s="20" t="s">
        <v>72</v>
      </c>
      <c r="Q423" s="20" t="s">
        <v>72</v>
      </c>
      <c r="R423" s="20" t="s">
        <v>72</v>
      </c>
      <c r="S423" s="20" t="s">
        <v>72</v>
      </c>
      <c r="T423" s="20" t="s">
        <v>72</v>
      </c>
      <c r="U423" s="20" t="s">
        <v>72</v>
      </c>
      <c r="V423" s="20" t="s">
        <v>72</v>
      </c>
      <c r="W423" s="20" t="s">
        <v>72</v>
      </c>
      <c r="X423" s="20" t="s">
        <v>72</v>
      </c>
      <c r="Y423" s="20" t="s">
        <v>72</v>
      </c>
      <c r="Z423" s="20" t="s">
        <v>72</v>
      </c>
      <c r="AA423" s="23" t="s">
        <v>91</v>
      </c>
      <c r="AC423" s="25">
        <v>1</v>
      </c>
    </row>
    <row r="424" spans="1:29" ht="15" hidden="1" x14ac:dyDescent="0.2">
      <c r="A424">
        <v>43347982</v>
      </c>
      <c r="B424">
        <v>423</v>
      </c>
      <c r="C424" s="26" t="s">
        <v>1351</v>
      </c>
      <c r="D424" t="s">
        <v>1711</v>
      </c>
      <c r="E424">
        <v>3122489801</v>
      </c>
      <c r="F424" t="s">
        <v>2299</v>
      </c>
      <c r="G424" s="20" t="s">
        <v>2254</v>
      </c>
      <c r="H424" t="s">
        <v>2255</v>
      </c>
      <c r="I424" s="20" t="s">
        <v>2259</v>
      </c>
      <c r="AA424" s="23" t="s">
        <v>1367</v>
      </c>
      <c r="AB424" s="24" t="s">
        <v>2260</v>
      </c>
      <c r="AC424" s="25" t="s">
        <v>1367</v>
      </c>
    </row>
    <row r="425" spans="1:29" ht="15" hidden="1" x14ac:dyDescent="0.2">
      <c r="A425">
        <v>21969109</v>
      </c>
      <c r="B425">
        <v>424</v>
      </c>
      <c r="C425" s="26" t="s">
        <v>1351</v>
      </c>
      <c r="D425" t="s">
        <v>2300</v>
      </c>
      <c r="E425">
        <v>3166825613</v>
      </c>
      <c r="F425" t="s">
        <v>2301</v>
      </c>
      <c r="G425" s="20" t="s">
        <v>2254</v>
      </c>
      <c r="H425" t="s">
        <v>2255</v>
      </c>
      <c r="I425" s="20" t="s">
        <v>2256</v>
      </c>
      <c r="J425" s="20" t="s">
        <v>71</v>
      </c>
      <c r="K425" s="20" t="s">
        <v>71</v>
      </c>
      <c r="L425" s="20" t="s">
        <v>76</v>
      </c>
      <c r="M425" s="20" t="s">
        <v>71</v>
      </c>
      <c r="N425" s="20" t="s">
        <v>72</v>
      </c>
      <c r="O425" s="20" t="s">
        <v>72</v>
      </c>
      <c r="P425" s="20" t="s">
        <v>72</v>
      </c>
      <c r="Q425" s="20" t="s">
        <v>72</v>
      </c>
      <c r="R425" s="20" t="s">
        <v>72</v>
      </c>
      <c r="S425" s="20" t="s">
        <v>72</v>
      </c>
      <c r="T425" s="20" t="s">
        <v>72</v>
      </c>
      <c r="U425" s="20" t="s">
        <v>72</v>
      </c>
      <c r="V425" s="20" t="s">
        <v>72</v>
      </c>
      <c r="W425" s="20" t="s">
        <v>72</v>
      </c>
      <c r="X425" s="20" t="s">
        <v>72</v>
      </c>
      <c r="Y425" s="20" t="s">
        <v>72</v>
      </c>
      <c r="Z425" s="20" t="s">
        <v>72</v>
      </c>
      <c r="AA425" s="23" t="s">
        <v>80</v>
      </c>
      <c r="AC425" s="25">
        <v>2</v>
      </c>
    </row>
    <row r="426" spans="1:29" ht="15" hidden="1" x14ac:dyDescent="0.2">
      <c r="A426">
        <v>1033176878</v>
      </c>
      <c r="B426">
        <v>425</v>
      </c>
      <c r="C426" s="26" t="s">
        <v>1351</v>
      </c>
      <c r="D426" t="s">
        <v>2302</v>
      </c>
      <c r="E426">
        <v>3172820337</v>
      </c>
      <c r="F426" t="s">
        <v>2303</v>
      </c>
      <c r="G426" s="20" t="s">
        <v>2254</v>
      </c>
      <c r="H426" t="s">
        <v>2255</v>
      </c>
      <c r="I426" s="20" t="s">
        <v>2256</v>
      </c>
      <c r="J426" s="20" t="s">
        <v>71</v>
      </c>
      <c r="K426" s="20" t="s">
        <v>71</v>
      </c>
      <c r="L426" s="20" t="s">
        <v>72</v>
      </c>
      <c r="M426" s="20" t="s">
        <v>72</v>
      </c>
      <c r="N426" s="20" t="s">
        <v>72</v>
      </c>
      <c r="O426" s="20" t="s">
        <v>72</v>
      </c>
      <c r="P426" s="20" t="s">
        <v>72</v>
      </c>
      <c r="Q426" s="20" t="s">
        <v>72</v>
      </c>
      <c r="R426" s="20" t="s">
        <v>72</v>
      </c>
      <c r="S426" s="20" t="s">
        <v>72</v>
      </c>
      <c r="T426" s="20" t="s">
        <v>72</v>
      </c>
      <c r="U426" s="20" t="s">
        <v>71</v>
      </c>
      <c r="V426" s="20" t="s">
        <v>71</v>
      </c>
      <c r="W426" s="20" t="s">
        <v>71</v>
      </c>
      <c r="X426" s="20" t="s">
        <v>71</v>
      </c>
      <c r="Y426" s="20" t="s">
        <v>71</v>
      </c>
      <c r="Z426" s="20" t="s">
        <v>71</v>
      </c>
      <c r="AA426" s="23" t="s">
        <v>256</v>
      </c>
      <c r="AC426" s="25">
        <v>2</v>
      </c>
    </row>
    <row r="427" spans="1:29" ht="15" hidden="1" x14ac:dyDescent="0.2">
      <c r="A427">
        <v>43000384</v>
      </c>
      <c r="B427">
        <v>426</v>
      </c>
      <c r="C427" s="26" t="s">
        <v>1351</v>
      </c>
      <c r="D427" t="s">
        <v>2304</v>
      </c>
      <c r="E427" t="s">
        <v>2305</v>
      </c>
      <c r="F427" t="s">
        <v>2306</v>
      </c>
      <c r="G427" s="20" t="s">
        <v>2254</v>
      </c>
      <c r="H427" t="s">
        <v>2255</v>
      </c>
      <c r="I427" s="20" t="s">
        <v>2259</v>
      </c>
      <c r="J427" s="20" t="s">
        <v>71</v>
      </c>
      <c r="K427" s="20" t="s">
        <v>71</v>
      </c>
      <c r="L427" s="20" t="s">
        <v>71</v>
      </c>
      <c r="M427" s="20" t="s">
        <v>71</v>
      </c>
      <c r="N427" s="20" t="s">
        <v>71</v>
      </c>
      <c r="O427" s="20" t="s">
        <v>71</v>
      </c>
      <c r="P427" s="20" t="s">
        <v>71</v>
      </c>
      <c r="Q427" s="20" t="s">
        <v>71</v>
      </c>
      <c r="R427" s="20" t="s">
        <v>71</v>
      </c>
      <c r="S427" s="20" t="s">
        <v>71</v>
      </c>
      <c r="T427" s="20" t="s">
        <v>71</v>
      </c>
      <c r="U427" s="20" t="s">
        <v>72</v>
      </c>
      <c r="V427" s="20" t="s">
        <v>72</v>
      </c>
      <c r="W427" s="20" t="s">
        <v>72</v>
      </c>
      <c r="X427" s="20" t="s">
        <v>72</v>
      </c>
      <c r="Y427" s="20" t="s">
        <v>72</v>
      </c>
      <c r="Z427" s="20" t="s">
        <v>72</v>
      </c>
      <c r="AA427" s="23" t="s">
        <v>179</v>
      </c>
      <c r="AC427" s="25">
        <v>2</v>
      </c>
    </row>
    <row r="428" spans="1:29" ht="15" hidden="1" x14ac:dyDescent="0.2">
      <c r="A428">
        <v>32078660</v>
      </c>
      <c r="B428">
        <v>427</v>
      </c>
      <c r="C428" s="26" t="s">
        <v>1351</v>
      </c>
      <c r="D428" t="s">
        <v>2307</v>
      </c>
      <c r="E428">
        <v>3004206161</v>
      </c>
      <c r="F428" t="s">
        <v>2308</v>
      </c>
      <c r="G428" s="20" t="s">
        <v>2254</v>
      </c>
      <c r="H428" t="s">
        <v>2255</v>
      </c>
      <c r="I428" s="20" t="s">
        <v>2259</v>
      </c>
      <c r="J428" s="20" t="s">
        <v>71</v>
      </c>
      <c r="K428" s="20" t="s">
        <v>71</v>
      </c>
      <c r="L428" s="20" t="s">
        <v>76</v>
      </c>
      <c r="M428" s="20" t="s">
        <v>71</v>
      </c>
      <c r="N428" s="20" t="s">
        <v>72</v>
      </c>
      <c r="O428" s="20" t="s">
        <v>72</v>
      </c>
      <c r="P428" s="20" t="s">
        <v>72</v>
      </c>
      <c r="Q428" s="20" t="s">
        <v>72</v>
      </c>
      <c r="R428" s="20" t="s">
        <v>72</v>
      </c>
      <c r="S428" s="20" t="s">
        <v>72</v>
      </c>
      <c r="T428" s="20" t="s">
        <v>72</v>
      </c>
      <c r="U428" s="20" t="s">
        <v>72</v>
      </c>
      <c r="V428" s="20" t="s">
        <v>72</v>
      </c>
      <c r="W428" s="20" t="s">
        <v>72</v>
      </c>
      <c r="X428" s="20" t="s">
        <v>72</v>
      </c>
      <c r="Y428" s="20" t="s">
        <v>72</v>
      </c>
      <c r="Z428" s="20" t="s">
        <v>72</v>
      </c>
      <c r="AA428" s="23" t="s">
        <v>80</v>
      </c>
      <c r="AC428" s="25">
        <v>2</v>
      </c>
    </row>
    <row r="429" spans="1:29" ht="15" hidden="1" x14ac:dyDescent="0.2">
      <c r="A429">
        <v>1001139233</v>
      </c>
      <c r="B429">
        <v>428</v>
      </c>
      <c r="C429" s="26" t="s">
        <v>1351</v>
      </c>
      <c r="D429" t="s">
        <v>2309</v>
      </c>
      <c r="E429">
        <v>3239091387</v>
      </c>
      <c r="F429" t="s">
        <v>2310</v>
      </c>
      <c r="G429" s="20" t="s">
        <v>2254</v>
      </c>
      <c r="H429" t="s">
        <v>2255</v>
      </c>
      <c r="I429" s="20" t="s">
        <v>2256</v>
      </c>
      <c r="J429" s="20" t="s">
        <v>71</v>
      </c>
      <c r="K429" s="20" t="s">
        <v>71</v>
      </c>
      <c r="L429" s="20" t="s">
        <v>72</v>
      </c>
      <c r="M429" s="20" t="s">
        <v>76</v>
      </c>
      <c r="N429" s="20" t="s">
        <v>72</v>
      </c>
      <c r="O429" s="20" t="s">
        <v>72</v>
      </c>
      <c r="P429" s="20" t="s">
        <v>72</v>
      </c>
      <c r="Q429" s="20" t="s">
        <v>72</v>
      </c>
      <c r="R429" s="20" t="s">
        <v>72</v>
      </c>
      <c r="S429" s="20" t="s">
        <v>72</v>
      </c>
      <c r="T429" s="20" t="s">
        <v>72</v>
      </c>
      <c r="U429" s="20" t="s">
        <v>72</v>
      </c>
      <c r="V429" s="20" t="s">
        <v>72</v>
      </c>
      <c r="W429" s="20" t="s">
        <v>72</v>
      </c>
      <c r="X429" s="20" t="s">
        <v>72</v>
      </c>
      <c r="Y429" s="20" t="s">
        <v>72</v>
      </c>
      <c r="Z429" s="20" t="s">
        <v>72</v>
      </c>
      <c r="AA429" s="23" t="s">
        <v>80</v>
      </c>
      <c r="AC429" s="25">
        <v>2</v>
      </c>
    </row>
    <row r="430" spans="1:29" ht="15" hidden="1" x14ac:dyDescent="0.2">
      <c r="A430">
        <v>43436157</v>
      </c>
      <c r="B430">
        <v>429</v>
      </c>
      <c r="C430" s="26" t="s">
        <v>1351</v>
      </c>
      <c r="D430" t="s">
        <v>2311</v>
      </c>
      <c r="E430">
        <v>4136295604</v>
      </c>
      <c r="F430" t="s">
        <v>2312</v>
      </c>
      <c r="G430" s="20" t="s">
        <v>2254</v>
      </c>
      <c r="H430" t="s">
        <v>2255</v>
      </c>
      <c r="I430" s="20" t="s">
        <v>2256</v>
      </c>
      <c r="J430" s="20" t="s">
        <v>76</v>
      </c>
      <c r="K430" s="20" t="s">
        <v>76</v>
      </c>
      <c r="L430" s="20" t="s">
        <v>76</v>
      </c>
      <c r="M430" s="20" t="s">
        <v>71</v>
      </c>
      <c r="N430" s="20" t="s">
        <v>72</v>
      </c>
      <c r="O430" s="20" t="s">
        <v>72</v>
      </c>
      <c r="P430" s="20" t="s">
        <v>72</v>
      </c>
      <c r="Q430" s="20" t="s">
        <v>72</v>
      </c>
      <c r="R430" s="20" t="s">
        <v>72</v>
      </c>
      <c r="S430" s="20" t="s">
        <v>72</v>
      </c>
      <c r="T430" s="20" t="s">
        <v>72</v>
      </c>
      <c r="U430" s="20" t="s">
        <v>76</v>
      </c>
      <c r="V430" s="20" t="s">
        <v>76</v>
      </c>
      <c r="W430" s="20" t="s">
        <v>76</v>
      </c>
      <c r="X430" s="20" t="s">
        <v>71</v>
      </c>
      <c r="Y430" s="20" t="s">
        <v>71</v>
      </c>
      <c r="Z430" s="20" t="s">
        <v>71</v>
      </c>
      <c r="AA430" s="23" t="s">
        <v>91</v>
      </c>
      <c r="AC430" s="25">
        <v>1</v>
      </c>
    </row>
    <row r="431" spans="1:29" ht="15" hidden="1" x14ac:dyDescent="0.2">
      <c r="A431">
        <v>43912061</v>
      </c>
      <c r="B431">
        <v>430</v>
      </c>
      <c r="C431" s="26" t="s">
        <v>1351</v>
      </c>
      <c r="D431" t="s">
        <v>2313</v>
      </c>
      <c r="E431">
        <v>3103820175</v>
      </c>
      <c r="F431" t="s">
        <v>2314</v>
      </c>
      <c r="G431" s="20" t="s">
        <v>2254</v>
      </c>
      <c r="H431" t="s">
        <v>2255</v>
      </c>
      <c r="I431" s="20" t="s">
        <v>2259</v>
      </c>
      <c r="AA431" s="23" t="s">
        <v>1367</v>
      </c>
      <c r="AB431" s="24" t="s">
        <v>2315</v>
      </c>
      <c r="AC431" s="25" t="s">
        <v>1367</v>
      </c>
    </row>
    <row r="432" spans="1:29" ht="15" hidden="1" x14ac:dyDescent="0.2">
      <c r="A432">
        <v>1128424631</v>
      </c>
      <c r="B432">
        <v>431</v>
      </c>
      <c r="C432" s="26" t="s">
        <v>1351</v>
      </c>
      <c r="D432" t="s">
        <v>2316</v>
      </c>
      <c r="E432">
        <v>3203981930</v>
      </c>
      <c r="F432" t="s">
        <v>2317</v>
      </c>
      <c r="G432" s="20" t="s">
        <v>2254</v>
      </c>
      <c r="H432" t="s">
        <v>2255</v>
      </c>
      <c r="I432" s="20" t="s">
        <v>2256</v>
      </c>
      <c r="J432" s="20" t="s">
        <v>76</v>
      </c>
      <c r="K432" s="20" t="s">
        <v>76</v>
      </c>
      <c r="U432" s="20" t="s">
        <v>72</v>
      </c>
      <c r="V432" s="20" t="s">
        <v>72</v>
      </c>
      <c r="W432" s="20" t="s">
        <v>72</v>
      </c>
      <c r="X432" s="20" t="s">
        <v>71</v>
      </c>
      <c r="Y432" s="20" t="s">
        <v>72</v>
      </c>
      <c r="Z432" s="20" t="s">
        <v>76</v>
      </c>
      <c r="AA432" s="27" t="s">
        <v>77</v>
      </c>
      <c r="AB432" s="24" t="s">
        <v>2318</v>
      </c>
      <c r="AC432" s="25">
        <v>2</v>
      </c>
    </row>
    <row r="433" spans="1:29" ht="15" hidden="1" x14ac:dyDescent="0.2">
      <c r="A433">
        <v>43100548</v>
      </c>
      <c r="B433">
        <v>432</v>
      </c>
      <c r="C433" s="26" t="s">
        <v>1351</v>
      </c>
      <c r="D433" t="s">
        <v>2319</v>
      </c>
      <c r="E433">
        <v>3045299965</v>
      </c>
      <c r="F433" t="s">
        <v>2320</v>
      </c>
      <c r="G433" s="20" t="s">
        <v>2254</v>
      </c>
      <c r="H433" t="s">
        <v>2255</v>
      </c>
      <c r="I433" s="20" t="s">
        <v>2259</v>
      </c>
      <c r="J433" s="20" t="s">
        <v>71</v>
      </c>
      <c r="K433" s="20" t="s">
        <v>71</v>
      </c>
      <c r="L433" s="20" t="s">
        <v>76</v>
      </c>
      <c r="M433" s="20" t="s">
        <v>72</v>
      </c>
      <c r="N433" s="20" t="s">
        <v>72</v>
      </c>
      <c r="O433" s="20" t="s">
        <v>72</v>
      </c>
      <c r="P433" s="20" t="s">
        <v>72</v>
      </c>
      <c r="Q433" s="20" t="s">
        <v>72</v>
      </c>
      <c r="R433" s="20" t="s">
        <v>72</v>
      </c>
      <c r="S433" s="20" t="s">
        <v>72</v>
      </c>
      <c r="T433" s="20" t="s">
        <v>72</v>
      </c>
      <c r="U433" s="20" t="s">
        <v>72</v>
      </c>
      <c r="V433" s="20" t="s">
        <v>72</v>
      </c>
      <c r="W433" s="20" t="s">
        <v>72</v>
      </c>
      <c r="X433" s="20" t="s">
        <v>72</v>
      </c>
      <c r="Y433" s="20" t="s">
        <v>72</v>
      </c>
      <c r="Z433" s="20" t="s">
        <v>72</v>
      </c>
      <c r="AA433" s="23" t="s">
        <v>80</v>
      </c>
      <c r="AC433" s="25">
        <v>2</v>
      </c>
    </row>
    <row r="434" spans="1:29" ht="15" hidden="1" x14ac:dyDescent="0.2">
      <c r="A434">
        <v>43510710</v>
      </c>
      <c r="B434">
        <v>433</v>
      </c>
      <c r="C434" s="26" t="s">
        <v>1351</v>
      </c>
      <c r="D434" t="s">
        <v>2321</v>
      </c>
      <c r="E434">
        <v>3012149244</v>
      </c>
      <c r="F434" t="s">
        <v>2322</v>
      </c>
      <c r="G434" s="20" t="s">
        <v>2254</v>
      </c>
      <c r="H434" t="s">
        <v>2255</v>
      </c>
      <c r="I434" s="20" t="s">
        <v>2259</v>
      </c>
      <c r="AA434" s="23" t="s">
        <v>1367</v>
      </c>
      <c r="AB434" s="24" t="s">
        <v>2315</v>
      </c>
      <c r="AC434" s="25" t="s">
        <v>1367</v>
      </c>
    </row>
    <row r="435" spans="1:29" ht="15" hidden="1" x14ac:dyDescent="0.2">
      <c r="A435">
        <v>21451130</v>
      </c>
      <c r="B435">
        <v>434</v>
      </c>
      <c r="C435" s="26" t="s">
        <v>1351</v>
      </c>
      <c r="D435" t="s">
        <v>2323</v>
      </c>
      <c r="E435">
        <v>0</v>
      </c>
      <c r="F435" t="s">
        <v>2324</v>
      </c>
      <c r="G435" s="20" t="s">
        <v>2254</v>
      </c>
      <c r="H435" t="s">
        <v>2255</v>
      </c>
      <c r="I435" s="20" t="s">
        <v>2259</v>
      </c>
      <c r="AA435" s="23" t="s">
        <v>1367</v>
      </c>
      <c r="AB435" s="24" t="s">
        <v>2315</v>
      </c>
      <c r="AC435" s="25" t="s">
        <v>1367</v>
      </c>
    </row>
    <row r="436" spans="1:29" ht="15" hidden="1" x14ac:dyDescent="0.2">
      <c r="A436">
        <v>32516837</v>
      </c>
      <c r="B436">
        <v>435</v>
      </c>
      <c r="C436" s="26" t="s">
        <v>1351</v>
      </c>
      <c r="D436" t="s">
        <v>2325</v>
      </c>
      <c r="E436">
        <v>3046118572</v>
      </c>
      <c r="F436" t="s">
        <v>2326</v>
      </c>
      <c r="G436" s="20" t="s">
        <v>2254</v>
      </c>
      <c r="H436" t="s">
        <v>2255</v>
      </c>
      <c r="I436" s="20" t="s">
        <v>2259</v>
      </c>
      <c r="J436" s="20" t="s">
        <v>71</v>
      </c>
      <c r="K436" s="20" t="s">
        <v>71</v>
      </c>
      <c r="L436" s="20" t="s">
        <v>76</v>
      </c>
      <c r="M436" s="20" t="s">
        <v>71</v>
      </c>
      <c r="N436" s="20" t="s">
        <v>72</v>
      </c>
      <c r="O436" s="20" t="s">
        <v>72</v>
      </c>
      <c r="P436" s="20" t="s">
        <v>72</v>
      </c>
      <c r="Q436" s="20" t="s">
        <v>72</v>
      </c>
      <c r="R436" s="20" t="s">
        <v>72</v>
      </c>
      <c r="S436" s="20" t="s">
        <v>72</v>
      </c>
      <c r="T436" s="20" t="s">
        <v>72</v>
      </c>
      <c r="U436" s="20" t="s">
        <v>72</v>
      </c>
      <c r="V436" s="20" t="s">
        <v>72</v>
      </c>
      <c r="W436" s="20" t="s">
        <v>72</v>
      </c>
      <c r="X436" s="20" t="s">
        <v>72</v>
      </c>
      <c r="Y436" s="20" t="s">
        <v>72</v>
      </c>
      <c r="Z436" s="20" t="s">
        <v>72</v>
      </c>
      <c r="AA436" s="23" t="s">
        <v>80</v>
      </c>
      <c r="AC436" s="25">
        <v>2</v>
      </c>
    </row>
    <row r="437" spans="1:29" ht="15" hidden="1" x14ac:dyDescent="0.2">
      <c r="A437">
        <v>21693424</v>
      </c>
      <c r="B437">
        <v>436</v>
      </c>
      <c r="C437" s="26" t="s">
        <v>1351</v>
      </c>
      <c r="D437" t="s">
        <v>2327</v>
      </c>
      <c r="E437">
        <v>3006176299</v>
      </c>
      <c r="F437" t="s">
        <v>2328</v>
      </c>
      <c r="G437" s="20" t="s">
        <v>2254</v>
      </c>
      <c r="H437" t="s">
        <v>2255</v>
      </c>
      <c r="I437" s="20" t="s">
        <v>2259</v>
      </c>
      <c r="AA437" s="23" t="s">
        <v>1367</v>
      </c>
      <c r="AB437" s="24" t="s">
        <v>2315</v>
      </c>
      <c r="AC437" s="25" t="s">
        <v>1367</v>
      </c>
    </row>
    <row r="438" spans="1:29" ht="15" hidden="1" x14ac:dyDescent="0.2">
      <c r="A438">
        <v>21311154</v>
      </c>
      <c r="B438">
        <v>437</v>
      </c>
      <c r="C438" s="26" t="s">
        <v>1351</v>
      </c>
      <c r="D438" t="s">
        <v>2329</v>
      </c>
      <c r="E438">
        <v>3041040641</v>
      </c>
      <c r="F438" t="s">
        <v>2330</v>
      </c>
      <c r="G438" s="20" t="s">
        <v>2254</v>
      </c>
      <c r="H438" t="s">
        <v>2255</v>
      </c>
      <c r="I438" s="20" t="s">
        <v>2259</v>
      </c>
      <c r="AA438" s="23" t="s">
        <v>1367</v>
      </c>
      <c r="AB438" s="24" t="s">
        <v>2315</v>
      </c>
      <c r="AC438" s="25" t="s">
        <v>1367</v>
      </c>
    </row>
    <row r="439" spans="1:29" ht="15" hidden="1" x14ac:dyDescent="0.2">
      <c r="A439">
        <v>43066439</v>
      </c>
      <c r="B439">
        <v>438</v>
      </c>
      <c r="C439" s="26" t="s">
        <v>1351</v>
      </c>
      <c r="D439" t="s">
        <v>2331</v>
      </c>
      <c r="E439">
        <v>3113910429</v>
      </c>
      <c r="F439" t="s">
        <v>2332</v>
      </c>
      <c r="G439" s="20" t="s">
        <v>2254</v>
      </c>
      <c r="H439" t="s">
        <v>2255</v>
      </c>
      <c r="I439" s="20" t="s">
        <v>2259</v>
      </c>
      <c r="AA439" s="23" t="s">
        <v>1367</v>
      </c>
      <c r="AB439" s="24" t="s">
        <v>2333</v>
      </c>
      <c r="AC439" s="25" t="s">
        <v>1367</v>
      </c>
    </row>
    <row r="440" spans="1:29" ht="15" hidden="1" x14ac:dyDescent="0.2">
      <c r="A440">
        <v>39435019</v>
      </c>
      <c r="B440">
        <v>439</v>
      </c>
      <c r="C440" s="26" t="s">
        <v>1351</v>
      </c>
      <c r="D440" t="s">
        <v>2334</v>
      </c>
      <c r="E440">
        <v>3178379500</v>
      </c>
      <c r="F440" t="s">
        <v>2335</v>
      </c>
      <c r="G440" s="20" t="s">
        <v>2254</v>
      </c>
      <c r="H440" t="s">
        <v>2255</v>
      </c>
      <c r="I440" s="20" t="s">
        <v>2259</v>
      </c>
      <c r="J440" s="20" t="s">
        <v>76</v>
      </c>
      <c r="K440" s="20" t="s">
        <v>76</v>
      </c>
      <c r="L440" s="20" t="s">
        <v>71</v>
      </c>
      <c r="M440" s="20" t="s">
        <v>71</v>
      </c>
      <c r="N440" s="20" t="s">
        <v>71</v>
      </c>
      <c r="O440" s="20" t="s">
        <v>71</v>
      </c>
      <c r="P440" s="20" t="s">
        <v>71</v>
      </c>
      <c r="Q440" s="20" t="s">
        <v>71</v>
      </c>
      <c r="R440" s="20" t="s">
        <v>71</v>
      </c>
      <c r="S440" s="20" t="s">
        <v>71</v>
      </c>
      <c r="T440" s="20" t="s">
        <v>71</v>
      </c>
      <c r="U440" s="20" t="s">
        <v>72</v>
      </c>
      <c r="V440" s="20" t="s">
        <v>72</v>
      </c>
      <c r="W440" s="20" t="s">
        <v>72</v>
      </c>
      <c r="X440" s="20" t="s">
        <v>76</v>
      </c>
      <c r="Y440" s="20" t="s">
        <v>72</v>
      </c>
      <c r="Z440" s="20" t="s">
        <v>71</v>
      </c>
      <c r="AA440" s="23" t="s">
        <v>77</v>
      </c>
      <c r="AC440" s="25">
        <v>2</v>
      </c>
    </row>
    <row r="441" spans="1:29" ht="15" hidden="1" x14ac:dyDescent="0.2">
      <c r="A441">
        <v>8371433</v>
      </c>
      <c r="B441">
        <v>440</v>
      </c>
      <c r="C441" s="26" t="s">
        <v>1351</v>
      </c>
      <c r="D441" t="s">
        <v>2336</v>
      </c>
      <c r="E441">
        <v>3146153909</v>
      </c>
      <c r="F441" t="s">
        <v>2337</v>
      </c>
      <c r="G441" s="20" t="s">
        <v>2254</v>
      </c>
      <c r="H441" t="s">
        <v>2255</v>
      </c>
      <c r="I441" s="20" t="s">
        <v>2259</v>
      </c>
      <c r="AA441" s="23" t="s">
        <v>1367</v>
      </c>
      <c r="AB441" s="24" t="s">
        <v>2315</v>
      </c>
      <c r="AC441" s="25" t="s">
        <v>1367</v>
      </c>
    </row>
    <row r="442" spans="1:29" ht="15" hidden="1" x14ac:dyDescent="0.2">
      <c r="A442">
        <v>71579896</v>
      </c>
      <c r="B442">
        <v>441</v>
      </c>
      <c r="C442" s="26" t="s">
        <v>1351</v>
      </c>
      <c r="D442" t="s">
        <v>2338</v>
      </c>
      <c r="E442">
        <v>3216389769</v>
      </c>
      <c r="F442" t="s">
        <v>2339</v>
      </c>
      <c r="G442" s="20" t="s">
        <v>2254</v>
      </c>
      <c r="H442" t="s">
        <v>2255</v>
      </c>
      <c r="I442" s="20" t="s">
        <v>2259</v>
      </c>
      <c r="J442" s="20" t="s">
        <v>71</v>
      </c>
      <c r="K442" s="20" t="s">
        <v>71</v>
      </c>
      <c r="L442" s="20" t="s">
        <v>71</v>
      </c>
      <c r="M442" s="20" t="s">
        <v>71</v>
      </c>
      <c r="N442" s="20" t="s">
        <v>76</v>
      </c>
      <c r="O442" s="20" t="s">
        <v>76</v>
      </c>
      <c r="P442" s="20" t="s">
        <v>76</v>
      </c>
      <c r="Q442" s="20" t="s">
        <v>76</v>
      </c>
      <c r="R442" s="20" t="s">
        <v>76</v>
      </c>
      <c r="S442" s="20" t="s">
        <v>76</v>
      </c>
      <c r="T442" s="20" t="s">
        <v>76</v>
      </c>
      <c r="U442" s="20" t="s">
        <v>71</v>
      </c>
      <c r="V442" s="20" t="s">
        <v>71</v>
      </c>
      <c r="W442" s="20" t="s">
        <v>71</v>
      </c>
      <c r="X442" s="20" t="s">
        <v>71</v>
      </c>
      <c r="Y442" s="20" t="s">
        <v>71</v>
      </c>
      <c r="Z442" s="20" t="s">
        <v>71</v>
      </c>
      <c r="AA442" s="23" t="s">
        <v>256</v>
      </c>
      <c r="AC442" s="25">
        <v>2</v>
      </c>
    </row>
    <row r="443" spans="1:29" ht="15" hidden="1" x14ac:dyDescent="0.2">
      <c r="A443">
        <v>39179753</v>
      </c>
      <c r="B443">
        <v>442</v>
      </c>
      <c r="C443" s="26" t="s">
        <v>1351</v>
      </c>
      <c r="D443" t="s">
        <v>2340</v>
      </c>
      <c r="E443">
        <v>3002169207</v>
      </c>
      <c r="F443" t="s">
        <v>2341</v>
      </c>
      <c r="G443" s="20" t="s">
        <v>2254</v>
      </c>
      <c r="H443" t="s">
        <v>2255</v>
      </c>
      <c r="I443" s="20" t="s">
        <v>2259</v>
      </c>
      <c r="J443" s="20" t="s">
        <v>71</v>
      </c>
      <c r="K443" s="20" t="s">
        <v>71</v>
      </c>
      <c r="L443" s="20" t="s">
        <v>72</v>
      </c>
      <c r="M443" s="20" t="s">
        <v>71</v>
      </c>
      <c r="N443" s="20" t="s">
        <v>72</v>
      </c>
      <c r="O443" s="20" t="s">
        <v>72</v>
      </c>
      <c r="P443" s="20" t="s">
        <v>72</v>
      </c>
      <c r="Q443" s="20" t="s">
        <v>72</v>
      </c>
      <c r="R443" s="20" t="s">
        <v>72</v>
      </c>
      <c r="S443" s="20" t="s">
        <v>72</v>
      </c>
      <c r="T443" s="20" t="s">
        <v>72</v>
      </c>
      <c r="U443" s="20" t="s">
        <v>72</v>
      </c>
      <c r="V443" s="20" t="s">
        <v>72</v>
      </c>
      <c r="W443" s="20" t="s">
        <v>72</v>
      </c>
      <c r="X443" s="20" t="s">
        <v>72</v>
      </c>
      <c r="Y443" s="20" t="s">
        <v>72</v>
      </c>
      <c r="Z443" s="20" t="s">
        <v>72</v>
      </c>
      <c r="AA443" s="23" t="s">
        <v>80</v>
      </c>
      <c r="AC443" s="25">
        <v>2</v>
      </c>
    </row>
    <row r="444" spans="1:29" ht="15" hidden="1" x14ac:dyDescent="0.2">
      <c r="A444">
        <v>32513453</v>
      </c>
      <c r="B444">
        <v>443</v>
      </c>
      <c r="C444" s="26" t="s">
        <v>1351</v>
      </c>
      <c r="D444" t="s">
        <v>2342</v>
      </c>
      <c r="E444">
        <v>3146761778</v>
      </c>
      <c r="F444" t="s">
        <v>2343</v>
      </c>
      <c r="G444" s="20" t="s">
        <v>2254</v>
      </c>
      <c r="H444" t="s">
        <v>2255</v>
      </c>
      <c r="I444" s="20" t="s">
        <v>2259</v>
      </c>
      <c r="J444" s="20" t="s">
        <v>71</v>
      </c>
      <c r="K444" s="20" t="s">
        <v>71</v>
      </c>
      <c r="L444" s="20" t="s">
        <v>72</v>
      </c>
      <c r="M444" s="20" t="s">
        <v>71</v>
      </c>
      <c r="N444" s="20" t="s">
        <v>71</v>
      </c>
      <c r="O444" s="20" t="s">
        <v>71</v>
      </c>
      <c r="P444" s="20" t="s">
        <v>71</v>
      </c>
      <c r="Q444" s="20" t="s">
        <v>72</v>
      </c>
      <c r="R444" s="20" t="s">
        <v>71</v>
      </c>
      <c r="S444" s="20" t="s">
        <v>72</v>
      </c>
      <c r="T444" s="20" t="s">
        <v>72</v>
      </c>
      <c r="U444" s="20" t="s">
        <v>72</v>
      </c>
      <c r="V444" s="20" t="s">
        <v>72</v>
      </c>
      <c r="W444" s="20" t="s">
        <v>72</v>
      </c>
      <c r="X444" s="20" t="s">
        <v>72</v>
      </c>
      <c r="Y444" s="20" t="s">
        <v>72</v>
      </c>
      <c r="Z444" s="20" t="s">
        <v>76</v>
      </c>
      <c r="AA444" s="23" t="s">
        <v>80</v>
      </c>
      <c r="AC444" s="25">
        <v>2</v>
      </c>
    </row>
    <row r="445" spans="1:29" ht="15" hidden="1" x14ac:dyDescent="0.2">
      <c r="A445">
        <v>1193298386</v>
      </c>
      <c r="B445">
        <v>444</v>
      </c>
      <c r="C445" s="26" t="s">
        <v>1351</v>
      </c>
      <c r="D445" t="s">
        <v>2344</v>
      </c>
      <c r="E445">
        <v>3207252795</v>
      </c>
      <c r="F445" t="s">
        <v>2345</v>
      </c>
      <c r="G445" s="20" t="s">
        <v>2254</v>
      </c>
      <c r="H445" t="s">
        <v>2255</v>
      </c>
      <c r="I445" s="20" t="s">
        <v>2256</v>
      </c>
      <c r="J445" s="20" t="s">
        <v>76</v>
      </c>
      <c r="K445" s="20" t="s">
        <v>76</v>
      </c>
      <c r="L445" s="20" t="s">
        <v>72</v>
      </c>
      <c r="M445" s="20" t="s">
        <v>71</v>
      </c>
      <c r="N445" s="20" t="s">
        <v>72</v>
      </c>
      <c r="O445" s="20" t="s">
        <v>72</v>
      </c>
      <c r="P445" s="20" t="s">
        <v>72</v>
      </c>
      <c r="Q445" s="20" t="s">
        <v>72</v>
      </c>
      <c r="R445" s="20" t="s">
        <v>72</v>
      </c>
      <c r="S445" s="20" t="s">
        <v>72</v>
      </c>
      <c r="T445" s="20" t="s">
        <v>72</v>
      </c>
      <c r="U445" s="20" t="s">
        <v>72</v>
      </c>
      <c r="V445" s="20" t="s">
        <v>72</v>
      </c>
      <c r="W445" s="20" t="s">
        <v>72</v>
      </c>
      <c r="X445" s="20" t="s">
        <v>72</v>
      </c>
      <c r="Y445" s="20" t="s">
        <v>72</v>
      </c>
      <c r="Z445" s="20" t="s">
        <v>72</v>
      </c>
      <c r="AA445" s="23" t="s">
        <v>91</v>
      </c>
      <c r="AC445" s="25">
        <v>1</v>
      </c>
    </row>
    <row r="446" spans="1:29" ht="15" hidden="1" x14ac:dyDescent="0.2">
      <c r="A446">
        <v>3445785</v>
      </c>
      <c r="B446">
        <v>445</v>
      </c>
      <c r="C446" s="26" t="s">
        <v>1351</v>
      </c>
      <c r="D446" t="s">
        <v>2346</v>
      </c>
      <c r="E446">
        <v>3004507524</v>
      </c>
      <c r="F446" t="s">
        <v>2347</v>
      </c>
      <c r="G446" s="20" t="s">
        <v>2254</v>
      </c>
      <c r="H446" t="s">
        <v>2255</v>
      </c>
      <c r="I446" s="20" t="s">
        <v>2256</v>
      </c>
      <c r="J446" s="20" t="s">
        <v>71</v>
      </c>
      <c r="K446" s="20" t="s">
        <v>71</v>
      </c>
      <c r="L446" s="20" t="s">
        <v>71</v>
      </c>
      <c r="M446" s="20" t="s">
        <v>71</v>
      </c>
      <c r="N446" s="20" t="s">
        <v>71</v>
      </c>
      <c r="O446" s="20" t="s">
        <v>71</v>
      </c>
      <c r="P446" s="20" t="s">
        <v>71</v>
      </c>
      <c r="Q446" s="20" t="s">
        <v>71</v>
      </c>
      <c r="R446" s="20" t="s">
        <v>71</v>
      </c>
      <c r="S446" s="20" t="s">
        <v>71</v>
      </c>
      <c r="T446" s="20" t="s">
        <v>71</v>
      </c>
      <c r="U446" s="20" t="s">
        <v>72</v>
      </c>
      <c r="V446" s="20" t="s">
        <v>72</v>
      </c>
      <c r="W446" s="20" t="s">
        <v>72</v>
      </c>
      <c r="X446" s="20" t="s">
        <v>72</v>
      </c>
      <c r="Y446" s="20" t="s">
        <v>72</v>
      </c>
      <c r="Z446" s="20" t="s">
        <v>72</v>
      </c>
      <c r="AA446" s="23" t="s">
        <v>179</v>
      </c>
      <c r="AC446" s="25">
        <v>2</v>
      </c>
    </row>
    <row r="447" spans="1:29" ht="15" hidden="1" x14ac:dyDescent="0.2">
      <c r="A447">
        <v>43997530</v>
      </c>
      <c r="B447">
        <v>446</v>
      </c>
      <c r="C447" s="26" t="s">
        <v>1351</v>
      </c>
      <c r="D447" t="s">
        <v>2348</v>
      </c>
      <c r="E447">
        <v>3157077861</v>
      </c>
      <c r="F447" t="s">
        <v>2349</v>
      </c>
      <c r="G447" s="20" t="s">
        <v>2254</v>
      </c>
      <c r="H447" t="s">
        <v>2255</v>
      </c>
      <c r="I447" s="20" t="s">
        <v>2256</v>
      </c>
      <c r="J447" s="20" t="s">
        <v>71</v>
      </c>
      <c r="K447" s="20" t="s">
        <v>71</v>
      </c>
      <c r="L447" s="20" t="s">
        <v>76</v>
      </c>
      <c r="M447" s="20" t="s">
        <v>71</v>
      </c>
      <c r="N447" s="20" t="s">
        <v>71</v>
      </c>
      <c r="O447" s="20" t="s">
        <v>71</v>
      </c>
      <c r="P447" s="20" t="s">
        <v>71</v>
      </c>
      <c r="Q447" s="20" t="s">
        <v>76</v>
      </c>
      <c r="R447" s="20" t="s">
        <v>76</v>
      </c>
      <c r="S447" s="20" t="s">
        <v>76</v>
      </c>
      <c r="T447" s="20" t="s">
        <v>76</v>
      </c>
      <c r="U447" s="20" t="s">
        <v>72</v>
      </c>
      <c r="V447" s="20" t="s">
        <v>72</v>
      </c>
      <c r="W447" s="20" t="s">
        <v>72</v>
      </c>
      <c r="X447" s="20" t="s">
        <v>72</v>
      </c>
      <c r="Y447" s="20" t="s">
        <v>72</v>
      </c>
      <c r="Z447" s="20" t="s">
        <v>72</v>
      </c>
      <c r="AA447" s="23" t="s">
        <v>80</v>
      </c>
      <c r="AC447" s="25">
        <v>2</v>
      </c>
    </row>
    <row r="448" spans="1:29" ht="15" hidden="1" x14ac:dyDescent="0.2">
      <c r="A448">
        <v>1001235015</v>
      </c>
      <c r="B448">
        <v>447</v>
      </c>
      <c r="C448" s="26" t="s">
        <v>1351</v>
      </c>
      <c r="D448" t="s">
        <v>2350</v>
      </c>
      <c r="E448">
        <v>3226245723</v>
      </c>
      <c r="F448" t="s">
        <v>2351</v>
      </c>
      <c r="G448" s="20" t="s">
        <v>2254</v>
      </c>
      <c r="H448" t="s">
        <v>2255</v>
      </c>
      <c r="I448" s="20" t="s">
        <v>2256</v>
      </c>
      <c r="J448" s="20" t="s">
        <v>76</v>
      </c>
      <c r="K448" s="20" t="s">
        <v>76</v>
      </c>
      <c r="L448" s="20" t="s">
        <v>76</v>
      </c>
      <c r="M448" s="20" t="s">
        <v>71</v>
      </c>
      <c r="N448" s="20" t="s">
        <v>72</v>
      </c>
      <c r="O448" s="20" t="s">
        <v>72</v>
      </c>
      <c r="P448" s="20" t="s">
        <v>72</v>
      </c>
      <c r="Q448" s="20" t="s">
        <v>72</v>
      </c>
      <c r="R448" s="20" t="s">
        <v>72</v>
      </c>
      <c r="S448" s="20" t="s">
        <v>72</v>
      </c>
      <c r="T448" s="20" t="s">
        <v>72</v>
      </c>
      <c r="U448" s="20" t="s">
        <v>72</v>
      </c>
      <c r="V448" s="20" t="s">
        <v>72</v>
      </c>
      <c r="W448" s="20" t="s">
        <v>72</v>
      </c>
      <c r="X448" s="20" t="s">
        <v>72</v>
      </c>
      <c r="Y448" s="20" t="s">
        <v>76</v>
      </c>
      <c r="Z448" s="20" t="s">
        <v>76</v>
      </c>
      <c r="AA448" s="23" t="s">
        <v>91</v>
      </c>
      <c r="AC448" s="25">
        <v>1</v>
      </c>
    </row>
    <row r="449" spans="1:29" ht="15" hidden="1" x14ac:dyDescent="0.2">
      <c r="A449">
        <v>43033841</v>
      </c>
      <c r="B449">
        <v>448</v>
      </c>
      <c r="C449" s="26" t="s">
        <v>1351</v>
      </c>
      <c r="D449" t="s">
        <v>2352</v>
      </c>
      <c r="E449">
        <v>3243066907</v>
      </c>
      <c r="F449" t="s">
        <v>2353</v>
      </c>
      <c r="G449" s="20" t="s">
        <v>2254</v>
      </c>
      <c r="H449" t="s">
        <v>2255</v>
      </c>
      <c r="I449" s="20" t="s">
        <v>2256</v>
      </c>
      <c r="AA449" s="23" t="s">
        <v>1367</v>
      </c>
      <c r="AB449" s="24" t="s">
        <v>2315</v>
      </c>
      <c r="AC449" s="25" t="s">
        <v>1367</v>
      </c>
    </row>
    <row r="450" spans="1:29" ht="15" hidden="1" x14ac:dyDescent="0.2">
      <c r="A450">
        <v>32526054</v>
      </c>
      <c r="B450">
        <v>449</v>
      </c>
      <c r="C450" s="26" t="s">
        <v>1351</v>
      </c>
      <c r="D450" t="s">
        <v>2354</v>
      </c>
      <c r="E450">
        <v>3115658890</v>
      </c>
      <c r="F450" t="s">
        <v>2355</v>
      </c>
      <c r="G450" s="20" t="s">
        <v>2254</v>
      </c>
      <c r="H450" t="s">
        <v>2255</v>
      </c>
      <c r="I450" s="20" t="s">
        <v>2256</v>
      </c>
      <c r="J450" s="20" t="s">
        <v>71</v>
      </c>
      <c r="K450" s="20" t="s">
        <v>71</v>
      </c>
      <c r="L450" s="20" t="s">
        <v>71</v>
      </c>
      <c r="M450" s="20" t="s">
        <v>71</v>
      </c>
      <c r="N450" s="20" t="s">
        <v>72</v>
      </c>
      <c r="O450" s="20" t="s">
        <v>72</v>
      </c>
      <c r="P450" s="20" t="s">
        <v>72</v>
      </c>
      <c r="Q450" s="20" t="s">
        <v>72</v>
      </c>
      <c r="R450" s="20" t="s">
        <v>72</v>
      </c>
      <c r="S450" s="20" t="s">
        <v>72</v>
      </c>
      <c r="T450" s="20" t="s">
        <v>72</v>
      </c>
      <c r="U450" s="20" t="s">
        <v>72</v>
      </c>
      <c r="V450" s="20" t="s">
        <v>72</v>
      </c>
      <c r="W450" s="20" t="s">
        <v>72</v>
      </c>
      <c r="X450" s="20" t="s">
        <v>72</v>
      </c>
      <c r="Y450" s="20" t="s">
        <v>72</v>
      </c>
      <c r="Z450" s="20" t="s">
        <v>72</v>
      </c>
      <c r="AA450" s="23" t="s">
        <v>80</v>
      </c>
      <c r="AC450" s="25">
        <v>2</v>
      </c>
    </row>
    <row r="451" spans="1:29" ht="15" hidden="1" x14ac:dyDescent="0.2">
      <c r="A451">
        <v>43097896</v>
      </c>
      <c r="B451">
        <v>450</v>
      </c>
      <c r="C451" s="26" t="s">
        <v>1351</v>
      </c>
      <c r="D451" t="s">
        <v>2356</v>
      </c>
      <c r="E451">
        <v>3002148159</v>
      </c>
      <c r="F451" t="s">
        <v>2357</v>
      </c>
      <c r="G451" s="20" t="s">
        <v>2254</v>
      </c>
      <c r="H451" t="s">
        <v>2255</v>
      </c>
      <c r="I451" s="20" t="s">
        <v>2259</v>
      </c>
      <c r="AA451" s="23" t="s">
        <v>1367</v>
      </c>
      <c r="AB451" s="24" t="s">
        <v>2315</v>
      </c>
      <c r="AC451" s="25" t="s">
        <v>1367</v>
      </c>
    </row>
    <row r="452" spans="1:29" ht="15" hidden="1" x14ac:dyDescent="0.2">
      <c r="A452">
        <v>43810860</v>
      </c>
      <c r="B452">
        <v>451</v>
      </c>
      <c r="C452" s="26" t="s">
        <v>1351</v>
      </c>
      <c r="D452" t="s">
        <v>2358</v>
      </c>
      <c r="E452">
        <v>3015866328</v>
      </c>
      <c r="F452" t="s">
        <v>2359</v>
      </c>
      <c r="G452" s="20" t="s">
        <v>2254</v>
      </c>
      <c r="H452" t="s">
        <v>2255</v>
      </c>
      <c r="I452" s="20" t="s">
        <v>2256</v>
      </c>
      <c r="J452" s="20" t="s">
        <v>76</v>
      </c>
      <c r="K452" s="20" t="s">
        <v>76</v>
      </c>
      <c r="L452" s="20" t="s">
        <v>76</v>
      </c>
      <c r="M452" s="20" t="s">
        <v>71</v>
      </c>
      <c r="N452" s="20" t="s">
        <v>72</v>
      </c>
      <c r="O452" s="20" t="s">
        <v>72</v>
      </c>
      <c r="P452" s="20" t="s">
        <v>72</v>
      </c>
      <c r="Q452" s="20" t="s">
        <v>72</v>
      </c>
      <c r="R452" s="20" t="s">
        <v>72</v>
      </c>
      <c r="S452" s="20" t="s">
        <v>72</v>
      </c>
      <c r="T452" s="20" t="s">
        <v>72</v>
      </c>
      <c r="U452" s="20" t="s">
        <v>72</v>
      </c>
      <c r="V452" s="20" t="s">
        <v>72</v>
      </c>
      <c r="W452" s="20" t="s">
        <v>72</v>
      </c>
      <c r="X452" s="20" t="s">
        <v>72</v>
      </c>
      <c r="Y452" s="20" t="s">
        <v>72</v>
      </c>
      <c r="Z452" s="20" t="s">
        <v>72</v>
      </c>
      <c r="AA452" s="23" t="s">
        <v>91</v>
      </c>
      <c r="AC452" s="25">
        <v>1</v>
      </c>
    </row>
    <row r="453" spans="1:29" ht="15" hidden="1" x14ac:dyDescent="0.2">
      <c r="A453">
        <v>1000292440</v>
      </c>
      <c r="B453">
        <v>452</v>
      </c>
      <c r="C453" s="26" t="s">
        <v>1351</v>
      </c>
      <c r="D453" t="s">
        <v>2360</v>
      </c>
      <c r="E453">
        <v>3015253347</v>
      </c>
      <c r="F453" t="s">
        <v>2361</v>
      </c>
      <c r="G453" s="20" t="s">
        <v>2254</v>
      </c>
      <c r="H453" t="s">
        <v>2255</v>
      </c>
      <c r="I453" s="20" t="s">
        <v>2259</v>
      </c>
      <c r="J453" s="20" t="s">
        <v>76</v>
      </c>
      <c r="K453" s="20" t="s">
        <v>76</v>
      </c>
      <c r="L453" s="20" t="s">
        <v>76</v>
      </c>
      <c r="M453" s="20" t="s">
        <v>71</v>
      </c>
      <c r="N453" s="20" t="s">
        <v>76</v>
      </c>
      <c r="O453" s="20" t="s">
        <v>72</v>
      </c>
      <c r="P453" s="20" t="s">
        <v>72</v>
      </c>
      <c r="Q453" s="20" t="s">
        <v>72</v>
      </c>
      <c r="R453" s="20" t="s">
        <v>72</v>
      </c>
      <c r="S453" s="20" t="s">
        <v>72</v>
      </c>
      <c r="T453" s="20" t="s">
        <v>72</v>
      </c>
      <c r="U453" s="20" t="s">
        <v>71</v>
      </c>
      <c r="V453" s="20" t="s">
        <v>76</v>
      </c>
      <c r="W453" s="20" t="s">
        <v>72</v>
      </c>
      <c r="X453" s="20" t="s">
        <v>72</v>
      </c>
      <c r="Y453" s="20" t="s">
        <v>72</v>
      </c>
      <c r="Z453" s="20" t="s">
        <v>72</v>
      </c>
      <c r="AA453" s="23" t="s">
        <v>91</v>
      </c>
      <c r="AC453" s="25">
        <v>2</v>
      </c>
    </row>
    <row r="454" spans="1:29" ht="15" hidden="1" x14ac:dyDescent="0.2">
      <c r="A454">
        <v>1036617115</v>
      </c>
      <c r="B454">
        <v>453</v>
      </c>
      <c r="C454" s="26" t="s">
        <v>1351</v>
      </c>
      <c r="D454" t="s">
        <v>2362</v>
      </c>
      <c r="E454">
        <v>3234832887</v>
      </c>
      <c r="F454" t="s">
        <v>2363</v>
      </c>
      <c r="G454" s="20" t="s">
        <v>2254</v>
      </c>
      <c r="H454" t="s">
        <v>2255</v>
      </c>
      <c r="I454" s="20" t="s">
        <v>2259</v>
      </c>
      <c r="J454" s="20" t="s">
        <v>71</v>
      </c>
      <c r="K454" s="20" t="s">
        <v>71</v>
      </c>
      <c r="L454" s="20" t="s">
        <v>72</v>
      </c>
      <c r="M454" s="20" t="s">
        <v>76</v>
      </c>
      <c r="N454" s="20" t="s">
        <v>72</v>
      </c>
      <c r="O454" s="20" t="s">
        <v>72</v>
      </c>
      <c r="P454" s="20" t="s">
        <v>72</v>
      </c>
      <c r="Q454" s="20" t="s">
        <v>72</v>
      </c>
      <c r="R454" s="20" t="s">
        <v>72</v>
      </c>
      <c r="S454" s="20" t="s">
        <v>72</v>
      </c>
      <c r="T454" s="20" t="s">
        <v>72</v>
      </c>
      <c r="U454" s="20" t="s">
        <v>72</v>
      </c>
      <c r="V454" s="20" t="s">
        <v>76</v>
      </c>
      <c r="W454" s="20" t="s">
        <v>72</v>
      </c>
      <c r="X454" s="20" t="s">
        <v>72</v>
      </c>
      <c r="Y454" s="20" t="s">
        <v>72</v>
      </c>
      <c r="Z454" s="20" t="s">
        <v>72</v>
      </c>
      <c r="AA454" s="23" t="s">
        <v>80</v>
      </c>
      <c r="AC454" s="25">
        <v>2</v>
      </c>
    </row>
    <row r="455" spans="1:29" ht="15" hidden="1" x14ac:dyDescent="0.2">
      <c r="A455">
        <v>43643362</v>
      </c>
      <c r="B455">
        <v>454</v>
      </c>
      <c r="C455" s="26" t="s">
        <v>1351</v>
      </c>
      <c r="D455" t="s">
        <v>2057</v>
      </c>
      <c r="E455">
        <v>3204324536</v>
      </c>
      <c r="F455" t="s">
        <v>2364</v>
      </c>
      <c r="G455" s="20" t="s">
        <v>2254</v>
      </c>
      <c r="H455" t="s">
        <v>2255</v>
      </c>
      <c r="I455" s="20" t="s">
        <v>2259</v>
      </c>
      <c r="J455" s="20" t="s">
        <v>71</v>
      </c>
      <c r="K455" s="20" t="s">
        <v>71</v>
      </c>
      <c r="L455" s="20" t="s">
        <v>72</v>
      </c>
      <c r="M455" s="20" t="s">
        <v>71</v>
      </c>
      <c r="N455" s="20" t="s">
        <v>72</v>
      </c>
      <c r="O455" s="20" t="s">
        <v>72</v>
      </c>
      <c r="P455" s="20" t="s">
        <v>72</v>
      </c>
      <c r="Q455" s="20" t="s">
        <v>72</v>
      </c>
      <c r="R455" s="20" t="s">
        <v>72</v>
      </c>
      <c r="S455" s="20" t="s">
        <v>72</v>
      </c>
      <c r="T455" s="20" t="s">
        <v>72</v>
      </c>
      <c r="U455" s="20" t="s">
        <v>71</v>
      </c>
      <c r="V455" s="20" t="s">
        <v>71</v>
      </c>
      <c r="W455" s="20" t="s">
        <v>71</v>
      </c>
      <c r="X455" s="20" t="s">
        <v>71</v>
      </c>
      <c r="Y455" s="20" t="s">
        <v>71</v>
      </c>
      <c r="Z455" s="20" t="s">
        <v>71</v>
      </c>
      <c r="AA455" s="23" t="s">
        <v>256</v>
      </c>
      <c r="AC455" s="25">
        <v>2</v>
      </c>
    </row>
    <row r="456" spans="1:29" ht="15" hidden="1" x14ac:dyDescent="0.2">
      <c r="A456">
        <v>43565062</v>
      </c>
      <c r="B456">
        <v>455</v>
      </c>
      <c r="C456" s="26" t="s">
        <v>1351</v>
      </c>
      <c r="D456" t="s">
        <v>2365</v>
      </c>
      <c r="E456"/>
      <c r="F456" t="s">
        <v>2366</v>
      </c>
      <c r="G456" s="20" t="s">
        <v>2254</v>
      </c>
      <c r="H456" t="s">
        <v>2255</v>
      </c>
      <c r="I456" s="20" t="s">
        <v>2259</v>
      </c>
      <c r="J456" s="20" t="s">
        <v>71</v>
      </c>
      <c r="K456" s="20" t="s">
        <v>71</v>
      </c>
      <c r="L456" s="20" t="s">
        <v>76</v>
      </c>
      <c r="M456" s="20" t="s">
        <v>71</v>
      </c>
      <c r="N456" s="20" t="s">
        <v>72</v>
      </c>
      <c r="O456" s="20" t="s">
        <v>72</v>
      </c>
      <c r="P456" s="20" t="s">
        <v>72</v>
      </c>
      <c r="Q456" s="20" t="s">
        <v>72</v>
      </c>
      <c r="R456" s="20" t="s">
        <v>72</v>
      </c>
      <c r="S456" s="20" t="s">
        <v>72</v>
      </c>
      <c r="T456" s="20" t="s">
        <v>72</v>
      </c>
      <c r="U456" s="20" t="s">
        <v>71</v>
      </c>
      <c r="V456" s="20" t="s">
        <v>71</v>
      </c>
      <c r="W456" s="20" t="s">
        <v>71</v>
      </c>
      <c r="X456" s="20" t="s">
        <v>71</v>
      </c>
      <c r="Y456" s="20" t="s">
        <v>71</v>
      </c>
      <c r="Z456" s="20" t="s">
        <v>71</v>
      </c>
      <c r="AA456" s="23" t="s">
        <v>256</v>
      </c>
      <c r="AC456" s="25">
        <v>2</v>
      </c>
    </row>
    <row r="457" spans="1:29" ht="15" hidden="1" x14ac:dyDescent="0.2">
      <c r="A457">
        <v>98657538</v>
      </c>
      <c r="B457">
        <v>456</v>
      </c>
      <c r="C457" s="26" t="s">
        <v>1351</v>
      </c>
      <c r="D457" t="s">
        <v>2367</v>
      </c>
      <c r="E457">
        <v>3243308207</v>
      </c>
      <c r="F457" t="s">
        <v>2368</v>
      </c>
      <c r="G457" s="20" t="s">
        <v>2254</v>
      </c>
      <c r="H457" t="s">
        <v>2255</v>
      </c>
      <c r="I457" s="20" t="s">
        <v>2256</v>
      </c>
      <c r="J457" s="20" t="s">
        <v>71</v>
      </c>
      <c r="K457" s="20" t="s">
        <v>71</v>
      </c>
      <c r="L457" s="20" t="s">
        <v>72</v>
      </c>
      <c r="M457" s="20" t="s">
        <v>72</v>
      </c>
      <c r="N457" s="20" t="s">
        <v>72</v>
      </c>
      <c r="O457" s="20" t="s">
        <v>72</v>
      </c>
      <c r="P457" s="20" t="s">
        <v>72</v>
      </c>
      <c r="Q457" s="20" t="s">
        <v>72</v>
      </c>
      <c r="R457" s="20" t="s">
        <v>72</v>
      </c>
      <c r="S457" s="20" t="s">
        <v>72</v>
      </c>
      <c r="T457" s="20" t="s">
        <v>72</v>
      </c>
      <c r="U457" s="20" t="s">
        <v>72</v>
      </c>
      <c r="V457" s="20" t="s">
        <v>72</v>
      </c>
      <c r="W457" s="20" t="s">
        <v>72</v>
      </c>
      <c r="X457" s="20" t="s">
        <v>72</v>
      </c>
      <c r="Y457" s="20" t="s">
        <v>72</v>
      </c>
      <c r="Z457" s="20" t="s">
        <v>72</v>
      </c>
      <c r="AA457" s="23" t="s">
        <v>80</v>
      </c>
      <c r="AC457" s="25">
        <v>1</v>
      </c>
    </row>
    <row r="458" spans="1:29" ht="15" hidden="1" x14ac:dyDescent="0.2">
      <c r="A458">
        <v>21757096</v>
      </c>
      <c r="B458">
        <v>457</v>
      </c>
      <c r="C458" s="26" t="s">
        <v>1351</v>
      </c>
      <c r="D458" t="s">
        <v>2369</v>
      </c>
      <c r="E458">
        <v>3005450858</v>
      </c>
      <c r="F458" t="s">
        <v>2370</v>
      </c>
      <c r="G458" s="20" t="s">
        <v>2254</v>
      </c>
      <c r="H458" t="s">
        <v>2255</v>
      </c>
      <c r="I458" s="20" t="s">
        <v>2256</v>
      </c>
      <c r="J458" s="20" t="s">
        <v>76</v>
      </c>
      <c r="K458" s="20" t="s">
        <v>76</v>
      </c>
      <c r="L458" s="20" t="s">
        <v>71</v>
      </c>
      <c r="M458" s="20" t="s">
        <v>71</v>
      </c>
      <c r="N458" s="20" t="s">
        <v>71</v>
      </c>
      <c r="O458" s="20" t="s">
        <v>71</v>
      </c>
      <c r="P458" s="20" t="s">
        <v>71</v>
      </c>
      <c r="Q458" s="20" t="s">
        <v>71</v>
      </c>
      <c r="R458" s="20" t="s">
        <v>71</v>
      </c>
      <c r="S458" s="20" t="s">
        <v>71</v>
      </c>
      <c r="T458" s="20" t="s">
        <v>71</v>
      </c>
      <c r="U458" s="20" t="s">
        <v>71</v>
      </c>
      <c r="V458" s="20" t="s">
        <v>71</v>
      </c>
      <c r="W458" s="20" t="s">
        <v>71</v>
      </c>
      <c r="X458" s="20" t="s">
        <v>71</v>
      </c>
      <c r="Y458" s="20" t="s">
        <v>71</v>
      </c>
      <c r="Z458" s="20" t="s">
        <v>71</v>
      </c>
      <c r="AA458" s="23" t="s">
        <v>73</v>
      </c>
      <c r="AC458" s="25">
        <v>2</v>
      </c>
    </row>
    <row r="459" spans="1:29" ht="15" hidden="1" x14ac:dyDescent="0.2">
      <c r="A459">
        <v>42792571</v>
      </c>
      <c r="B459">
        <v>458</v>
      </c>
      <c r="C459" s="26" t="s">
        <v>1351</v>
      </c>
      <c r="D459" t="s">
        <v>2371</v>
      </c>
      <c r="E459">
        <v>3246835689</v>
      </c>
      <c r="F459" t="s">
        <v>2372</v>
      </c>
      <c r="G459" s="20" t="s">
        <v>2254</v>
      </c>
      <c r="H459" t="s">
        <v>2255</v>
      </c>
      <c r="I459" s="20" t="s">
        <v>2259</v>
      </c>
      <c r="AA459" s="23" t="s">
        <v>1367</v>
      </c>
      <c r="AB459" s="24" t="s">
        <v>2373</v>
      </c>
      <c r="AC459" s="25" t="s">
        <v>1367</v>
      </c>
    </row>
    <row r="460" spans="1:29" ht="15" hidden="1" x14ac:dyDescent="0.2">
      <c r="A460">
        <v>71216514</v>
      </c>
      <c r="B460">
        <v>459</v>
      </c>
      <c r="C460" s="26" t="s">
        <v>1351</v>
      </c>
      <c r="D460" t="s">
        <v>2374</v>
      </c>
      <c r="E460">
        <v>3043817243</v>
      </c>
      <c r="F460" t="s">
        <v>2375</v>
      </c>
      <c r="G460" s="20" t="s">
        <v>2254</v>
      </c>
      <c r="H460" t="s">
        <v>2255</v>
      </c>
      <c r="I460" s="20" t="s">
        <v>2256</v>
      </c>
      <c r="J460" s="20" t="s">
        <v>71</v>
      </c>
      <c r="K460" s="20" t="s">
        <v>71</v>
      </c>
      <c r="L460" s="20" t="s">
        <v>76</v>
      </c>
      <c r="M460" s="20" t="s">
        <v>71</v>
      </c>
      <c r="N460" s="20" t="s">
        <v>72</v>
      </c>
      <c r="O460" s="20" t="s">
        <v>72</v>
      </c>
      <c r="P460" s="20" t="s">
        <v>72</v>
      </c>
      <c r="Q460" s="20" t="s">
        <v>72</v>
      </c>
      <c r="R460" s="20" t="s">
        <v>72</v>
      </c>
      <c r="S460" s="20" t="s">
        <v>72</v>
      </c>
      <c r="T460" s="20" t="s">
        <v>72</v>
      </c>
      <c r="U460" s="20" t="s">
        <v>72</v>
      </c>
      <c r="V460" s="20" t="s">
        <v>72</v>
      </c>
      <c r="W460" s="20" t="s">
        <v>72</v>
      </c>
      <c r="X460" s="20" t="s">
        <v>72</v>
      </c>
      <c r="Y460" s="20" t="s">
        <v>72</v>
      </c>
      <c r="Z460" s="20" t="s">
        <v>72</v>
      </c>
      <c r="AA460" s="23" t="s">
        <v>80</v>
      </c>
      <c r="AC460" s="25">
        <v>2</v>
      </c>
    </row>
    <row r="461" spans="1:29" ht="15" hidden="1" x14ac:dyDescent="0.2">
      <c r="A461">
        <v>70049056</v>
      </c>
      <c r="B461">
        <v>460</v>
      </c>
      <c r="C461" s="26" t="s">
        <v>1351</v>
      </c>
      <c r="D461" t="s">
        <v>2376</v>
      </c>
      <c r="E461">
        <v>6045240033</v>
      </c>
      <c r="F461" t="s">
        <v>2377</v>
      </c>
      <c r="G461" s="20" t="s">
        <v>2254</v>
      </c>
      <c r="H461" t="s">
        <v>2255</v>
      </c>
      <c r="I461" s="20" t="s">
        <v>2256</v>
      </c>
      <c r="J461" s="20" t="s">
        <v>71</v>
      </c>
      <c r="K461" s="20" t="s">
        <v>71</v>
      </c>
      <c r="L461" s="20" t="s">
        <v>71</v>
      </c>
      <c r="M461" s="20" t="s">
        <v>71</v>
      </c>
      <c r="N461" s="20" t="s">
        <v>72</v>
      </c>
      <c r="O461" s="20" t="s">
        <v>72</v>
      </c>
      <c r="P461" s="20" t="s">
        <v>72</v>
      </c>
      <c r="Q461" s="20" t="s">
        <v>72</v>
      </c>
      <c r="R461" s="20" t="s">
        <v>72</v>
      </c>
      <c r="S461" s="20" t="s">
        <v>72</v>
      </c>
      <c r="T461" s="20" t="s">
        <v>72</v>
      </c>
      <c r="U461" s="20" t="s">
        <v>72</v>
      </c>
      <c r="V461" s="20" t="s">
        <v>72</v>
      </c>
      <c r="W461" s="20" t="s">
        <v>72</v>
      </c>
      <c r="X461" s="20" t="s">
        <v>72</v>
      </c>
      <c r="Y461" s="20" t="s">
        <v>72</v>
      </c>
      <c r="Z461" s="20" t="s">
        <v>72</v>
      </c>
      <c r="AA461" s="23" t="s">
        <v>80</v>
      </c>
      <c r="AC461" s="25">
        <v>2</v>
      </c>
    </row>
    <row r="462" spans="1:29" ht="15" hidden="1" x14ac:dyDescent="0.2">
      <c r="A462">
        <v>1128424714</v>
      </c>
      <c r="B462">
        <v>461</v>
      </c>
      <c r="C462" s="26" t="s">
        <v>1351</v>
      </c>
      <c r="D462" t="s">
        <v>2378</v>
      </c>
      <c r="E462">
        <v>3114448151</v>
      </c>
      <c r="F462" t="s">
        <v>2379</v>
      </c>
      <c r="G462" s="20" t="s">
        <v>2254</v>
      </c>
      <c r="H462" t="s">
        <v>2255</v>
      </c>
      <c r="I462" s="20" t="s">
        <v>2259</v>
      </c>
      <c r="AA462" s="23" t="s">
        <v>1367</v>
      </c>
      <c r="AB462" s="24" t="s">
        <v>2380</v>
      </c>
      <c r="AC462" s="25" t="s">
        <v>1367</v>
      </c>
    </row>
    <row r="463" spans="1:29" ht="15" hidden="1" x14ac:dyDescent="0.2">
      <c r="A463">
        <v>43662572</v>
      </c>
      <c r="B463">
        <v>462</v>
      </c>
      <c r="C463" s="26" t="s">
        <v>1351</v>
      </c>
      <c r="D463" t="s">
        <v>2381</v>
      </c>
      <c r="E463"/>
      <c r="F463" t="s">
        <v>2382</v>
      </c>
      <c r="G463" s="20" t="s">
        <v>2254</v>
      </c>
      <c r="H463" t="s">
        <v>2255</v>
      </c>
      <c r="I463" s="20" t="s">
        <v>2259</v>
      </c>
      <c r="AA463" s="23" t="s">
        <v>1367</v>
      </c>
      <c r="AB463" s="24" t="s">
        <v>2383</v>
      </c>
      <c r="AC463" s="25" t="s">
        <v>1367</v>
      </c>
    </row>
    <row r="464" spans="1:29" ht="15" hidden="1" x14ac:dyDescent="0.2">
      <c r="A464">
        <v>1214737888</v>
      </c>
      <c r="B464">
        <v>463</v>
      </c>
      <c r="C464" s="26" t="s">
        <v>1351</v>
      </c>
      <c r="D464" t="s">
        <v>2384</v>
      </c>
      <c r="E464">
        <v>3005997497</v>
      </c>
      <c r="F464" t="s">
        <v>2385</v>
      </c>
      <c r="G464" s="20" t="s">
        <v>2254</v>
      </c>
      <c r="H464" t="s">
        <v>2255</v>
      </c>
      <c r="I464" s="20" t="s">
        <v>2259</v>
      </c>
      <c r="AA464" s="23" t="s">
        <v>1367</v>
      </c>
      <c r="AB464" s="24" t="s">
        <v>2380</v>
      </c>
      <c r="AC464" s="25" t="s">
        <v>1367</v>
      </c>
    </row>
    <row r="465" spans="1:29" ht="15" hidden="1" x14ac:dyDescent="0.2">
      <c r="A465">
        <v>43159959</v>
      </c>
      <c r="B465">
        <v>464</v>
      </c>
      <c r="C465" s="26" t="s">
        <v>1351</v>
      </c>
      <c r="D465" t="s">
        <v>2386</v>
      </c>
      <c r="E465">
        <v>3008895113</v>
      </c>
      <c r="F465" t="s">
        <v>2387</v>
      </c>
      <c r="G465" s="20" t="s">
        <v>2254</v>
      </c>
      <c r="H465" t="s">
        <v>2255</v>
      </c>
      <c r="I465" s="20" t="s">
        <v>2259</v>
      </c>
      <c r="AA465" s="23" t="s">
        <v>1367</v>
      </c>
      <c r="AB465" s="24" t="s">
        <v>2380</v>
      </c>
      <c r="AC465" s="25" t="s">
        <v>1367</v>
      </c>
    </row>
    <row r="466" spans="1:29" ht="15" hidden="1" x14ac:dyDescent="0.2">
      <c r="A466">
        <v>32487224</v>
      </c>
      <c r="B466">
        <v>465</v>
      </c>
      <c r="C466" s="26" t="s">
        <v>1351</v>
      </c>
      <c r="D466" t="s">
        <v>2252</v>
      </c>
      <c r="E466">
        <v>3045507169</v>
      </c>
      <c r="F466" t="s">
        <v>2388</v>
      </c>
      <c r="G466" s="20" t="s">
        <v>2254</v>
      </c>
      <c r="H466" t="s">
        <v>2255</v>
      </c>
      <c r="I466" s="20" t="s">
        <v>2259</v>
      </c>
      <c r="AA466" s="23" t="s">
        <v>1367</v>
      </c>
      <c r="AB466" s="24" t="s">
        <v>2383</v>
      </c>
      <c r="AC466" s="25" t="s">
        <v>1367</v>
      </c>
    </row>
    <row r="467" spans="1:29" ht="15" hidden="1" x14ac:dyDescent="0.2">
      <c r="A467">
        <v>44008242</v>
      </c>
      <c r="B467">
        <v>466</v>
      </c>
      <c r="C467" s="26" t="s">
        <v>1351</v>
      </c>
      <c r="D467" t="s">
        <v>2389</v>
      </c>
      <c r="E467">
        <v>3004742207</v>
      </c>
      <c r="F467" t="s">
        <v>2390</v>
      </c>
      <c r="G467" s="20" t="s">
        <v>2254</v>
      </c>
      <c r="H467" t="s">
        <v>2255</v>
      </c>
      <c r="I467" s="20" t="s">
        <v>2256</v>
      </c>
      <c r="J467" s="20" t="s">
        <v>72</v>
      </c>
      <c r="K467" s="20" t="s">
        <v>72</v>
      </c>
      <c r="L467" s="20" t="s">
        <v>71</v>
      </c>
      <c r="M467" s="20" t="s">
        <v>71</v>
      </c>
      <c r="N467" s="20" t="s">
        <v>71</v>
      </c>
      <c r="O467" s="20" t="s">
        <v>71</v>
      </c>
      <c r="P467" s="20" t="s">
        <v>71</v>
      </c>
      <c r="Q467" s="20" t="s">
        <v>71</v>
      </c>
      <c r="R467" s="20" t="s">
        <v>71</v>
      </c>
      <c r="S467" s="20" t="s">
        <v>71</v>
      </c>
      <c r="T467" s="20" t="s">
        <v>71</v>
      </c>
      <c r="U467" s="20" t="s">
        <v>72</v>
      </c>
      <c r="V467" s="20" t="s">
        <v>72</v>
      </c>
      <c r="W467" s="20" t="s">
        <v>72</v>
      </c>
      <c r="X467" s="20" t="s">
        <v>72</v>
      </c>
      <c r="Y467" s="20" t="s">
        <v>72</v>
      </c>
      <c r="Z467" s="20" t="s">
        <v>72</v>
      </c>
      <c r="AA467" s="23" t="s">
        <v>77</v>
      </c>
      <c r="AC467" s="25">
        <v>2</v>
      </c>
    </row>
    <row r="468" spans="1:29" ht="15" hidden="1" x14ac:dyDescent="0.2">
      <c r="A468">
        <v>19143848</v>
      </c>
      <c r="B468">
        <v>467</v>
      </c>
      <c r="C468" s="26" t="s">
        <v>1351</v>
      </c>
      <c r="D468" t="s">
        <v>2391</v>
      </c>
      <c r="E468">
        <v>3147894537</v>
      </c>
      <c r="F468" t="s">
        <v>2392</v>
      </c>
      <c r="G468" s="20" t="s">
        <v>2254</v>
      </c>
      <c r="H468" t="s">
        <v>2255</v>
      </c>
      <c r="I468" s="20" t="s">
        <v>2259</v>
      </c>
      <c r="AA468" s="23" t="s">
        <v>1367</v>
      </c>
      <c r="AB468" s="24" t="s">
        <v>2380</v>
      </c>
      <c r="AC468" s="25" t="s">
        <v>1367</v>
      </c>
    </row>
    <row r="469" spans="1:29" ht="15" hidden="1" x14ac:dyDescent="0.2">
      <c r="A469">
        <v>71365608</v>
      </c>
      <c r="B469">
        <v>468</v>
      </c>
      <c r="C469" s="26" t="s">
        <v>1351</v>
      </c>
      <c r="D469" t="s">
        <v>2393</v>
      </c>
      <c r="E469">
        <v>3114187532</v>
      </c>
      <c r="F469" t="s">
        <v>2394</v>
      </c>
      <c r="G469" s="20" t="s">
        <v>2254</v>
      </c>
      <c r="H469" t="s">
        <v>2255</v>
      </c>
      <c r="I469" s="20" t="s">
        <v>2259</v>
      </c>
      <c r="J469" s="20" t="s">
        <v>71</v>
      </c>
      <c r="K469" s="20" t="s">
        <v>71</v>
      </c>
      <c r="L469" s="20" t="s">
        <v>76</v>
      </c>
      <c r="M469" s="20" t="s">
        <v>76</v>
      </c>
      <c r="N469" s="20" t="s">
        <v>76</v>
      </c>
      <c r="O469" s="20" t="s">
        <v>76</v>
      </c>
      <c r="P469" s="20" t="s">
        <v>76</v>
      </c>
      <c r="Q469" s="20" t="s">
        <v>76</v>
      </c>
      <c r="R469" s="20" t="s">
        <v>76</v>
      </c>
      <c r="S469" s="20" t="s">
        <v>72</v>
      </c>
      <c r="T469" s="20" t="s">
        <v>72</v>
      </c>
      <c r="U469" s="20" t="s">
        <v>76</v>
      </c>
      <c r="V469" s="20" t="s">
        <v>76</v>
      </c>
      <c r="W469" s="20" t="s">
        <v>76</v>
      </c>
      <c r="X469" s="20" t="s">
        <v>71</v>
      </c>
      <c r="Y469" s="20" t="s">
        <v>71</v>
      </c>
      <c r="Z469" s="20" t="s">
        <v>71</v>
      </c>
      <c r="AA469" s="23" t="s">
        <v>80</v>
      </c>
      <c r="AB469" s="24" t="s">
        <v>2395</v>
      </c>
      <c r="AC469" s="25">
        <v>2</v>
      </c>
    </row>
    <row r="470" spans="1:29" ht="15" hidden="1" x14ac:dyDescent="0.2">
      <c r="A470">
        <v>42008677</v>
      </c>
      <c r="B470">
        <v>469</v>
      </c>
      <c r="C470" s="26" t="s">
        <v>1351</v>
      </c>
      <c r="D470" t="s">
        <v>1565</v>
      </c>
      <c r="E470">
        <v>3127890050</v>
      </c>
      <c r="F470" t="s">
        <v>2396</v>
      </c>
      <c r="G470" s="20" t="s">
        <v>2254</v>
      </c>
      <c r="H470" t="s">
        <v>2255</v>
      </c>
      <c r="I470" s="20" t="s">
        <v>2259</v>
      </c>
      <c r="L470" s="20" t="s">
        <v>71</v>
      </c>
      <c r="M470" s="20" t="s">
        <v>76</v>
      </c>
      <c r="N470" s="20" t="s">
        <v>76</v>
      </c>
      <c r="O470" s="20" t="s">
        <v>76</v>
      </c>
      <c r="P470" s="20" t="s">
        <v>72</v>
      </c>
      <c r="Q470" s="20" t="s">
        <v>76</v>
      </c>
      <c r="R470" s="20" t="s">
        <v>76</v>
      </c>
      <c r="S470" s="20" t="s">
        <v>72</v>
      </c>
      <c r="AA470" s="23" t="s">
        <v>1367</v>
      </c>
      <c r="AB470" s="24" t="s">
        <v>2380</v>
      </c>
      <c r="AC470" s="25" t="s">
        <v>1367</v>
      </c>
    </row>
    <row r="471" spans="1:29" ht="15" hidden="1" x14ac:dyDescent="0.2">
      <c r="A471">
        <v>43924916</v>
      </c>
      <c r="B471">
        <v>470</v>
      </c>
      <c r="C471" s="26" t="s">
        <v>1351</v>
      </c>
      <c r="D471" t="s">
        <v>2397</v>
      </c>
      <c r="E471">
        <v>3127503492</v>
      </c>
      <c r="F471" t="s">
        <v>2398</v>
      </c>
      <c r="G471" s="20" t="s">
        <v>2254</v>
      </c>
      <c r="H471" t="s">
        <v>2255</v>
      </c>
      <c r="I471" s="20" t="s">
        <v>2259</v>
      </c>
      <c r="J471" s="20" t="s">
        <v>71</v>
      </c>
      <c r="K471" s="20" t="s">
        <v>71</v>
      </c>
      <c r="L471" s="20" t="s">
        <v>76</v>
      </c>
      <c r="M471" s="20" t="s">
        <v>71</v>
      </c>
      <c r="N471" s="20" t="s">
        <v>72</v>
      </c>
      <c r="O471" s="20" t="s">
        <v>72</v>
      </c>
      <c r="P471" s="20" t="s">
        <v>72</v>
      </c>
      <c r="Q471" s="20" t="s">
        <v>72</v>
      </c>
      <c r="R471" s="20" t="s">
        <v>72</v>
      </c>
      <c r="S471" s="20" t="s">
        <v>72</v>
      </c>
      <c r="T471" s="20" t="s">
        <v>72</v>
      </c>
      <c r="U471" s="20" t="s">
        <v>71</v>
      </c>
      <c r="V471" s="20" t="s">
        <v>71</v>
      </c>
      <c r="W471" s="20" t="s">
        <v>71</v>
      </c>
      <c r="X471" s="20" t="s">
        <v>71</v>
      </c>
      <c r="Y471" s="20" t="s">
        <v>71</v>
      </c>
      <c r="Z471" s="20" t="s">
        <v>71</v>
      </c>
      <c r="AA471" s="23" t="s">
        <v>256</v>
      </c>
      <c r="AC471" s="25">
        <v>2</v>
      </c>
    </row>
    <row r="472" spans="1:29" ht="15" hidden="1" x14ac:dyDescent="0.2">
      <c r="A472">
        <v>32538485</v>
      </c>
      <c r="B472">
        <v>471</v>
      </c>
      <c r="C472" s="26" t="s">
        <v>1351</v>
      </c>
      <c r="D472" t="s">
        <v>2399</v>
      </c>
      <c r="E472">
        <v>3117487108</v>
      </c>
      <c r="F472" t="s">
        <v>2400</v>
      </c>
      <c r="G472" s="20" t="s">
        <v>2254</v>
      </c>
      <c r="H472" t="s">
        <v>2255</v>
      </c>
      <c r="I472" s="20" t="s">
        <v>2256</v>
      </c>
      <c r="AA472" s="23" t="s">
        <v>1367</v>
      </c>
      <c r="AB472" s="24" t="s">
        <v>2380</v>
      </c>
      <c r="AC472" s="25" t="s">
        <v>1367</v>
      </c>
    </row>
    <row r="473" spans="1:29" ht="15" hidden="1" x14ac:dyDescent="0.2">
      <c r="A473">
        <v>43826103</v>
      </c>
      <c r="B473">
        <v>472</v>
      </c>
      <c r="C473" s="26" t="s">
        <v>1351</v>
      </c>
      <c r="D473" t="s">
        <v>2401</v>
      </c>
      <c r="E473">
        <v>3007554733</v>
      </c>
      <c r="F473" t="s">
        <v>2402</v>
      </c>
      <c r="G473" s="20" t="s">
        <v>2254</v>
      </c>
      <c r="H473" t="s">
        <v>2255</v>
      </c>
      <c r="I473" s="20" t="s">
        <v>2259</v>
      </c>
      <c r="AA473" s="23" t="s">
        <v>1367</v>
      </c>
      <c r="AB473" s="24" t="s">
        <v>2383</v>
      </c>
      <c r="AC473" s="25" t="s">
        <v>1367</v>
      </c>
    </row>
    <row r="474" spans="1:29" ht="15" hidden="1" x14ac:dyDescent="0.2">
      <c r="A474">
        <v>1000193972</v>
      </c>
      <c r="B474">
        <v>473</v>
      </c>
      <c r="C474" s="26" t="s">
        <v>1351</v>
      </c>
      <c r="D474" t="s">
        <v>2403</v>
      </c>
      <c r="E474">
        <v>3017654626</v>
      </c>
      <c r="F474" t="s">
        <v>2404</v>
      </c>
      <c r="G474" s="20" t="s">
        <v>2254</v>
      </c>
      <c r="H474" t="s">
        <v>2255</v>
      </c>
      <c r="I474" s="20" t="s">
        <v>2259</v>
      </c>
      <c r="J474" s="20" t="s">
        <v>71</v>
      </c>
      <c r="K474" s="20" t="s">
        <v>71</v>
      </c>
      <c r="L474" s="20" t="s">
        <v>72</v>
      </c>
      <c r="M474" s="20" t="s">
        <v>71</v>
      </c>
      <c r="N474" s="20" t="s">
        <v>72</v>
      </c>
      <c r="O474" s="20" t="s">
        <v>72</v>
      </c>
      <c r="P474" s="20" t="s">
        <v>72</v>
      </c>
      <c r="Q474" s="20" t="s">
        <v>72</v>
      </c>
      <c r="R474" s="20" t="s">
        <v>72</v>
      </c>
      <c r="S474" s="20" t="s">
        <v>72</v>
      </c>
      <c r="T474" s="20" t="s">
        <v>72</v>
      </c>
      <c r="U474" s="20" t="s">
        <v>71</v>
      </c>
      <c r="V474" s="20" t="s">
        <v>71</v>
      </c>
      <c r="W474" s="20" t="s">
        <v>71</v>
      </c>
      <c r="X474" s="20" t="s">
        <v>71</v>
      </c>
      <c r="Y474" s="20" t="s">
        <v>71</v>
      </c>
      <c r="Z474" s="20" t="s">
        <v>71</v>
      </c>
      <c r="AA474" s="23" t="s">
        <v>256</v>
      </c>
      <c r="AB474" s="24" t="s">
        <v>2405</v>
      </c>
      <c r="AC474" s="25">
        <v>2</v>
      </c>
    </row>
    <row r="475" spans="1:29" ht="15" hidden="1" x14ac:dyDescent="0.2">
      <c r="A475">
        <v>32455454</v>
      </c>
      <c r="B475">
        <v>474</v>
      </c>
      <c r="C475" s="26" t="s">
        <v>1351</v>
      </c>
      <c r="D475" t="s">
        <v>2406</v>
      </c>
      <c r="E475">
        <v>3226195861</v>
      </c>
      <c r="F475" t="s">
        <v>2407</v>
      </c>
      <c r="G475" s="20" t="s">
        <v>2254</v>
      </c>
      <c r="H475" t="s">
        <v>2255</v>
      </c>
      <c r="I475" s="20" t="s">
        <v>2259</v>
      </c>
      <c r="J475" s="20" t="s">
        <v>71</v>
      </c>
      <c r="K475" s="20" t="s">
        <v>71</v>
      </c>
      <c r="L475" s="20" t="s">
        <v>72</v>
      </c>
      <c r="M475" s="20" t="s">
        <v>72</v>
      </c>
      <c r="N475" s="20" t="s">
        <v>72</v>
      </c>
      <c r="O475" s="20" t="s">
        <v>72</v>
      </c>
      <c r="P475" s="20" t="s">
        <v>72</v>
      </c>
      <c r="Q475" s="20" t="s">
        <v>72</v>
      </c>
      <c r="R475" s="20" t="s">
        <v>72</v>
      </c>
      <c r="S475" s="20" t="s">
        <v>72</v>
      </c>
      <c r="T475" s="20" t="s">
        <v>72</v>
      </c>
      <c r="U475" s="20" t="s">
        <v>72</v>
      </c>
      <c r="V475" s="20" t="s">
        <v>72</v>
      </c>
      <c r="W475" s="20" t="s">
        <v>72</v>
      </c>
      <c r="X475" s="20" t="s">
        <v>72</v>
      </c>
      <c r="Y475" s="20" t="s">
        <v>72</v>
      </c>
      <c r="Z475" s="20" t="s">
        <v>72</v>
      </c>
      <c r="AA475" s="23" t="s">
        <v>80</v>
      </c>
      <c r="AC475" s="25">
        <v>1</v>
      </c>
    </row>
    <row r="476" spans="1:29" ht="15" hidden="1" x14ac:dyDescent="0.2">
      <c r="A476">
        <v>21869006</v>
      </c>
      <c r="B476">
        <v>475</v>
      </c>
      <c r="C476" s="26" t="s">
        <v>1351</v>
      </c>
      <c r="D476" t="s">
        <v>2408</v>
      </c>
      <c r="E476">
        <v>3117277013</v>
      </c>
      <c r="F476" t="s">
        <v>2409</v>
      </c>
      <c r="G476" s="20" t="s">
        <v>2254</v>
      </c>
      <c r="H476" t="s">
        <v>2255</v>
      </c>
      <c r="I476" s="20" t="s">
        <v>2259</v>
      </c>
      <c r="AA476" s="23" t="s">
        <v>1367</v>
      </c>
      <c r="AB476" s="24" t="s">
        <v>2380</v>
      </c>
      <c r="AC476" s="25" t="s">
        <v>1367</v>
      </c>
    </row>
    <row r="477" spans="1:29" ht="15" hidden="1" x14ac:dyDescent="0.2">
      <c r="A477">
        <v>32182047</v>
      </c>
      <c r="B477">
        <v>476</v>
      </c>
      <c r="C477" s="26" t="s">
        <v>1351</v>
      </c>
      <c r="D477" t="s">
        <v>2410</v>
      </c>
      <c r="E477">
        <v>3043409871</v>
      </c>
      <c r="F477" t="s">
        <v>2411</v>
      </c>
      <c r="G477" s="20" t="s">
        <v>2254</v>
      </c>
      <c r="H477" t="s">
        <v>2255</v>
      </c>
      <c r="I477" s="20" t="s">
        <v>2259</v>
      </c>
      <c r="J477" s="20" t="s">
        <v>71</v>
      </c>
      <c r="K477" s="20" t="s">
        <v>71</v>
      </c>
      <c r="L477" s="20" t="s">
        <v>72</v>
      </c>
      <c r="M477" s="20" t="s">
        <v>71</v>
      </c>
      <c r="N477" s="20" t="s">
        <v>72</v>
      </c>
      <c r="O477" s="20" t="s">
        <v>72</v>
      </c>
      <c r="P477" s="20" t="s">
        <v>72</v>
      </c>
      <c r="Q477" s="20" t="s">
        <v>72</v>
      </c>
      <c r="R477" s="20" t="s">
        <v>72</v>
      </c>
      <c r="S477" s="20" t="s">
        <v>72</v>
      </c>
      <c r="T477" s="20" t="s">
        <v>72</v>
      </c>
      <c r="U477" s="20" t="s">
        <v>72</v>
      </c>
      <c r="V477" s="20" t="s">
        <v>72</v>
      </c>
      <c r="W477" s="20" t="s">
        <v>72</v>
      </c>
      <c r="X477" s="20" t="s">
        <v>72</v>
      </c>
      <c r="Y477" s="20" t="s">
        <v>72</v>
      </c>
      <c r="Z477" s="20" t="s">
        <v>72</v>
      </c>
      <c r="AA477" s="23" t="s">
        <v>80</v>
      </c>
      <c r="AC477" s="25">
        <v>2</v>
      </c>
    </row>
    <row r="478" spans="1:29" ht="15" hidden="1" x14ac:dyDescent="0.2">
      <c r="A478">
        <v>1036615312</v>
      </c>
      <c r="B478">
        <v>477</v>
      </c>
      <c r="C478" s="26" t="s">
        <v>1351</v>
      </c>
      <c r="D478" t="s">
        <v>2412</v>
      </c>
      <c r="E478">
        <v>3015790779</v>
      </c>
      <c r="F478" t="s">
        <v>2413</v>
      </c>
      <c r="G478" s="20" t="s">
        <v>2254</v>
      </c>
      <c r="H478" t="s">
        <v>2255</v>
      </c>
      <c r="I478" s="20" t="s">
        <v>2259</v>
      </c>
      <c r="AA478" s="23" t="s">
        <v>1367</v>
      </c>
      <c r="AB478" s="24" t="s">
        <v>2380</v>
      </c>
      <c r="AC478" s="25" t="s">
        <v>1367</v>
      </c>
    </row>
    <row r="479" spans="1:29" ht="15" hidden="1" x14ac:dyDescent="0.2">
      <c r="A479">
        <v>43205365</v>
      </c>
      <c r="B479">
        <v>478</v>
      </c>
      <c r="C479" s="26" t="s">
        <v>1351</v>
      </c>
      <c r="D479" t="s">
        <v>2342</v>
      </c>
      <c r="E479">
        <v>3147123514</v>
      </c>
      <c r="F479" t="s">
        <v>2414</v>
      </c>
      <c r="G479" s="20" t="s">
        <v>2254</v>
      </c>
      <c r="H479" t="s">
        <v>2255</v>
      </c>
      <c r="I479" s="20" t="s">
        <v>2259</v>
      </c>
      <c r="J479" s="20" t="s">
        <v>76</v>
      </c>
      <c r="K479" s="20" t="s">
        <v>76</v>
      </c>
      <c r="L479" s="20" t="s">
        <v>76</v>
      </c>
      <c r="M479" s="20" t="s">
        <v>71</v>
      </c>
      <c r="N479" s="20" t="s">
        <v>72</v>
      </c>
      <c r="O479" s="20" t="s">
        <v>72</v>
      </c>
      <c r="P479" s="20" t="s">
        <v>72</v>
      </c>
      <c r="Q479" s="20" t="s">
        <v>72</v>
      </c>
      <c r="R479" s="20" t="s">
        <v>72</v>
      </c>
      <c r="S479" s="20" t="s">
        <v>72</v>
      </c>
      <c r="T479" s="20" t="s">
        <v>72</v>
      </c>
      <c r="U479" s="20" t="s">
        <v>72</v>
      </c>
      <c r="V479" s="20" t="s">
        <v>72</v>
      </c>
      <c r="W479" s="20" t="s">
        <v>72</v>
      </c>
      <c r="X479" s="20" t="s">
        <v>72</v>
      </c>
      <c r="Y479" s="20" t="s">
        <v>72</v>
      </c>
      <c r="Z479" s="20" t="s">
        <v>72</v>
      </c>
      <c r="AA479" s="23" t="s">
        <v>91</v>
      </c>
      <c r="AC479" s="25">
        <v>2</v>
      </c>
    </row>
    <row r="480" spans="1:29" ht="15" hidden="1" x14ac:dyDescent="0.2">
      <c r="A480">
        <v>33428029</v>
      </c>
      <c r="B480">
        <v>479</v>
      </c>
      <c r="C480" s="26" t="s">
        <v>1351</v>
      </c>
      <c r="D480" t="s">
        <v>2415</v>
      </c>
      <c r="E480"/>
      <c r="F480" t="s">
        <v>2416</v>
      </c>
      <c r="G480" s="20" t="s">
        <v>2254</v>
      </c>
      <c r="H480" t="s">
        <v>2255</v>
      </c>
      <c r="I480" s="20" t="s">
        <v>2259</v>
      </c>
      <c r="J480" s="20" t="s">
        <v>71</v>
      </c>
      <c r="K480" s="20" t="s">
        <v>71</v>
      </c>
      <c r="L480" s="20" t="s">
        <v>71</v>
      </c>
      <c r="M480" s="20" t="s">
        <v>71</v>
      </c>
      <c r="N480" s="20" t="s">
        <v>71</v>
      </c>
      <c r="O480" s="20" t="s">
        <v>71</v>
      </c>
      <c r="P480" s="20" t="s">
        <v>71</v>
      </c>
      <c r="Q480" s="20" t="s">
        <v>71</v>
      </c>
      <c r="R480" s="20" t="s">
        <v>71</v>
      </c>
      <c r="S480" s="20" t="s">
        <v>71</v>
      </c>
      <c r="T480" s="20" t="s">
        <v>71</v>
      </c>
      <c r="U480" s="20" t="s">
        <v>71</v>
      </c>
      <c r="V480" s="20" t="s">
        <v>71</v>
      </c>
      <c r="W480" s="20" t="s">
        <v>76</v>
      </c>
      <c r="X480" s="20" t="s">
        <v>72</v>
      </c>
      <c r="Y480" s="20" t="s">
        <v>72</v>
      </c>
      <c r="Z480" s="20" t="s">
        <v>72</v>
      </c>
      <c r="AA480" s="23" t="s">
        <v>179</v>
      </c>
      <c r="AC480" s="25">
        <v>2</v>
      </c>
    </row>
    <row r="481" spans="1:29" ht="15" hidden="1" x14ac:dyDescent="0.2">
      <c r="A481">
        <v>7884262</v>
      </c>
      <c r="B481">
        <v>480</v>
      </c>
      <c r="C481" s="26" t="s">
        <v>1351</v>
      </c>
      <c r="D481" t="s">
        <v>2417</v>
      </c>
      <c r="E481">
        <v>3117266505</v>
      </c>
      <c r="F481" t="s">
        <v>2418</v>
      </c>
      <c r="G481" s="20" t="s">
        <v>2254</v>
      </c>
      <c r="H481" t="s">
        <v>2255</v>
      </c>
      <c r="I481" s="20" t="s">
        <v>2259</v>
      </c>
      <c r="J481" s="20" t="s">
        <v>76</v>
      </c>
      <c r="K481" s="20" t="s">
        <v>76</v>
      </c>
      <c r="L481" s="20" t="s">
        <v>71</v>
      </c>
      <c r="M481" s="20" t="s">
        <v>71</v>
      </c>
      <c r="N481" s="20" t="s">
        <v>71</v>
      </c>
      <c r="O481" s="20" t="s">
        <v>71</v>
      </c>
      <c r="P481" s="20" t="s">
        <v>71</v>
      </c>
      <c r="Q481" s="20" t="s">
        <v>71</v>
      </c>
      <c r="R481" s="20" t="s">
        <v>76</v>
      </c>
      <c r="S481" s="20" t="s">
        <v>71</v>
      </c>
      <c r="T481" s="20" t="s">
        <v>71</v>
      </c>
      <c r="U481" s="20" t="s">
        <v>71</v>
      </c>
      <c r="V481" s="20" t="s">
        <v>71</v>
      </c>
      <c r="W481" s="20" t="s">
        <v>71</v>
      </c>
      <c r="X481" s="20" t="s">
        <v>71</v>
      </c>
      <c r="Y481" s="20" t="s">
        <v>71</v>
      </c>
      <c r="Z481" s="20" t="s">
        <v>71</v>
      </c>
      <c r="AA481" s="23" t="s">
        <v>73</v>
      </c>
      <c r="AC481" s="25">
        <v>2</v>
      </c>
    </row>
    <row r="482" spans="1:29" ht="15" hidden="1" x14ac:dyDescent="0.2">
      <c r="A482">
        <v>21792037</v>
      </c>
      <c r="B482">
        <v>481</v>
      </c>
      <c r="C482" s="26" t="s">
        <v>1351</v>
      </c>
      <c r="D482" t="s">
        <v>2419</v>
      </c>
      <c r="E482">
        <v>3196124000</v>
      </c>
      <c r="F482" t="s">
        <v>2420</v>
      </c>
      <c r="G482" s="20" t="s">
        <v>2254</v>
      </c>
      <c r="H482" t="s">
        <v>2255</v>
      </c>
      <c r="I482" s="20" t="s">
        <v>2259</v>
      </c>
      <c r="J482" s="20" t="s">
        <v>71</v>
      </c>
      <c r="K482" s="20" t="s">
        <v>71</v>
      </c>
      <c r="L482" s="20" t="s">
        <v>76</v>
      </c>
      <c r="M482" s="20" t="s">
        <v>71</v>
      </c>
      <c r="N482" s="20" t="s">
        <v>72</v>
      </c>
      <c r="O482" s="20" t="s">
        <v>72</v>
      </c>
      <c r="P482" s="20" t="s">
        <v>72</v>
      </c>
      <c r="Q482" s="20" t="s">
        <v>72</v>
      </c>
      <c r="R482" s="20" t="s">
        <v>72</v>
      </c>
      <c r="S482" s="20" t="s">
        <v>72</v>
      </c>
      <c r="T482" s="20" t="s">
        <v>72</v>
      </c>
      <c r="U482" s="20" t="s">
        <v>71</v>
      </c>
      <c r="V482" s="20" t="s">
        <v>71</v>
      </c>
      <c r="W482" s="20" t="s">
        <v>71</v>
      </c>
      <c r="X482" s="20" t="s">
        <v>71</v>
      </c>
      <c r="Y482" s="20" t="s">
        <v>71</v>
      </c>
      <c r="Z482" s="20" t="s">
        <v>71</v>
      </c>
      <c r="AA482" s="23" t="s">
        <v>256</v>
      </c>
      <c r="AC482" s="25">
        <v>2</v>
      </c>
    </row>
    <row r="483" spans="1:29" ht="15" hidden="1" x14ac:dyDescent="0.2">
      <c r="A483">
        <v>43595028</v>
      </c>
      <c r="B483">
        <v>482</v>
      </c>
      <c r="C483" s="26" t="s">
        <v>1351</v>
      </c>
      <c r="D483" t="s">
        <v>2421</v>
      </c>
      <c r="E483">
        <v>3042997815</v>
      </c>
      <c r="F483" t="s">
        <v>2422</v>
      </c>
      <c r="G483" s="20" t="s">
        <v>2254</v>
      </c>
      <c r="H483" t="s">
        <v>2255</v>
      </c>
      <c r="I483" s="20" t="s">
        <v>2256</v>
      </c>
      <c r="AA483" s="23" t="s">
        <v>1367</v>
      </c>
      <c r="AB483" s="24" t="s">
        <v>2423</v>
      </c>
      <c r="AC483" s="25" t="s">
        <v>1367</v>
      </c>
    </row>
    <row r="484" spans="1:29" ht="15" hidden="1" x14ac:dyDescent="0.2">
      <c r="A484">
        <v>32693059</v>
      </c>
      <c r="B484">
        <v>483</v>
      </c>
      <c r="C484" s="26" t="s">
        <v>1351</v>
      </c>
      <c r="D484" t="s">
        <v>2424</v>
      </c>
      <c r="E484">
        <v>3166738323</v>
      </c>
      <c r="F484" t="s">
        <v>2425</v>
      </c>
      <c r="G484" s="20" t="s">
        <v>2254</v>
      </c>
      <c r="H484" t="s">
        <v>2255</v>
      </c>
      <c r="I484" s="20" t="s">
        <v>2256</v>
      </c>
      <c r="J484" s="20" t="s">
        <v>72</v>
      </c>
      <c r="K484" s="20" t="s">
        <v>72</v>
      </c>
      <c r="L484" s="20" t="s">
        <v>72</v>
      </c>
      <c r="M484" s="20" t="s">
        <v>71</v>
      </c>
      <c r="N484" s="20" t="s">
        <v>72</v>
      </c>
      <c r="O484" s="20" t="s">
        <v>72</v>
      </c>
      <c r="P484" s="20" t="s">
        <v>72</v>
      </c>
      <c r="Q484" s="20" t="s">
        <v>72</v>
      </c>
      <c r="R484" s="20" t="s">
        <v>72</v>
      </c>
      <c r="S484" s="20" t="s">
        <v>72</v>
      </c>
      <c r="T484" s="20" t="s">
        <v>72</v>
      </c>
      <c r="U484" s="20" t="s">
        <v>72</v>
      </c>
      <c r="V484" s="20" t="s">
        <v>72</v>
      </c>
      <c r="W484" s="20" t="s">
        <v>72</v>
      </c>
      <c r="X484" s="20" t="s">
        <v>72</v>
      </c>
      <c r="Y484" s="20" t="s">
        <v>72</v>
      </c>
      <c r="Z484" s="20" t="s">
        <v>72</v>
      </c>
      <c r="AA484" s="23" t="s">
        <v>91</v>
      </c>
      <c r="AC484" s="25">
        <v>1</v>
      </c>
    </row>
    <row r="485" spans="1:29" ht="15" hidden="1" x14ac:dyDescent="0.2">
      <c r="A485">
        <v>10239436</v>
      </c>
      <c r="B485">
        <v>484</v>
      </c>
      <c r="C485" s="26" t="s">
        <v>1351</v>
      </c>
      <c r="D485" t="s">
        <v>2426</v>
      </c>
      <c r="E485">
        <v>3024784777</v>
      </c>
      <c r="F485" t="s">
        <v>2427</v>
      </c>
      <c r="G485" s="20" t="s">
        <v>2254</v>
      </c>
      <c r="H485" t="s">
        <v>2255</v>
      </c>
      <c r="I485" s="20" t="s">
        <v>2256</v>
      </c>
      <c r="J485" s="20" t="s">
        <v>72</v>
      </c>
      <c r="K485" s="20" t="s">
        <v>72</v>
      </c>
      <c r="L485" s="20" t="s">
        <v>72</v>
      </c>
      <c r="M485" s="20" t="s">
        <v>71</v>
      </c>
      <c r="N485" s="20" t="s">
        <v>72</v>
      </c>
      <c r="O485" s="20" t="s">
        <v>72</v>
      </c>
      <c r="P485" s="20" t="s">
        <v>72</v>
      </c>
      <c r="Q485" s="20" t="s">
        <v>72</v>
      </c>
      <c r="R485" s="20" t="s">
        <v>72</v>
      </c>
      <c r="S485" s="20" t="s">
        <v>72</v>
      </c>
      <c r="T485" s="20" t="s">
        <v>72</v>
      </c>
      <c r="U485" s="20" t="s">
        <v>72</v>
      </c>
      <c r="V485" s="20" t="s">
        <v>72</v>
      </c>
      <c r="W485" s="20" t="s">
        <v>72</v>
      </c>
      <c r="X485" s="20" t="s">
        <v>72</v>
      </c>
      <c r="Y485" s="20" t="s">
        <v>72</v>
      </c>
      <c r="Z485" s="20" t="s">
        <v>72</v>
      </c>
      <c r="AA485" s="23" t="s">
        <v>91</v>
      </c>
      <c r="AC485" s="25">
        <v>1</v>
      </c>
    </row>
    <row r="486" spans="1:29" ht="15" hidden="1" x14ac:dyDescent="0.2">
      <c r="A486">
        <v>1128427798</v>
      </c>
      <c r="B486">
        <v>485</v>
      </c>
      <c r="C486" s="26" t="s">
        <v>1351</v>
      </c>
      <c r="D486" t="s">
        <v>2428</v>
      </c>
      <c r="E486">
        <v>3135125497</v>
      </c>
      <c r="F486" t="s">
        <v>2429</v>
      </c>
      <c r="G486" s="20" t="s">
        <v>2254</v>
      </c>
      <c r="H486" t="s">
        <v>2255</v>
      </c>
      <c r="I486" s="20" t="s">
        <v>2259</v>
      </c>
      <c r="J486" s="20" t="s">
        <v>76</v>
      </c>
      <c r="K486" s="20" t="s">
        <v>76</v>
      </c>
      <c r="L486" s="20" t="s">
        <v>72</v>
      </c>
      <c r="M486" s="20" t="s">
        <v>71</v>
      </c>
      <c r="N486" s="20" t="s">
        <v>72</v>
      </c>
      <c r="O486" s="20" t="s">
        <v>72</v>
      </c>
      <c r="P486" s="20" t="s">
        <v>72</v>
      </c>
      <c r="Q486" s="20" t="s">
        <v>72</v>
      </c>
      <c r="R486" s="20" t="s">
        <v>72</v>
      </c>
      <c r="S486" s="20" t="s">
        <v>72</v>
      </c>
      <c r="T486" s="20" t="s">
        <v>72</v>
      </c>
      <c r="U486" s="20" t="s">
        <v>72</v>
      </c>
      <c r="V486" s="20" t="s">
        <v>72</v>
      </c>
      <c r="W486" s="20" t="s">
        <v>72</v>
      </c>
      <c r="X486" s="20" t="s">
        <v>72</v>
      </c>
      <c r="Y486" s="20" t="s">
        <v>72</v>
      </c>
      <c r="Z486" s="20" t="s">
        <v>72</v>
      </c>
      <c r="AA486" s="23" t="s">
        <v>91</v>
      </c>
      <c r="AC486" s="25">
        <v>1</v>
      </c>
    </row>
    <row r="487" spans="1:29" ht="15" hidden="1" x14ac:dyDescent="0.2">
      <c r="A487">
        <v>43991863</v>
      </c>
      <c r="B487">
        <v>486</v>
      </c>
      <c r="C487" s="26" t="s">
        <v>1351</v>
      </c>
      <c r="D487" t="s">
        <v>2430</v>
      </c>
      <c r="E487">
        <v>3003450563</v>
      </c>
      <c r="F487" t="s">
        <v>2431</v>
      </c>
      <c r="G487" s="20" t="s">
        <v>2254</v>
      </c>
      <c r="H487" t="s">
        <v>2255</v>
      </c>
      <c r="I487" s="20" t="s">
        <v>2259</v>
      </c>
      <c r="J487" s="20" t="s">
        <v>71</v>
      </c>
      <c r="K487" s="20" t="s">
        <v>71</v>
      </c>
      <c r="L487" s="20" t="s">
        <v>72</v>
      </c>
      <c r="M487" s="20" t="s">
        <v>71</v>
      </c>
      <c r="N487" s="20" t="s">
        <v>72</v>
      </c>
      <c r="O487" s="20" t="s">
        <v>72</v>
      </c>
      <c r="P487" s="20" t="s">
        <v>72</v>
      </c>
      <c r="Q487" s="20" t="s">
        <v>72</v>
      </c>
      <c r="R487" s="20" t="s">
        <v>72</v>
      </c>
      <c r="S487" s="20" t="s">
        <v>72</v>
      </c>
      <c r="T487" s="20" t="s">
        <v>72</v>
      </c>
      <c r="U487" s="20" t="s">
        <v>72</v>
      </c>
      <c r="V487" s="20" t="s">
        <v>72</v>
      </c>
      <c r="W487" s="20" t="s">
        <v>72</v>
      </c>
      <c r="X487" s="20" t="s">
        <v>72</v>
      </c>
      <c r="Y487" s="20" t="s">
        <v>72</v>
      </c>
      <c r="Z487" s="20" t="s">
        <v>72</v>
      </c>
      <c r="AA487" s="23" t="s">
        <v>80</v>
      </c>
      <c r="AC487" s="25">
        <v>2</v>
      </c>
    </row>
    <row r="488" spans="1:29" ht="15" hidden="1" x14ac:dyDescent="0.2">
      <c r="A488">
        <v>42892754</v>
      </c>
      <c r="B488">
        <v>487</v>
      </c>
      <c r="C488" s="26" t="s">
        <v>1351</v>
      </c>
      <c r="D488" t="s">
        <v>2432</v>
      </c>
      <c r="E488">
        <v>3137264595</v>
      </c>
      <c r="F488" t="s">
        <v>2433</v>
      </c>
      <c r="G488" s="20" t="s">
        <v>2254</v>
      </c>
      <c r="H488" t="s">
        <v>2255</v>
      </c>
      <c r="I488" s="20" t="s">
        <v>2259</v>
      </c>
      <c r="J488" s="20" t="s">
        <v>71</v>
      </c>
      <c r="K488" s="20" t="s">
        <v>71</v>
      </c>
      <c r="L488" s="20" t="s">
        <v>76</v>
      </c>
      <c r="M488" s="20" t="s">
        <v>71</v>
      </c>
      <c r="N488" s="20" t="s">
        <v>72</v>
      </c>
      <c r="O488" s="20" t="s">
        <v>72</v>
      </c>
      <c r="P488" s="20" t="s">
        <v>72</v>
      </c>
      <c r="Q488" s="20" t="s">
        <v>72</v>
      </c>
      <c r="R488" s="20" t="s">
        <v>72</v>
      </c>
      <c r="S488" s="20" t="s">
        <v>72</v>
      </c>
      <c r="T488" s="20" t="s">
        <v>72</v>
      </c>
      <c r="U488" s="20" t="s">
        <v>72</v>
      </c>
      <c r="V488" s="20" t="s">
        <v>72</v>
      </c>
      <c r="W488" s="20" t="s">
        <v>72</v>
      </c>
      <c r="X488" s="20" t="s">
        <v>72</v>
      </c>
      <c r="Y488" s="20" t="s">
        <v>72</v>
      </c>
      <c r="Z488" s="20" t="s">
        <v>72</v>
      </c>
      <c r="AA488" s="23" t="s">
        <v>80</v>
      </c>
      <c r="AC488" s="25">
        <v>2</v>
      </c>
    </row>
    <row r="489" spans="1:29" ht="15" hidden="1" x14ac:dyDescent="0.2">
      <c r="A489">
        <v>43036224</v>
      </c>
      <c r="B489">
        <v>488</v>
      </c>
      <c r="C489" s="26" t="s">
        <v>1351</v>
      </c>
      <c r="D489" t="s">
        <v>2434</v>
      </c>
      <c r="E489">
        <v>3104423038</v>
      </c>
      <c r="F489" t="s">
        <v>2435</v>
      </c>
      <c r="G489" s="20" t="s">
        <v>2254</v>
      </c>
      <c r="H489" t="s">
        <v>2255</v>
      </c>
      <c r="I489" s="20" t="s">
        <v>2259</v>
      </c>
      <c r="AA489" s="23" t="s">
        <v>1367</v>
      </c>
      <c r="AB489" s="24" t="s">
        <v>2380</v>
      </c>
      <c r="AC489" s="25" t="s">
        <v>1367</v>
      </c>
    </row>
    <row r="490" spans="1:29" s="21" customFormat="1" ht="15" hidden="1" x14ac:dyDescent="0.2">
      <c r="A490" s="33">
        <v>3655663</v>
      </c>
      <c r="B490" s="33">
        <v>489</v>
      </c>
      <c r="C490" s="26" t="s">
        <v>1351</v>
      </c>
      <c r="D490" s="33" t="s">
        <v>2436</v>
      </c>
      <c r="E490" s="33">
        <v>3243027924</v>
      </c>
      <c r="F490" s="33" t="s">
        <v>2437</v>
      </c>
      <c r="G490" s="21" t="s">
        <v>2254</v>
      </c>
      <c r="H490" s="33" t="s">
        <v>2255</v>
      </c>
      <c r="I490" s="21" t="s">
        <v>2259</v>
      </c>
      <c r="AA490" s="34" t="s">
        <v>1464</v>
      </c>
      <c r="AB490" s="29" t="s">
        <v>1464</v>
      </c>
      <c r="AC490" s="31" t="s">
        <v>1464</v>
      </c>
    </row>
    <row r="491" spans="1:29" ht="15" hidden="1" x14ac:dyDescent="0.2">
      <c r="A491">
        <v>1023626536</v>
      </c>
      <c r="B491">
        <v>490</v>
      </c>
      <c r="C491" s="26" t="s">
        <v>1351</v>
      </c>
      <c r="D491" t="s">
        <v>2438</v>
      </c>
      <c r="E491">
        <v>3508180555</v>
      </c>
      <c r="F491" t="s">
        <v>2439</v>
      </c>
      <c r="G491" s="20" t="s">
        <v>2254</v>
      </c>
      <c r="H491" t="s">
        <v>2255</v>
      </c>
      <c r="I491" s="20" t="s">
        <v>2259</v>
      </c>
      <c r="AA491" s="23" t="s">
        <v>1367</v>
      </c>
      <c r="AB491" s="24" t="s">
        <v>2380</v>
      </c>
      <c r="AC491" s="25" t="s">
        <v>1367</v>
      </c>
    </row>
    <row r="492" spans="1:29" ht="15" hidden="1" x14ac:dyDescent="0.2">
      <c r="A492">
        <v>43078979</v>
      </c>
      <c r="B492">
        <v>491</v>
      </c>
      <c r="C492" s="26" t="s">
        <v>1351</v>
      </c>
      <c r="D492" t="s">
        <v>2440</v>
      </c>
      <c r="E492">
        <v>3013644210</v>
      </c>
      <c r="F492" t="s">
        <v>2441</v>
      </c>
      <c r="G492" s="20" t="s">
        <v>2254</v>
      </c>
      <c r="H492" t="s">
        <v>2255</v>
      </c>
      <c r="I492" s="20" t="s">
        <v>2259</v>
      </c>
      <c r="J492" s="20" t="s">
        <v>76</v>
      </c>
      <c r="K492" s="20" t="s">
        <v>76</v>
      </c>
      <c r="L492" s="20" t="s">
        <v>71</v>
      </c>
      <c r="M492" s="20" t="s">
        <v>71</v>
      </c>
      <c r="N492" s="20" t="s">
        <v>71</v>
      </c>
      <c r="O492" s="20" t="s">
        <v>71</v>
      </c>
      <c r="P492" s="20" t="s">
        <v>71</v>
      </c>
      <c r="Q492" s="20" t="s">
        <v>71</v>
      </c>
      <c r="R492" s="20" t="s">
        <v>71</v>
      </c>
      <c r="S492" s="20" t="s">
        <v>71</v>
      </c>
      <c r="T492" s="20" t="s">
        <v>71</v>
      </c>
      <c r="U492" s="20" t="s">
        <v>76</v>
      </c>
      <c r="V492" s="20" t="s">
        <v>76</v>
      </c>
      <c r="W492" s="20" t="s">
        <v>72</v>
      </c>
      <c r="X492" s="20" t="s">
        <v>76</v>
      </c>
      <c r="Y492" s="20" t="s">
        <v>72</v>
      </c>
      <c r="Z492" s="20" t="s">
        <v>72</v>
      </c>
      <c r="AA492" s="23" t="s">
        <v>77</v>
      </c>
      <c r="AC492" s="25">
        <v>2</v>
      </c>
    </row>
    <row r="493" spans="1:29" ht="15" hidden="1" x14ac:dyDescent="0.2">
      <c r="A493">
        <v>21308025</v>
      </c>
      <c r="B493">
        <v>492</v>
      </c>
      <c r="C493" s="26" t="s">
        <v>1351</v>
      </c>
      <c r="D493" t="s">
        <v>2442</v>
      </c>
      <c r="E493">
        <v>3045952574</v>
      </c>
      <c r="F493" t="s">
        <v>2443</v>
      </c>
      <c r="G493" s="20" t="s">
        <v>2254</v>
      </c>
      <c r="H493" t="s">
        <v>2255</v>
      </c>
      <c r="I493" s="20" t="s">
        <v>2256</v>
      </c>
      <c r="J493" s="20" t="s">
        <v>76</v>
      </c>
      <c r="K493" s="20" t="s">
        <v>76</v>
      </c>
      <c r="AA493" s="27" t="s">
        <v>73</v>
      </c>
      <c r="AB493" s="24" t="s">
        <v>2444</v>
      </c>
      <c r="AC493" s="25">
        <v>2</v>
      </c>
    </row>
    <row r="494" spans="1:29" ht="15" hidden="1" x14ac:dyDescent="0.2">
      <c r="A494">
        <v>325743367</v>
      </c>
      <c r="B494">
        <v>493</v>
      </c>
      <c r="C494" s="26" t="s">
        <v>1351</v>
      </c>
      <c r="D494" t="s">
        <v>1803</v>
      </c>
      <c r="E494">
        <v>3225743367</v>
      </c>
      <c r="F494" t="s">
        <v>2445</v>
      </c>
      <c r="G494" s="20" t="s">
        <v>2254</v>
      </c>
      <c r="H494" t="s">
        <v>2255</v>
      </c>
      <c r="I494" s="20" t="s">
        <v>2259</v>
      </c>
      <c r="J494" s="20" t="s">
        <v>71</v>
      </c>
      <c r="K494" s="20" t="s">
        <v>71</v>
      </c>
      <c r="L494" s="20" t="s">
        <v>71</v>
      </c>
      <c r="M494" s="20" t="s">
        <v>71</v>
      </c>
      <c r="N494" s="20" t="s">
        <v>71</v>
      </c>
      <c r="O494" s="20" t="s">
        <v>71</v>
      </c>
      <c r="P494" s="20" t="s">
        <v>71</v>
      </c>
      <c r="Q494" s="20" t="s">
        <v>71</v>
      </c>
      <c r="R494" s="20" t="s">
        <v>71</v>
      </c>
      <c r="S494" s="20" t="s">
        <v>71</v>
      </c>
      <c r="T494" s="20" t="s">
        <v>71</v>
      </c>
      <c r="U494" s="20" t="s">
        <v>72</v>
      </c>
      <c r="V494" s="20" t="s">
        <v>72</v>
      </c>
      <c r="W494" s="20" t="s">
        <v>72</v>
      </c>
      <c r="X494" s="20" t="s">
        <v>72</v>
      </c>
      <c r="Y494" s="20" t="s">
        <v>72</v>
      </c>
      <c r="Z494" s="20" t="s">
        <v>72</v>
      </c>
      <c r="AA494" s="23" t="s">
        <v>179</v>
      </c>
      <c r="AC494" s="25">
        <v>2</v>
      </c>
    </row>
    <row r="495" spans="1:29" ht="15" hidden="1" x14ac:dyDescent="0.2">
      <c r="A495">
        <v>70073044</v>
      </c>
      <c r="B495">
        <v>494</v>
      </c>
      <c r="C495" s="26" t="s">
        <v>1351</v>
      </c>
      <c r="D495" t="s">
        <v>2446</v>
      </c>
      <c r="E495">
        <v>3178390919</v>
      </c>
      <c r="F495" t="s">
        <v>2447</v>
      </c>
      <c r="G495" s="20" t="s">
        <v>2254</v>
      </c>
      <c r="H495" t="s">
        <v>2255</v>
      </c>
      <c r="I495" s="20" t="s">
        <v>2256</v>
      </c>
      <c r="J495" s="20" t="s">
        <v>76</v>
      </c>
      <c r="K495" s="20" t="s">
        <v>76</v>
      </c>
      <c r="L495" s="20" t="s">
        <v>72</v>
      </c>
      <c r="M495" s="20" t="s">
        <v>71</v>
      </c>
      <c r="N495" s="20" t="s">
        <v>72</v>
      </c>
      <c r="O495" s="20" t="s">
        <v>72</v>
      </c>
      <c r="P495" s="20" t="s">
        <v>72</v>
      </c>
      <c r="Q495" s="20" t="s">
        <v>72</v>
      </c>
      <c r="R495" s="20" t="s">
        <v>72</v>
      </c>
      <c r="S495" s="20" t="s">
        <v>72</v>
      </c>
      <c r="T495" s="20" t="s">
        <v>72</v>
      </c>
      <c r="U495" s="20" t="s">
        <v>71</v>
      </c>
      <c r="V495" s="20" t="s">
        <v>71</v>
      </c>
      <c r="W495" s="20" t="s">
        <v>71</v>
      </c>
      <c r="X495" s="20" t="s">
        <v>71</v>
      </c>
      <c r="Y495" s="20" t="s">
        <v>71</v>
      </c>
      <c r="Z495" s="20" t="s">
        <v>71</v>
      </c>
      <c r="AA495" s="23" t="s">
        <v>85</v>
      </c>
      <c r="AC495" s="25">
        <v>2</v>
      </c>
    </row>
    <row r="496" spans="1:29" s="21" customFormat="1" ht="15" hidden="1" x14ac:dyDescent="0.2">
      <c r="A496" s="33">
        <v>26266401</v>
      </c>
      <c r="B496" s="33">
        <v>495</v>
      </c>
      <c r="C496" s="26" t="s">
        <v>1351</v>
      </c>
      <c r="D496" s="33" t="s">
        <v>2448</v>
      </c>
      <c r="E496" s="33">
        <v>3024158774</v>
      </c>
      <c r="F496" s="33" t="s">
        <v>2449</v>
      </c>
      <c r="G496" s="21" t="s">
        <v>2254</v>
      </c>
      <c r="H496" s="33" t="s">
        <v>2255</v>
      </c>
      <c r="I496" s="21" t="s">
        <v>2256</v>
      </c>
      <c r="AA496" s="34" t="s">
        <v>1464</v>
      </c>
      <c r="AB496" s="29" t="s">
        <v>1464</v>
      </c>
      <c r="AC496" s="31" t="s">
        <v>1464</v>
      </c>
    </row>
    <row r="497" spans="1:29" ht="15" hidden="1" x14ac:dyDescent="0.2">
      <c r="A497">
        <v>43907166</v>
      </c>
      <c r="B497">
        <v>496</v>
      </c>
      <c r="C497" s="26" t="s">
        <v>1351</v>
      </c>
      <c r="D497" t="s">
        <v>2450</v>
      </c>
      <c r="E497" t="s">
        <v>2451</v>
      </c>
      <c r="F497" t="s">
        <v>2452</v>
      </c>
      <c r="G497" s="20" t="s">
        <v>2254</v>
      </c>
      <c r="H497" t="s">
        <v>2255</v>
      </c>
      <c r="I497" s="20" t="s">
        <v>2259</v>
      </c>
      <c r="J497" s="20" t="s">
        <v>71</v>
      </c>
      <c r="K497" s="20" t="s">
        <v>71</v>
      </c>
      <c r="L497" s="20" t="s">
        <v>72</v>
      </c>
      <c r="M497" s="20" t="s">
        <v>71</v>
      </c>
      <c r="N497" s="20" t="s">
        <v>72</v>
      </c>
      <c r="O497" s="20" t="s">
        <v>72</v>
      </c>
      <c r="P497" s="20" t="s">
        <v>72</v>
      </c>
      <c r="Q497" s="20" t="s">
        <v>72</v>
      </c>
      <c r="R497" s="20" t="s">
        <v>72</v>
      </c>
      <c r="S497" s="20" t="s">
        <v>72</v>
      </c>
      <c r="T497" s="20" t="s">
        <v>72</v>
      </c>
      <c r="U497" s="20" t="s">
        <v>71</v>
      </c>
      <c r="V497" s="20" t="s">
        <v>71</v>
      </c>
      <c r="W497" s="20" t="s">
        <v>71</v>
      </c>
      <c r="X497" s="20" t="s">
        <v>71</v>
      </c>
      <c r="Y497" s="20" t="s">
        <v>71</v>
      </c>
      <c r="Z497" s="20" t="s">
        <v>71</v>
      </c>
      <c r="AA497" s="23" t="s">
        <v>256</v>
      </c>
      <c r="AC497" s="25">
        <v>2</v>
      </c>
    </row>
    <row r="498" spans="1:29" ht="15" hidden="1" x14ac:dyDescent="0.2">
      <c r="A498">
        <v>100306195</v>
      </c>
      <c r="B498">
        <v>497</v>
      </c>
      <c r="C498" s="26" t="s">
        <v>1351</v>
      </c>
      <c r="D498" t="s">
        <v>2453</v>
      </c>
      <c r="E498"/>
      <c r="F498" t="s">
        <v>2454</v>
      </c>
      <c r="G498" s="20" t="s">
        <v>2254</v>
      </c>
      <c r="H498" t="s">
        <v>2255</v>
      </c>
      <c r="I498" s="20" t="s">
        <v>2259</v>
      </c>
      <c r="J498" s="20" t="s">
        <v>71</v>
      </c>
      <c r="K498" s="20" t="s">
        <v>71</v>
      </c>
      <c r="L498" s="20" t="s">
        <v>71</v>
      </c>
      <c r="M498" s="20" t="s">
        <v>71</v>
      </c>
      <c r="N498" s="20" t="s">
        <v>76</v>
      </c>
      <c r="O498" s="20" t="s">
        <v>76</v>
      </c>
      <c r="P498" s="20" t="s">
        <v>72</v>
      </c>
      <c r="Q498" s="20" t="s">
        <v>72</v>
      </c>
      <c r="R498" s="20" t="s">
        <v>72</v>
      </c>
      <c r="S498" s="20" t="s">
        <v>72</v>
      </c>
      <c r="T498" s="20" t="s">
        <v>72</v>
      </c>
      <c r="U498" s="20" t="s">
        <v>71</v>
      </c>
      <c r="V498" s="20" t="s">
        <v>71</v>
      </c>
      <c r="W498" s="20" t="s">
        <v>71</v>
      </c>
      <c r="X498" s="20" t="s">
        <v>71</v>
      </c>
      <c r="Y498" s="20" t="s">
        <v>71</v>
      </c>
      <c r="Z498" s="20" t="s">
        <v>71</v>
      </c>
      <c r="AA498" s="23" t="s">
        <v>256</v>
      </c>
      <c r="AC498" s="25">
        <v>2</v>
      </c>
    </row>
    <row r="499" spans="1:29" ht="15" hidden="1" x14ac:dyDescent="0.2">
      <c r="A499">
        <v>42979655</v>
      </c>
      <c r="B499">
        <v>498</v>
      </c>
      <c r="C499" s="26" t="s">
        <v>1351</v>
      </c>
      <c r="D499" t="s">
        <v>2455</v>
      </c>
      <c r="E499">
        <v>6044952608</v>
      </c>
      <c r="F499" t="s">
        <v>2456</v>
      </c>
      <c r="G499" s="20" t="s">
        <v>2254</v>
      </c>
      <c r="H499" t="s">
        <v>2255</v>
      </c>
      <c r="I499" s="20" t="s">
        <v>2259</v>
      </c>
      <c r="J499" s="20" t="s">
        <v>76</v>
      </c>
      <c r="K499" s="20" t="s">
        <v>76</v>
      </c>
      <c r="L499" s="20" t="s">
        <v>72</v>
      </c>
      <c r="M499" s="20" t="s">
        <v>71</v>
      </c>
      <c r="N499" s="20" t="s">
        <v>72</v>
      </c>
      <c r="O499" s="20" t="s">
        <v>72</v>
      </c>
      <c r="P499" s="20" t="s">
        <v>72</v>
      </c>
      <c r="Q499" s="20" t="s">
        <v>72</v>
      </c>
      <c r="R499" s="20" t="s">
        <v>72</v>
      </c>
      <c r="S499" s="20" t="s">
        <v>72</v>
      </c>
      <c r="T499" s="20" t="s">
        <v>72</v>
      </c>
      <c r="U499" s="20" t="s">
        <v>71</v>
      </c>
      <c r="V499" s="20" t="s">
        <v>71</v>
      </c>
      <c r="W499" s="20" t="s">
        <v>71</v>
      </c>
      <c r="X499" s="20" t="s">
        <v>71</v>
      </c>
      <c r="Y499" s="20" t="s">
        <v>71</v>
      </c>
      <c r="Z499" s="20" t="s">
        <v>71</v>
      </c>
      <c r="AA499" s="23" t="s">
        <v>85</v>
      </c>
      <c r="AC499" s="25">
        <v>2</v>
      </c>
    </row>
    <row r="500" spans="1:29" ht="15" hidden="1" x14ac:dyDescent="0.2">
      <c r="A500">
        <v>43070425</v>
      </c>
      <c r="B500">
        <v>499</v>
      </c>
      <c r="C500" s="26" t="s">
        <v>1351</v>
      </c>
      <c r="D500" t="s">
        <v>2457</v>
      </c>
      <c r="E500">
        <v>3218007722</v>
      </c>
      <c r="F500" t="s">
        <v>2458</v>
      </c>
      <c r="G500" s="20" t="s">
        <v>2254</v>
      </c>
      <c r="H500" t="s">
        <v>2255</v>
      </c>
      <c r="I500" s="20" t="s">
        <v>2256</v>
      </c>
      <c r="J500" s="20" t="s">
        <v>71</v>
      </c>
      <c r="K500" s="20" t="s">
        <v>71</v>
      </c>
      <c r="L500" s="20" t="s">
        <v>72</v>
      </c>
      <c r="M500" s="20" t="s">
        <v>71</v>
      </c>
      <c r="N500" s="20" t="s">
        <v>72</v>
      </c>
      <c r="O500" s="20" t="s">
        <v>72</v>
      </c>
      <c r="P500" s="20" t="s">
        <v>72</v>
      </c>
      <c r="Q500" s="20" t="s">
        <v>72</v>
      </c>
      <c r="R500" s="20" t="s">
        <v>72</v>
      </c>
      <c r="S500" s="20" t="s">
        <v>72</v>
      </c>
      <c r="T500" s="20" t="s">
        <v>72</v>
      </c>
      <c r="U500" s="20" t="s">
        <v>72</v>
      </c>
      <c r="V500" s="20" t="s">
        <v>72</v>
      </c>
      <c r="W500" s="20" t="s">
        <v>72</v>
      </c>
      <c r="X500" s="20" t="s">
        <v>72</v>
      </c>
      <c r="Y500" s="20" t="s">
        <v>72</v>
      </c>
      <c r="Z500" s="20" t="s">
        <v>72</v>
      </c>
      <c r="AA500" s="23" t="s">
        <v>77</v>
      </c>
      <c r="AC500" s="25">
        <v>2</v>
      </c>
    </row>
    <row r="501" spans="1:29" ht="15" hidden="1" x14ac:dyDescent="0.2">
      <c r="A501">
        <v>43700046</v>
      </c>
      <c r="B501">
        <v>500</v>
      </c>
      <c r="C501" s="26" t="s">
        <v>1351</v>
      </c>
      <c r="D501" t="s">
        <v>2459</v>
      </c>
      <c r="E501">
        <v>3193825378</v>
      </c>
      <c r="F501" t="s">
        <v>2460</v>
      </c>
      <c r="G501" s="20" t="s">
        <v>2254</v>
      </c>
      <c r="H501" t="s">
        <v>2255</v>
      </c>
      <c r="I501" s="20" t="s">
        <v>2259</v>
      </c>
      <c r="J501" s="20" t="s">
        <v>76</v>
      </c>
      <c r="K501" s="20" t="s">
        <v>76</v>
      </c>
      <c r="L501" s="20" t="s">
        <v>71</v>
      </c>
      <c r="M501" s="20" t="s">
        <v>71</v>
      </c>
      <c r="N501" s="20" t="s">
        <v>71</v>
      </c>
      <c r="O501" s="20" t="s">
        <v>71</v>
      </c>
      <c r="P501" s="20" t="s">
        <v>71</v>
      </c>
      <c r="Q501" s="20" t="s">
        <v>71</v>
      </c>
      <c r="R501" s="20" t="s">
        <v>71</v>
      </c>
      <c r="S501" s="20" t="s">
        <v>71</v>
      </c>
      <c r="T501" s="20" t="s">
        <v>71</v>
      </c>
      <c r="U501" s="20" t="s">
        <v>72</v>
      </c>
      <c r="V501" s="20" t="s">
        <v>72</v>
      </c>
      <c r="W501" s="20" t="s">
        <v>72</v>
      </c>
      <c r="X501" s="20" t="s">
        <v>72</v>
      </c>
      <c r="Y501" s="20" t="s">
        <v>72</v>
      </c>
      <c r="Z501" s="20" t="s">
        <v>72</v>
      </c>
      <c r="AA501" s="23" t="s">
        <v>77</v>
      </c>
      <c r="AC501" s="25">
        <v>2</v>
      </c>
    </row>
    <row r="502" spans="1:29" ht="15" hidden="1" x14ac:dyDescent="0.2">
      <c r="A502">
        <v>42820074</v>
      </c>
      <c r="B502">
        <v>501</v>
      </c>
      <c r="C502" s="26" t="s">
        <v>1351</v>
      </c>
      <c r="D502" t="s">
        <v>2461</v>
      </c>
      <c r="E502">
        <v>3128539826</v>
      </c>
      <c r="F502" t="s">
        <v>2462</v>
      </c>
      <c r="G502" s="20" t="s">
        <v>2254</v>
      </c>
      <c r="H502" t="s">
        <v>2255</v>
      </c>
      <c r="I502" s="20" t="s">
        <v>2259</v>
      </c>
      <c r="J502" s="20" t="s">
        <v>71</v>
      </c>
      <c r="K502" s="20" t="s">
        <v>71</v>
      </c>
      <c r="L502" s="20" t="s">
        <v>72</v>
      </c>
      <c r="M502" s="20" t="s">
        <v>72</v>
      </c>
      <c r="N502" s="20" t="s">
        <v>72</v>
      </c>
      <c r="O502" s="20" t="s">
        <v>72</v>
      </c>
      <c r="P502" s="20" t="s">
        <v>72</v>
      </c>
      <c r="Q502" s="20" t="s">
        <v>72</v>
      </c>
      <c r="R502" s="20" t="s">
        <v>72</v>
      </c>
      <c r="S502" s="20" t="s">
        <v>72</v>
      </c>
      <c r="T502" s="20" t="s">
        <v>72</v>
      </c>
      <c r="U502" s="20" t="s">
        <v>72</v>
      </c>
      <c r="V502" s="20" t="s">
        <v>72</v>
      </c>
      <c r="W502" s="20" t="s">
        <v>72</v>
      </c>
      <c r="X502" s="20" t="s">
        <v>72</v>
      </c>
      <c r="Y502" s="20" t="s">
        <v>72</v>
      </c>
      <c r="Z502" s="20" t="s">
        <v>72</v>
      </c>
      <c r="AA502" s="23" t="s">
        <v>80</v>
      </c>
      <c r="AB502" s="24" t="s">
        <v>2463</v>
      </c>
      <c r="AC502" s="25">
        <v>2</v>
      </c>
    </row>
    <row r="503" spans="1:29" ht="15" hidden="1" x14ac:dyDescent="0.2">
      <c r="A503">
        <v>42981495</v>
      </c>
      <c r="B503">
        <v>502</v>
      </c>
      <c r="C503" s="26" t="s">
        <v>1351</v>
      </c>
      <c r="D503" t="s">
        <v>2464</v>
      </c>
      <c r="E503">
        <v>6043277039</v>
      </c>
      <c r="F503" t="s">
        <v>2465</v>
      </c>
      <c r="G503" s="20" t="s">
        <v>2254</v>
      </c>
      <c r="H503" t="s">
        <v>2255</v>
      </c>
      <c r="I503" s="20" t="s">
        <v>2259</v>
      </c>
      <c r="AA503" s="23" t="s">
        <v>1367</v>
      </c>
      <c r="AB503" s="24" t="s">
        <v>2466</v>
      </c>
      <c r="AC503" s="25" t="s">
        <v>1367</v>
      </c>
    </row>
    <row r="504" spans="1:29" s="21" customFormat="1" ht="15" hidden="1" x14ac:dyDescent="0.2">
      <c r="A504" s="33">
        <v>43446714</v>
      </c>
      <c r="B504" s="33">
        <v>503</v>
      </c>
      <c r="C504" s="26" t="s">
        <v>1351</v>
      </c>
      <c r="D504" s="33" t="s">
        <v>2467</v>
      </c>
      <c r="E504" s="33">
        <v>3022322366</v>
      </c>
      <c r="F504" s="33" t="s">
        <v>2468</v>
      </c>
      <c r="G504" s="21" t="s">
        <v>2254</v>
      </c>
      <c r="H504" s="33" t="s">
        <v>2255</v>
      </c>
      <c r="I504" s="21" t="s">
        <v>2259</v>
      </c>
      <c r="AA504" s="34" t="s">
        <v>1464</v>
      </c>
      <c r="AB504" s="29" t="s">
        <v>1464</v>
      </c>
      <c r="AC504" s="31" t="s">
        <v>1464</v>
      </c>
    </row>
    <row r="505" spans="1:29" ht="15" hidden="1" x14ac:dyDescent="0.2">
      <c r="A505">
        <v>43610680</v>
      </c>
      <c r="B505">
        <v>504</v>
      </c>
      <c r="C505" s="26" t="s">
        <v>1351</v>
      </c>
      <c r="D505" t="s">
        <v>2469</v>
      </c>
      <c r="E505">
        <v>6043892380</v>
      </c>
      <c r="F505" t="s">
        <v>2470</v>
      </c>
      <c r="G505" s="20" t="s">
        <v>2254</v>
      </c>
      <c r="H505" t="s">
        <v>2255</v>
      </c>
      <c r="I505" s="20" t="s">
        <v>2256</v>
      </c>
      <c r="J505" s="20" t="s">
        <v>71</v>
      </c>
      <c r="K505" s="20" t="s">
        <v>71</v>
      </c>
      <c r="L505" s="20" t="s">
        <v>71</v>
      </c>
      <c r="M505" s="20" t="s">
        <v>71</v>
      </c>
      <c r="N505" s="20" t="s">
        <v>71</v>
      </c>
      <c r="O505" s="20" t="s">
        <v>72</v>
      </c>
      <c r="P505" s="20" t="s">
        <v>72</v>
      </c>
      <c r="Q505" s="20" t="s">
        <v>72</v>
      </c>
      <c r="R505" s="20" t="s">
        <v>71</v>
      </c>
      <c r="S505" s="20" t="s">
        <v>71</v>
      </c>
      <c r="T505" s="20" t="s">
        <v>71</v>
      </c>
      <c r="U505" s="20" t="s">
        <v>71</v>
      </c>
      <c r="V505" s="20" t="s">
        <v>71</v>
      </c>
      <c r="W505" s="20" t="s">
        <v>71</v>
      </c>
      <c r="X505" s="20" t="s">
        <v>71</v>
      </c>
      <c r="Y505" s="20" t="s">
        <v>71</v>
      </c>
      <c r="Z505" s="20" t="s">
        <v>71</v>
      </c>
      <c r="AA505" s="23" t="s">
        <v>256</v>
      </c>
      <c r="AB505" s="24" t="s">
        <v>2471</v>
      </c>
      <c r="AC505" s="25">
        <v>3</v>
      </c>
    </row>
    <row r="506" spans="1:29" ht="15" hidden="1" x14ac:dyDescent="0.2">
      <c r="A506">
        <v>43590647</v>
      </c>
      <c r="B506">
        <v>505</v>
      </c>
      <c r="C506" s="26" t="s">
        <v>1351</v>
      </c>
      <c r="D506" t="s">
        <v>2472</v>
      </c>
      <c r="E506">
        <v>3104441611</v>
      </c>
      <c r="F506" t="s">
        <v>2473</v>
      </c>
      <c r="G506" s="20" t="s">
        <v>2254</v>
      </c>
      <c r="H506" t="s">
        <v>2255</v>
      </c>
      <c r="I506" s="20" t="s">
        <v>2259</v>
      </c>
      <c r="J506" s="20" t="s">
        <v>71</v>
      </c>
      <c r="K506" s="20" t="s">
        <v>71</v>
      </c>
      <c r="L506" s="20" t="s">
        <v>71</v>
      </c>
      <c r="M506" s="20" t="s">
        <v>71</v>
      </c>
      <c r="N506" s="20" t="s">
        <v>76</v>
      </c>
      <c r="O506" s="20" t="s">
        <v>72</v>
      </c>
      <c r="P506" s="20" t="s">
        <v>72</v>
      </c>
      <c r="Q506" s="20" t="s">
        <v>72</v>
      </c>
      <c r="R506" s="20" t="s">
        <v>71</v>
      </c>
      <c r="S506" s="20" t="s">
        <v>72</v>
      </c>
      <c r="T506" s="20" t="s">
        <v>72</v>
      </c>
      <c r="U506" s="20" t="s">
        <v>72</v>
      </c>
      <c r="V506" s="20" t="s">
        <v>72</v>
      </c>
      <c r="W506" s="20" t="s">
        <v>72</v>
      </c>
      <c r="X506" s="20" t="s">
        <v>72</v>
      </c>
      <c r="Y506" s="20" t="s">
        <v>72</v>
      </c>
      <c r="Z506" s="20" t="s">
        <v>72</v>
      </c>
      <c r="AA506" s="23" t="s">
        <v>80</v>
      </c>
      <c r="AB506" s="24" t="s">
        <v>2474</v>
      </c>
      <c r="AC506" s="25">
        <v>2</v>
      </c>
    </row>
    <row r="507" spans="1:29" ht="15" hidden="1" x14ac:dyDescent="0.2">
      <c r="A507">
        <v>71653892</v>
      </c>
      <c r="B507">
        <v>506</v>
      </c>
      <c r="C507" s="26" t="s">
        <v>1351</v>
      </c>
      <c r="D507" t="s">
        <v>2475</v>
      </c>
      <c r="E507">
        <v>3045755162</v>
      </c>
      <c r="F507" t="s">
        <v>2476</v>
      </c>
      <c r="G507" s="20" t="s">
        <v>2254</v>
      </c>
      <c r="H507" t="s">
        <v>2255</v>
      </c>
      <c r="I507" s="20" t="s">
        <v>2259</v>
      </c>
      <c r="J507" s="20" t="s">
        <v>72</v>
      </c>
      <c r="K507" s="20" t="s">
        <v>72</v>
      </c>
      <c r="L507" s="20" t="s">
        <v>72</v>
      </c>
      <c r="M507" s="20" t="s">
        <v>72</v>
      </c>
      <c r="N507" s="20" t="s">
        <v>72</v>
      </c>
      <c r="O507" s="20" t="s">
        <v>72</v>
      </c>
      <c r="P507" s="20" t="s">
        <v>72</v>
      </c>
      <c r="Q507" s="20" t="s">
        <v>72</v>
      </c>
      <c r="R507" s="20" t="s">
        <v>72</v>
      </c>
      <c r="S507" s="20" t="s">
        <v>72</v>
      </c>
      <c r="T507" s="20" t="s">
        <v>72</v>
      </c>
      <c r="U507" s="20" t="s">
        <v>72</v>
      </c>
      <c r="V507" s="20" t="s">
        <v>72</v>
      </c>
      <c r="W507" s="20" t="s">
        <v>72</v>
      </c>
      <c r="X507" s="20" t="s">
        <v>72</v>
      </c>
      <c r="Y507" s="20" t="s">
        <v>72</v>
      </c>
      <c r="Z507" s="20" t="s">
        <v>72</v>
      </c>
      <c r="AA507" s="23" t="s">
        <v>91</v>
      </c>
      <c r="AB507" s="24" t="s">
        <v>2477</v>
      </c>
      <c r="AC507" s="25">
        <v>1</v>
      </c>
    </row>
    <row r="508" spans="1:29" ht="15" hidden="1" x14ac:dyDescent="0.2">
      <c r="A508">
        <v>1035228839</v>
      </c>
      <c r="B508">
        <v>507</v>
      </c>
      <c r="C508" s="26" t="s">
        <v>1351</v>
      </c>
      <c r="D508" t="s">
        <v>2478</v>
      </c>
      <c r="E508">
        <v>3012907947</v>
      </c>
      <c r="F508" t="s">
        <v>2479</v>
      </c>
      <c r="G508" s="20" t="s">
        <v>2254</v>
      </c>
      <c r="H508" t="s">
        <v>2255</v>
      </c>
      <c r="I508" s="20" t="s">
        <v>2256</v>
      </c>
      <c r="L508" s="20" t="s">
        <v>72</v>
      </c>
      <c r="M508" s="20" t="s">
        <v>71</v>
      </c>
      <c r="N508" s="20" t="s">
        <v>72</v>
      </c>
      <c r="O508" s="20" t="s">
        <v>72</v>
      </c>
      <c r="P508" s="20" t="s">
        <v>72</v>
      </c>
      <c r="Q508" s="20" t="s">
        <v>72</v>
      </c>
      <c r="R508" s="20" t="s">
        <v>72</v>
      </c>
      <c r="S508" s="20" t="s">
        <v>72</v>
      </c>
      <c r="T508" s="20" t="s">
        <v>72</v>
      </c>
      <c r="U508" s="20" t="s">
        <v>72</v>
      </c>
      <c r="V508" s="20" t="s">
        <v>72</v>
      </c>
      <c r="W508" s="20" t="s">
        <v>72</v>
      </c>
      <c r="X508" s="20" t="s">
        <v>72</v>
      </c>
      <c r="Y508" s="20" t="s">
        <v>72</v>
      </c>
      <c r="Z508" s="20" t="s">
        <v>72</v>
      </c>
      <c r="AA508" s="23" t="s">
        <v>80</v>
      </c>
      <c r="AC508" s="25">
        <v>2</v>
      </c>
    </row>
    <row r="509" spans="1:29" ht="15" hidden="1" x14ac:dyDescent="0.2">
      <c r="A509">
        <v>43262338</v>
      </c>
      <c r="B509">
        <v>508</v>
      </c>
      <c r="C509" s="26" t="s">
        <v>1351</v>
      </c>
      <c r="D509" t="s">
        <v>2029</v>
      </c>
      <c r="E509">
        <v>3218177794</v>
      </c>
      <c r="F509" t="s">
        <v>2480</v>
      </c>
      <c r="G509" s="20" t="s">
        <v>2254</v>
      </c>
      <c r="H509" t="s">
        <v>2255</v>
      </c>
      <c r="I509" s="20" t="s">
        <v>2256</v>
      </c>
      <c r="J509" s="20" t="s">
        <v>71</v>
      </c>
      <c r="K509" s="20" t="s">
        <v>71</v>
      </c>
      <c r="L509" s="20" t="s">
        <v>72</v>
      </c>
      <c r="M509" s="20" t="s">
        <v>72</v>
      </c>
      <c r="N509" s="20" t="s">
        <v>72</v>
      </c>
      <c r="O509" s="20" t="s">
        <v>72</v>
      </c>
      <c r="P509" s="20" t="s">
        <v>72</v>
      </c>
      <c r="Q509" s="20" t="s">
        <v>72</v>
      </c>
      <c r="R509" s="20" t="s">
        <v>72</v>
      </c>
      <c r="S509" s="20" t="s">
        <v>72</v>
      </c>
      <c r="T509" s="20" t="s">
        <v>72</v>
      </c>
      <c r="U509" s="20" t="s">
        <v>72</v>
      </c>
      <c r="V509" s="20" t="s">
        <v>72</v>
      </c>
      <c r="W509" s="20" t="s">
        <v>72</v>
      </c>
      <c r="X509" s="20" t="s">
        <v>72</v>
      </c>
      <c r="Y509" s="20" t="s">
        <v>72</v>
      </c>
      <c r="Z509" s="20" t="s">
        <v>72</v>
      </c>
      <c r="AA509" s="23" t="s">
        <v>80</v>
      </c>
      <c r="AB509" s="24" t="s">
        <v>2481</v>
      </c>
      <c r="AC509" s="25">
        <v>2</v>
      </c>
    </row>
    <row r="510" spans="1:29" ht="15" hidden="1" x14ac:dyDescent="0.2">
      <c r="A510">
        <v>43030246</v>
      </c>
      <c r="B510">
        <v>509</v>
      </c>
      <c r="C510" s="26" t="s">
        <v>1351</v>
      </c>
      <c r="D510" t="s">
        <v>2482</v>
      </c>
      <c r="E510">
        <v>2622760</v>
      </c>
      <c r="F510" t="s">
        <v>2483</v>
      </c>
      <c r="G510" s="20" t="s">
        <v>2254</v>
      </c>
      <c r="H510" t="s">
        <v>2255</v>
      </c>
      <c r="I510" s="20" t="s">
        <v>2259</v>
      </c>
      <c r="AA510" s="23" t="s">
        <v>1367</v>
      </c>
      <c r="AB510" s="24" t="s">
        <v>2484</v>
      </c>
      <c r="AC510" s="25" t="s">
        <v>1367</v>
      </c>
    </row>
    <row r="511" spans="1:29" ht="15" hidden="1" x14ac:dyDescent="0.2">
      <c r="A511">
        <v>1037584599</v>
      </c>
      <c r="B511">
        <v>510</v>
      </c>
      <c r="C511" s="26" t="s">
        <v>1351</v>
      </c>
      <c r="D511" t="s">
        <v>2485</v>
      </c>
      <c r="E511">
        <v>3122886310</v>
      </c>
      <c r="F511" t="s">
        <v>2486</v>
      </c>
      <c r="G511" s="20" t="s">
        <v>2254</v>
      </c>
      <c r="H511" t="s">
        <v>2255</v>
      </c>
      <c r="I511" s="20" t="s">
        <v>2256</v>
      </c>
      <c r="J511" s="20" t="s">
        <v>71</v>
      </c>
      <c r="K511" s="20" t="s">
        <v>71</v>
      </c>
      <c r="L511" s="20" t="s">
        <v>71</v>
      </c>
      <c r="M511" s="20" t="s">
        <v>71</v>
      </c>
      <c r="N511" s="20" t="s">
        <v>72</v>
      </c>
      <c r="O511" s="20" t="s">
        <v>72</v>
      </c>
      <c r="P511" s="20" t="s">
        <v>72</v>
      </c>
      <c r="Q511" s="20" t="s">
        <v>71</v>
      </c>
      <c r="R511" s="20" t="s">
        <v>72</v>
      </c>
      <c r="S511" s="20" t="s">
        <v>71</v>
      </c>
      <c r="T511" s="20" t="s">
        <v>71</v>
      </c>
      <c r="U511" s="20" t="s">
        <v>72</v>
      </c>
      <c r="V511" s="20" t="s">
        <v>72</v>
      </c>
      <c r="W511" s="20" t="s">
        <v>72</v>
      </c>
      <c r="X511" s="20" t="s">
        <v>72</v>
      </c>
      <c r="Y511" s="20" t="s">
        <v>72</v>
      </c>
      <c r="Z511" s="20" t="s">
        <v>72</v>
      </c>
      <c r="AA511" s="23" t="s">
        <v>80</v>
      </c>
      <c r="AC511" s="25">
        <v>2</v>
      </c>
    </row>
    <row r="512" spans="1:29" ht="15" hidden="1" x14ac:dyDescent="0.2">
      <c r="A512">
        <v>71646374</v>
      </c>
      <c r="B512">
        <v>511</v>
      </c>
      <c r="C512" s="26" t="s">
        <v>1351</v>
      </c>
      <c r="D512" t="s">
        <v>2487</v>
      </c>
      <c r="E512">
        <v>3147458131</v>
      </c>
      <c r="F512" t="s">
        <v>2488</v>
      </c>
      <c r="G512" s="20" t="s">
        <v>2254</v>
      </c>
      <c r="H512" t="s">
        <v>2255</v>
      </c>
      <c r="I512" s="20" t="s">
        <v>2256</v>
      </c>
      <c r="AA512" s="23" t="s">
        <v>1367</v>
      </c>
      <c r="AB512" s="24" t="s">
        <v>2489</v>
      </c>
      <c r="AC512" s="25" t="s">
        <v>1367</v>
      </c>
    </row>
    <row r="513" spans="1:29" ht="15" hidden="1" x14ac:dyDescent="0.2">
      <c r="A513">
        <v>71744033</v>
      </c>
      <c r="B513">
        <v>512</v>
      </c>
      <c r="C513" s="26" t="s">
        <v>1351</v>
      </c>
      <c r="D513" t="s">
        <v>1782</v>
      </c>
      <c r="E513">
        <v>3216802698</v>
      </c>
      <c r="F513" t="s">
        <v>2490</v>
      </c>
      <c r="G513" s="20" t="s">
        <v>2254</v>
      </c>
      <c r="H513" t="s">
        <v>2255</v>
      </c>
      <c r="I513" s="20" t="s">
        <v>2259</v>
      </c>
      <c r="J513" s="20" t="s">
        <v>71</v>
      </c>
      <c r="K513" s="20" t="s">
        <v>71</v>
      </c>
      <c r="L513" s="20" t="s">
        <v>72</v>
      </c>
      <c r="M513" s="20" t="s">
        <v>72</v>
      </c>
      <c r="N513" s="20" t="s">
        <v>72</v>
      </c>
      <c r="O513" s="20" t="s">
        <v>72</v>
      </c>
      <c r="P513" s="20" t="s">
        <v>72</v>
      </c>
      <c r="Q513" s="20" t="s">
        <v>72</v>
      </c>
      <c r="R513" s="20" t="s">
        <v>72</v>
      </c>
      <c r="S513" s="20" t="s">
        <v>72</v>
      </c>
      <c r="T513" s="20" t="s">
        <v>72</v>
      </c>
      <c r="U513" s="20" t="s">
        <v>72</v>
      </c>
      <c r="V513" s="20" t="s">
        <v>72</v>
      </c>
      <c r="W513" s="20" t="s">
        <v>72</v>
      </c>
      <c r="X513" s="20" t="s">
        <v>72</v>
      </c>
      <c r="Y513" s="20" t="s">
        <v>72</v>
      </c>
      <c r="Z513" s="20" t="s">
        <v>72</v>
      </c>
      <c r="AA513" s="23" t="s">
        <v>80</v>
      </c>
      <c r="AB513" s="24" t="s">
        <v>2491</v>
      </c>
      <c r="AC513" s="25">
        <v>1</v>
      </c>
    </row>
    <row r="514" spans="1:29" ht="15" hidden="1" x14ac:dyDescent="0.2">
      <c r="A514">
        <v>70127199</v>
      </c>
      <c r="B514">
        <v>513</v>
      </c>
      <c r="C514" s="26" t="s">
        <v>1351</v>
      </c>
      <c r="D514" t="s">
        <v>2492</v>
      </c>
      <c r="E514">
        <v>3104432896</v>
      </c>
      <c r="F514" t="s">
        <v>2493</v>
      </c>
      <c r="G514" s="20" t="s">
        <v>2254</v>
      </c>
      <c r="H514" t="s">
        <v>2255</v>
      </c>
      <c r="I514" s="20" t="s">
        <v>2259</v>
      </c>
      <c r="J514" s="20" t="s">
        <v>76</v>
      </c>
      <c r="K514" s="20" t="s">
        <v>76</v>
      </c>
      <c r="U514" s="20" t="s">
        <v>71</v>
      </c>
      <c r="V514" s="20" t="s">
        <v>71</v>
      </c>
      <c r="W514" s="20" t="s">
        <v>71</v>
      </c>
      <c r="X514" s="20" t="s">
        <v>71</v>
      </c>
      <c r="Y514" s="20" t="s">
        <v>71</v>
      </c>
      <c r="Z514" s="20" t="s">
        <v>71</v>
      </c>
      <c r="AA514" s="23" t="s">
        <v>73</v>
      </c>
      <c r="AB514" s="24" t="s">
        <v>2494</v>
      </c>
      <c r="AC514" s="25">
        <v>2</v>
      </c>
    </row>
    <row r="515" spans="1:29" ht="15" hidden="1" x14ac:dyDescent="0.2">
      <c r="A515">
        <v>2775711</v>
      </c>
      <c r="B515">
        <v>514</v>
      </c>
      <c r="C515" s="26" t="s">
        <v>1351</v>
      </c>
      <c r="D515" t="s">
        <v>2495</v>
      </c>
      <c r="E515">
        <v>3148902934</v>
      </c>
      <c r="F515" t="s">
        <v>2496</v>
      </c>
      <c r="G515" s="20" t="s">
        <v>2254</v>
      </c>
      <c r="H515" t="s">
        <v>2255</v>
      </c>
      <c r="I515" s="20" t="s">
        <v>2256</v>
      </c>
      <c r="J515" s="20" t="s">
        <v>71</v>
      </c>
      <c r="K515" s="20" t="s">
        <v>71</v>
      </c>
      <c r="U515" s="20" t="s">
        <v>76</v>
      </c>
      <c r="V515" s="20" t="s">
        <v>72</v>
      </c>
      <c r="W515" s="20" t="s">
        <v>72</v>
      </c>
      <c r="X515" s="20" t="s">
        <v>72</v>
      </c>
      <c r="Y515" s="20" t="s">
        <v>76</v>
      </c>
      <c r="Z515" s="20" t="s">
        <v>71</v>
      </c>
      <c r="AA515" s="23" t="s">
        <v>179</v>
      </c>
      <c r="AB515" s="24" t="s">
        <v>2497</v>
      </c>
      <c r="AC515" s="25">
        <v>2</v>
      </c>
    </row>
    <row r="516" spans="1:29" ht="15" hidden="1" x14ac:dyDescent="0.2">
      <c r="A516">
        <v>1128407663</v>
      </c>
      <c r="B516">
        <v>515</v>
      </c>
      <c r="C516" s="26" t="s">
        <v>1351</v>
      </c>
      <c r="D516" t="s">
        <v>2498</v>
      </c>
      <c r="E516">
        <v>3014637939</v>
      </c>
      <c r="F516" t="s">
        <v>2499</v>
      </c>
      <c r="G516" s="20" t="s">
        <v>2254</v>
      </c>
      <c r="H516" t="s">
        <v>2255</v>
      </c>
      <c r="I516" s="20" t="s">
        <v>2256</v>
      </c>
      <c r="J516" s="20" t="s">
        <v>76</v>
      </c>
      <c r="K516" s="20" t="s">
        <v>76</v>
      </c>
      <c r="L516" s="20" t="s">
        <v>72</v>
      </c>
      <c r="M516" s="20" t="s">
        <v>72</v>
      </c>
      <c r="N516" s="20" t="s">
        <v>72</v>
      </c>
      <c r="O516" s="20" t="s">
        <v>72</v>
      </c>
      <c r="P516" s="20" t="s">
        <v>72</v>
      </c>
      <c r="Q516" s="20" t="s">
        <v>72</v>
      </c>
      <c r="R516" s="20" t="s">
        <v>72</v>
      </c>
      <c r="S516" s="20" t="s">
        <v>71</v>
      </c>
      <c r="T516" s="20" t="s">
        <v>72</v>
      </c>
      <c r="U516" s="20" t="s">
        <v>71</v>
      </c>
      <c r="V516" s="20" t="s">
        <v>72</v>
      </c>
      <c r="W516" s="20" t="s">
        <v>72</v>
      </c>
      <c r="X516" s="20" t="s">
        <v>71</v>
      </c>
      <c r="Y516" s="20" t="s">
        <v>72</v>
      </c>
      <c r="Z516" s="20" t="s">
        <v>71</v>
      </c>
      <c r="AA516" s="23" t="s">
        <v>80</v>
      </c>
      <c r="AB516" s="24" t="s">
        <v>2491</v>
      </c>
      <c r="AC516" s="25">
        <v>3</v>
      </c>
    </row>
    <row r="517" spans="1:29" ht="15" hidden="1" x14ac:dyDescent="0.2">
      <c r="A517">
        <v>43065696</v>
      </c>
      <c r="B517">
        <v>516</v>
      </c>
      <c r="C517" s="26" t="s">
        <v>1351</v>
      </c>
      <c r="D517" t="s">
        <v>1401</v>
      </c>
      <c r="E517">
        <v>3206587925</v>
      </c>
      <c r="F517" t="s">
        <v>2500</v>
      </c>
      <c r="G517" s="20" t="s">
        <v>2254</v>
      </c>
      <c r="H517" t="s">
        <v>2255</v>
      </c>
      <c r="I517" s="20" t="s">
        <v>2259</v>
      </c>
      <c r="J517" s="20" t="s">
        <v>71</v>
      </c>
      <c r="K517" s="20" t="s">
        <v>71</v>
      </c>
      <c r="L517" s="20" t="s">
        <v>72</v>
      </c>
      <c r="M517" s="20" t="s">
        <v>72</v>
      </c>
      <c r="N517" s="20" t="s">
        <v>72</v>
      </c>
      <c r="O517" s="20" t="s">
        <v>72</v>
      </c>
      <c r="P517" s="20" t="s">
        <v>72</v>
      </c>
      <c r="Q517" s="20" t="s">
        <v>72</v>
      </c>
      <c r="R517" s="20" t="s">
        <v>72</v>
      </c>
      <c r="S517" s="20" t="s">
        <v>72</v>
      </c>
      <c r="T517" s="20" t="s">
        <v>72</v>
      </c>
      <c r="U517" s="20" t="s">
        <v>71</v>
      </c>
      <c r="V517" s="20" t="s">
        <v>71</v>
      </c>
      <c r="W517" s="20" t="s">
        <v>71</v>
      </c>
      <c r="X517" s="20" t="s">
        <v>71</v>
      </c>
      <c r="Y517" s="20" t="s">
        <v>71</v>
      </c>
      <c r="Z517" s="20" t="s">
        <v>71</v>
      </c>
      <c r="AA517" s="23" t="s">
        <v>256</v>
      </c>
      <c r="AB517" s="24" t="s">
        <v>2491</v>
      </c>
      <c r="AC517" s="25">
        <v>3</v>
      </c>
    </row>
    <row r="518" spans="1:29" ht="15" hidden="1" x14ac:dyDescent="0.2">
      <c r="A518">
        <v>43922866</v>
      </c>
      <c r="B518">
        <v>517</v>
      </c>
      <c r="C518" s="26" t="s">
        <v>1351</v>
      </c>
      <c r="D518" t="s">
        <v>2501</v>
      </c>
      <c r="E518">
        <v>3006933282</v>
      </c>
      <c r="F518" t="s">
        <v>2502</v>
      </c>
      <c r="G518" s="20" t="s">
        <v>2254</v>
      </c>
      <c r="H518" t="s">
        <v>2255</v>
      </c>
      <c r="I518" s="20" t="s">
        <v>2259</v>
      </c>
      <c r="J518" s="20" t="s">
        <v>71</v>
      </c>
      <c r="K518" s="20" t="s">
        <v>71</v>
      </c>
      <c r="L518" s="20" t="s">
        <v>72</v>
      </c>
      <c r="M518" s="20" t="s">
        <v>72</v>
      </c>
      <c r="N518" s="20" t="s">
        <v>72</v>
      </c>
      <c r="O518" s="20" t="s">
        <v>72</v>
      </c>
      <c r="P518" s="20" t="s">
        <v>72</v>
      </c>
      <c r="Q518" s="20" t="s">
        <v>72</v>
      </c>
      <c r="R518" s="20" t="s">
        <v>72</v>
      </c>
      <c r="S518" s="20" t="s">
        <v>71</v>
      </c>
      <c r="T518" s="20" t="s">
        <v>72</v>
      </c>
      <c r="U518" s="20" t="s">
        <v>71</v>
      </c>
      <c r="V518" s="20" t="s">
        <v>71</v>
      </c>
      <c r="W518" s="20" t="s">
        <v>71</v>
      </c>
      <c r="X518" s="20" t="s">
        <v>71</v>
      </c>
      <c r="Y518" s="20" t="s">
        <v>71</v>
      </c>
      <c r="Z518" s="20" t="s">
        <v>71</v>
      </c>
      <c r="AA518" s="23" t="s">
        <v>256</v>
      </c>
      <c r="AB518" s="24" t="s">
        <v>2491</v>
      </c>
      <c r="AC518" s="25">
        <v>3</v>
      </c>
    </row>
    <row r="519" spans="1:29" ht="15" hidden="1" x14ac:dyDescent="0.2">
      <c r="A519">
        <v>71664592</v>
      </c>
      <c r="B519">
        <v>518</v>
      </c>
      <c r="C519" s="26" t="s">
        <v>1351</v>
      </c>
      <c r="D519" t="s">
        <v>2503</v>
      </c>
      <c r="E519">
        <v>3146564551</v>
      </c>
      <c r="F519" t="s">
        <v>2504</v>
      </c>
      <c r="G519" s="20" t="s">
        <v>2254</v>
      </c>
      <c r="H519" t="s">
        <v>2255</v>
      </c>
      <c r="I519" s="20" t="s">
        <v>2259</v>
      </c>
      <c r="AA519" s="23" t="s">
        <v>1367</v>
      </c>
      <c r="AB519" s="24" t="s">
        <v>2466</v>
      </c>
      <c r="AC519" s="25" t="s">
        <v>1367</v>
      </c>
    </row>
    <row r="520" spans="1:29" ht="15" hidden="1" x14ac:dyDescent="0.2">
      <c r="A520">
        <v>71663203</v>
      </c>
      <c r="B520">
        <v>519</v>
      </c>
      <c r="C520" s="26" t="s">
        <v>1351</v>
      </c>
      <c r="D520" t="s">
        <v>2505</v>
      </c>
      <c r="E520">
        <v>3007989960</v>
      </c>
      <c r="F520" t="s">
        <v>2506</v>
      </c>
      <c r="G520" s="20" t="s">
        <v>2254</v>
      </c>
      <c r="H520" t="s">
        <v>2255</v>
      </c>
      <c r="I520" s="20" t="s">
        <v>2259</v>
      </c>
      <c r="AA520" s="23" t="s">
        <v>1367</v>
      </c>
      <c r="AB520" s="24" t="s">
        <v>2466</v>
      </c>
      <c r="AC520" s="25" t="s">
        <v>1367</v>
      </c>
    </row>
    <row r="521" spans="1:29" ht="15" hidden="1" x14ac:dyDescent="0.2">
      <c r="A521">
        <v>43563684</v>
      </c>
      <c r="B521">
        <v>520</v>
      </c>
      <c r="C521" s="26" t="s">
        <v>1351</v>
      </c>
      <c r="D521" t="s">
        <v>2507</v>
      </c>
      <c r="E521">
        <v>3157678374</v>
      </c>
      <c r="F521" t="s">
        <v>2508</v>
      </c>
      <c r="G521" s="20" t="s">
        <v>2254</v>
      </c>
      <c r="H521" t="s">
        <v>2255</v>
      </c>
      <c r="I521" s="20" t="s">
        <v>2256</v>
      </c>
      <c r="J521" s="20" t="s">
        <v>71</v>
      </c>
      <c r="K521" s="20" t="s">
        <v>71</v>
      </c>
      <c r="L521" s="20" t="s">
        <v>72</v>
      </c>
      <c r="M521" s="20" t="s">
        <v>71</v>
      </c>
      <c r="N521" s="20" t="s">
        <v>72</v>
      </c>
      <c r="O521" s="20" t="s">
        <v>72</v>
      </c>
      <c r="P521" s="20" t="s">
        <v>72</v>
      </c>
      <c r="Q521" s="20" t="s">
        <v>72</v>
      </c>
      <c r="R521" s="20" t="s">
        <v>72</v>
      </c>
      <c r="S521" s="20" t="s">
        <v>71</v>
      </c>
      <c r="T521" s="20" t="s">
        <v>72</v>
      </c>
      <c r="U521" s="20" t="s">
        <v>72</v>
      </c>
      <c r="V521" s="20" t="s">
        <v>71</v>
      </c>
      <c r="W521" s="20" t="s">
        <v>72</v>
      </c>
      <c r="X521" s="20" t="s">
        <v>71</v>
      </c>
      <c r="Y521" s="20" t="s">
        <v>71</v>
      </c>
      <c r="Z521" s="20" t="s">
        <v>71</v>
      </c>
      <c r="AA521" s="23" t="s">
        <v>80</v>
      </c>
      <c r="AC521" s="25">
        <v>3</v>
      </c>
    </row>
    <row r="522" spans="1:29" ht="15" hidden="1" x14ac:dyDescent="0.2">
      <c r="A522">
        <v>1152716412</v>
      </c>
      <c r="B522">
        <v>521</v>
      </c>
      <c r="C522" s="26" t="s">
        <v>1351</v>
      </c>
      <c r="D522" t="s">
        <v>1634</v>
      </c>
      <c r="E522">
        <v>3007263568</v>
      </c>
      <c r="F522" t="s">
        <v>2509</v>
      </c>
      <c r="G522" s="20" t="s">
        <v>2254</v>
      </c>
      <c r="H522" t="s">
        <v>2255</v>
      </c>
      <c r="I522" s="20" t="s">
        <v>2259</v>
      </c>
      <c r="J522" s="20" t="s">
        <v>76</v>
      </c>
      <c r="K522" s="20" t="s">
        <v>76</v>
      </c>
      <c r="L522" s="20" t="s">
        <v>71</v>
      </c>
      <c r="M522" s="20" t="s">
        <v>71</v>
      </c>
      <c r="N522" s="20" t="s">
        <v>71</v>
      </c>
      <c r="O522" s="20" t="s">
        <v>71</v>
      </c>
      <c r="P522" s="20" t="s">
        <v>71</v>
      </c>
      <c r="Q522" s="20" t="s">
        <v>71</v>
      </c>
      <c r="R522" s="20" t="s">
        <v>71</v>
      </c>
      <c r="S522" s="20" t="s">
        <v>71</v>
      </c>
      <c r="T522" s="20" t="s">
        <v>71</v>
      </c>
      <c r="U522" s="20" t="s">
        <v>71</v>
      </c>
      <c r="V522" s="20" t="s">
        <v>76</v>
      </c>
      <c r="W522" s="20" t="s">
        <v>76</v>
      </c>
      <c r="X522" s="20" t="s">
        <v>71</v>
      </c>
      <c r="Y522" s="20" t="s">
        <v>76</v>
      </c>
      <c r="Z522" s="20" t="s">
        <v>71</v>
      </c>
      <c r="AA522" s="23" t="s">
        <v>179</v>
      </c>
      <c r="AB522" s="24" t="s">
        <v>2510</v>
      </c>
      <c r="AC522" s="25">
        <v>3</v>
      </c>
    </row>
    <row r="523" spans="1:29" s="21" customFormat="1" ht="15" hidden="1" x14ac:dyDescent="0.2">
      <c r="A523" s="33">
        <v>1037613287</v>
      </c>
      <c r="B523" s="33">
        <v>522</v>
      </c>
      <c r="C523" s="26" t="s">
        <v>1351</v>
      </c>
      <c r="D523" s="33" t="s">
        <v>2511</v>
      </c>
      <c r="E523" s="33">
        <v>3025383270</v>
      </c>
      <c r="F523" s="33" t="s">
        <v>2512</v>
      </c>
      <c r="G523" s="21" t="s">
        <v>2254</v>
      </c>
      <c r="H523" s="33" t="s">
        <v>2255</v>
      </c>
      <c r="I523" s="21" t="s">
        <v>2256</v>
      </c>
      <c r="AA523" s="34" t="s">
        <v>1464</v>
      </c>
      <c r="AB523" s="29" t="s">
        <v>1464</v>
      </c>
      <c r="AC523" s="31" t="s">
        <v>1464</v>
      </c>
    </row>
    <row r="524" spans="1:29" ht="15" hidden="1" x14ac:dyDescent="0.2">
      <c r="A524">
        <v>43915081</v>
      </c>
      <c r="B524">
        <v>523</v>
      </c>
      <c r="C524" s="26" t="s">
        <v>1351</v>
      </c>
      <c r="D524" t="s">
        <v>2513</v>
      </c>
      <c r="E524">
        <v>3024698232</v>
      </c>
      <c r="F524" t="s">
        <v>2514</v>
      </c>
      <c r="G524" s="20" t="s">
        <v>2254</v>
      </c>
      <c r="H524" t="s">
        <v>2255</v>
      </c>
      <c r="I524" s="20" t="s">
        <v>2256</v>
      </c>
      <c r="J524" s="20" t="s">
        <v>71</v>
      </c>
      <c r="K524" s="20" t="s">
        <v>71</v>
      </c>
      <c r="U524" s="20" t="s">
        <v>72</v>
      </c>
      <c r="V524" s="20" t="s">
        <v>72</v>
      </c>
      <c r="W524" s="20" t="s">
        <v>72</v>
      </c>
      <c r="X524" s="20" t="s">
        <v>72</v>
      </c>
      <c r="Y524" s="20" t="s">
        <v>72</v>
      </c>
      <c r="Z524" s="20" t="s">
        <v>72</v>
      </c>
      <c r="AA524" s="23" t="s">
        <v>179</v>
      </c>
      <c r="AB524" s="24" t="s">
        <v>2515</v>
      </c>
      <c r="AC524" s="25">
        <v>2</v>
      </c>
    </row>
    <row r="525" spans="1:29" ht="15" hidden="1" x14ac:dyDescent="0.2">
      <c r="A525">
        <v>1000438461</v>
      </c>
      <c r="B525">
        <v>524</v>
      </c>
      <c r="C525" s="26" t="s">
        <v>1351</v>
      </c>
      <c r="D525" t="s">
        <v>2516</v>
      </c>
      <c r="E525">
        <v>3125478389</v>
      </c>
      <c r="F525" t="s">
        <v>2517</v>
      </c>
      <c r="G525" s="20" t="s">
        <v>2254</v>
      </c>
      <c r="H525" t="s">
        <v>2255</v>
      </c>
      <c r="I525" s="20" t="s">
        <v>2259</v>
      </c>
      <c r="AA525" s="23" t="s">
        <v>1367</v>
      </c>
      <c r="AB525" s="24" t="s">
        <v>2518</v>
      </c>
      <c r="AC525" s="25" t="s">
        <v>1367</v>
      </c>
    </row>
    <row r="526" spans="1:29" ht="15" hidden="1" x14ac:dyDescent="0.2">
      <c r="A526">
        <v>42987727</v>
      </c>
      <c r="B526">
        <v>525</v>
      </c>
      <c r="C526" s="26" t="s">
        <v>1351</v>
      </c>
      <c r="D526" t="s">
        <v>2519</v>
      </c>
      <c r="E526">
        <v>3166685299</v>
      </c>
      <c r="F526" t="s">
        <v>2520</v>
      </c>
      <c r="G526" s="20" t="s">
        <v>2254</v>
      </c>
      <c r="H526" t="s">
        <v>2255</v>
      </c>
      <c r="I526" s="20" t="s">
        <v>2259</v>
      </c>
      <c r="J526" s="20" t="s">
        <v>71</v>
      </c>
      <c r="K526" s="20" t="s">
        <v>71</v>
      </c>
      <c r="L526" s="20" t="s">
        <v>72</v>
      </c>
      <c r="M526" s="20" t="s">
        <v>72</v>
      </c>
      <c r="N526" s="20" t="s">
        <v>71</v>
      </c>
      <c r="O526" s="20" t="s">
        <v>72</v>
      </c>
      <c r="P526" s="20" t="s">
        <v>72</v>
      </c>
      <c r="Q526" s="20" t="s">
        <v>72</v>
      </c>
      <c r="R526" s="20" t="s">
        <v>72</v>
      </c>
      <c r="S526" s="20" t="s">
        <v>72</v>
      </c>
      <c r="T526" s="20" t="s">
        <v>71</v>
      </c>
      <c r="U526" s="20" t="s">
        <v>72</v>
      </c>
      <c r="V526" s="20" t="s">
        <v>72</v>
      </c>
      <c r="W526" s="20" t="s">
        <v>72</v>
      </c>
      <c r="X526" s="20" t="s">
        <v>71</v>
      </c>
      <c r="Y526" s="20" t="s">
        <v>72</v>
      </c>
      <c r="Z526" s="20" t="s">
        <v>71</v>
      </c>
      <c r="AA526" s="23" t="s">
        <v>80</v>
      </c>
      <c r="AB526" s="24" t="s">
        <v>2491</v>
      </c>
      <c r="AC526" s="25">
        <v>2</v>
      </c>
    </row>
    <row r="527" spans="1:29" ht="15" hidden="1" x14ac:dyDescent="0.2">
      <c r="A527">
        <v>21469067</v>
      </c>
      <c r="B527">
        <v>526</v>
      </c>
      <c r="C527" s="26" t="s">
        <v>1351</v>
      </c>
      <c r="D527" t="s">
        <v>2521</v>
      </c>
      <c r="E527">
        <v>3244952769</v>
      </c>
      <c r="F527" t="s">
        <v>2522</v>
      </c>
      <c r="G527" s="20" t="s">
        <v>2254</v>
      </c>
      <c r="H527" t="s">
        <v>2255</v>
      </c>
      <c r="I527" s="20" t="s">
        <v>2259</v>
      </c>
      <c r="AA527" s="23" t="s">
        <v>1367</v>
      </c>
      <c r="AB527" s="24" t="s">
        <v>2518</v>
      </c>
      <c r="AC527" s="25" t="s">
        <v>1367</v>
      </c>
    </row>
    <row r="528" spans="1:29" ht="15" hidden="1" x14ac:dyDescent="0.2">
      <c r="A528">
        <v>26256767</v>
      </c>
      <c r="B528">
        <v>527</v>
      </c>
      <c r="C528" s="26" t="s">
        <v>1351</v>
      </c>
      <c r="D528" t="s">
        <v>2523</v>
      </c>
      <c r="E528">
        <v>3135818551</v>
      </c>
      <c r="F528" t="s">
        <v>2524</v>
      </c>
      <c r="G528" s="20" t="s">
        <v>2254</v>
      </c>
      <c r="H528" t="s">
        <v>2255</v>
      </c>
      <c r="I528" s="20" t="s">
        <v>2259</v>
      </c>
      <c r="J528" s="20" t="s">
        <v>71</v>
      </c>
      <c r="K528" s="20" t="s">
        <v>71</v>
      </c>
      <c r="L528" s="20" t="s">
        <v>72</v>
      </c>
      <c r="M528" s="20" t="s">
        <v>72</v>
      </c>
      <c r="N528" s="20" t="s">
        <v>71</v>
      </c>
      <c r="O528" s="20" t="s">
        <v>72</v>
      </c>
      <c r="P528" s="20" t="s">
        <v>72</v>
      </c>
      <c r="Q528" s="20" t="s">
        <v>72</v>
      </c>
      <c r="R528" s="20" t="s">
        <v>72</v>
      </c>
      <c r="S528" s="20" t="s">
        <v>72</v>
      </c>
      <c r="T528" s="20" t="s">
        <v>72</v>
      </c>
      <c r="U528" s="20" t="s">
        <v>72</v>
      </c>
      <c r="V528" s="20" t="s">
        <v>72</v>
      </c>
      <c r="W528" s="20" t="s">
        <v>72</v>
      </c>
      <c r="X528" s="20" t="s">
        <v>72</v>
      </c>
      <c r="Y528" s="20" t="s">
        <v>72</v>
      </c>
      <c r="Z528" s="20" t="s">
        <v>72</v>
      </c>
      <c r="AA528" s="23" t="s">
        <v>80</v>
      </c>
      <c r="AB528" s="24" t="s">
        <v>2491</v>
      </c>
      <c r="AC528" s="25">
        <v>1</v>
      </c>
    </row>
    <row r="529" spans="1:29" ht="15" hidden="1" x14ac:dyDescent="0.2">
      <c r="A529">
        <v>43536648</v>
      </c>
      <c r="B529">
        <v>528</v>
      </c>
      <c r="C529" s="26" t="s">
        <v>1351</v>
      </c>
      <c r="D529" t="s">
        <v>2525</v>
      </c>
      <c r="E529">
        <v>3132020896</v>
      </c>
      <c r="F529" t="s">
        <v>2526</v>
      </c>
      <c r="G529" s="20" t="s">
        <v>2254</v>
      </c>
      <c r="H529" t="s">
        <v>2255</v>
      </c>
      <c r="I529" s="20" t="s">
        <v>2256</v>
      </c>
      <c r="J529" s="20" t="s">
        <v>71</v>
      </c>
      <c r="K529" s="20" t="s">
        <v>71</v>
      </c>
      <c r="L529" s="20" t="s">
        <v>72</v>
      </c>
      <c r="M529" s="20" t="s">
        <v>72</v>
      </c>
      <c r="N529" s="20" t="s">
        <v>71</v>
      </c>
      <c r="O529" s="20" t="s">
        <v>72</v>
      </c>
      <c r="P529" s="20" t="s">
        <v>72</v>
      </c>
      <c r="Q529" s="20" t="s">
        <v>72</v>
      </c>
      <c r="R529" s="20" t="s">
        <v>72</v>
      </c>
      <c r="S529" s="20" t="s">
        <v>72</v>
      </c>
      <c r="T529" s="20" t="s">
        <v>72</v>
      </c>
      <c r="U529" s="20" t="s">
        <v>71</v>
      </c>
      <c r="V529" s="20" t="s">
        <v>71</v>
      </c>
      <c r="W529" s="20" t="s">
        <v>71</v>
      </c>
      <c r="X529" s="20" t="s">
        <v>71</v>
      </c>
      <c r="Y529" s="20" t="s">
        <v>71</v>
      </c>
      <c r="Z529" s="20" t="s">
        <v>71</v>
      </c>
      <c r="AA529" s="23" t="s">
        <v>256</v>
      </c>
      <c r="AB529" s="24" t="s">
        <v>2491</v>
      </c>
      <c r="AC529" s="25">
        <v>2</v>
      </c>
    </row>
    <row r="530" spans="1:29" ht="15" hidden="1" x14ac:dyDescent="0.2">
      <c r="A530">
        <v>9110860</v>
      </c>
      <c r="B530">
        <v>529</v>
      </c>
      <c r="C530" s="26" t="s">
        <v>1351</v>
      </c>
      <c r="D530" t="s">
        <v>2527</v>
      </c>
      <c r="E530">
        <v>5217689</v>
      </c>
      <c r="F530" t="s">
        <v>2528</v>
      </c>
      <c r="G530" s="20" t="s">
        <v>2254</v>
      </c>
      <c r="H530" t="s">
        <v>2255</v>
      </c>
      <c r="I530" s="20" t="s">
        <v>2259</v>
      </c>
      <c r="J530" s="20" t="s">
        <v>76</v>
      </c>
      <c r="K530" s="20" t="s">
        <v>76</v>
      </c>
      <c r="L530" s="20" t="s">
        <v>72</v>
      </c>
      <c r="M530" s="20" t="s">
        <v>76</v>
      </c>
      <c r="N530" s="20" t="s">
        <v>72</v>
      </c>
      <c r="O530" s="20" t="s">
        <v>72</v>
      </c>
      <c r="P530" s="20" t="s">
        <v>72</v>
      </c>
      <c r="Q530" s="20" t="s">
        <v>72</v>
      </c>
      <c r="R530" s="20" t="s">
        <v>72</v>
      </c>
      <c r="S530" s="20" t="s">
        <v>72</v>
      </c>
      <c r="T530" s="20" t="s">
        <v>72</v>
      </c>
      <c r="U530" s="20" t="s">
        <v>76</v>
      </c>
      <c r="V530" s="20" t="s">
        <v>76</v>
      </c>
      <c r="W530" s="20" t="s">
        <v>76</v>
      </c>
      <c r="X530" s="20" t="s">
        <v>72</v>
      </c>
      <c r="Y530" s="20" t="s">
        <v>72</v>
      </c>
      <c r="Z530" s="20" t="s">
        <v>72</v>
      </c>
      <c r="AA530" s="23" t="s">
        <v>91</v>
      </c>
      <c r="AB530" s="24" t="s">
        <v>2529</v>
      </c>
      <c r="AC530" s="25">
        <v>1</v>
      </c>
    </row>
    <row r="531" spans="1:29" ht="15" hidden="1" x14ac:dyDescent="0.2">
      <c r="A531">
        <v>43536319</v>
      </c>
      <c r="B531">
        <v>530</v>
      </c>
      <c r="C531" s="26" t="s">
        <v>1351</v>
      </c>
      <c r="D531" t="s">
        <v>2530</v>
      </c>
      <c r="E531">
        <v>3011300836</v>
      </c>
      <c r="F531" t="s">
        <v>2531</v>
      </c>
      <c r="G531" s="20" t="s">
        <v>2254</v>
      </c>
      <c r="H531" t="s">
        <v>2255</v>
      </c>
      <c r="I531" s="20" t="s">
        <v>2256</v>
      </c>
      <c r="J531" s="20" t="s">
        <v>71</v>
      </c>
      <c r="K531" s="20" t="s">
        <v>71</v>
      </c>
      <c r="L531" s="20" t="s">
        <v>76</v>
      </c>
      <c r="M531" s="20" t="s">
        <v>71</v>
      </c>
      <c r="N531" s="20" t="s">
        <v>72</v>
      </c>
      <c r="O531" s="20" t="s">
        <v>72</v>
      </c>
      <c r="P531" s="20" t="s">
        <v>72</v>
      </c>
      <c r="Q531" s="20" t="s">
        <v>72</v>
      </c>
      <c r="R531" s="20" t="s">
        <v>76</v>
      </c>
      <c r="S531" s="20" t="s">
        <v>71</v>
      </c>
      <c r="T531" s="20" t="s">
        <v>76</v>
      </c>
      <c r="U531" s="20" t="s">
        <v>71</v>
      </c>
      <c r="V531" s="20" t="s">
        <v>71</v>
      </c>
      <c r="W531" s="20" t="s">
        <v>71</v>
      </c>
      <c r="X531" s="20" t="s">
        <v>71</v>
      </c>
      <c r="Y531" s="20" t="s">
        <v>71</v>
      </c>
      <c r="Z531" s="20" t="s">
        <v>71</v>
      </c>
      <c r="AA531" s="23" t="s">
        <v>85</v>
      </c>
      <c r="AB531" s="24" t="s">
        <v>2532</v>
      </c>
      <c r="AC531" s="25">
        <v>2</v>
      </c>
    </row>
    <row r="532" spans="1:29" ht="15" hidden="1" x14ac:dyDescent="0.2">
      <c r="A532">
        <v>43117917</v>
      </c>
      <c r="B532">
        <v>531</v>
      </c>
      <c r="C532" s="26" t="s">
        <v>1351</v>
      </c>
      <c r="D532" t="s">
        <v>2533</v>
      </c>
      <c r="E532">
        <v>3136605348</v>
      </c>
      <c r="F532" t="s">
        <v>2534</v>
      </c>
      <c r="G532" s="20" t="s">
        <v>2254</v>
      </c>
      <c r="H532" t="s">
        <v>2255</v>
      </c>
      <c r="I532" s="20" t="s">
        <v>2256</v>
      </c>
      <c r="J532" s="20" t="s">
        <v>71</v>
      </c>
      <c r="K532" s="20" t="s">
        <v>71</v>
      </c>
      <c r="U532" s="20" t="s">
        <v>72</v>
      </c>
      <c r="V532" s="20" t="s">
        <v>72</v>
      </c>
      <c r="W532" s="20" t="s">
        <v>72</v>
      </c>
      <c r="Y532" s="20" t="s">
        <v>72</v>
      </c>
      <c r="Z532" s="20" t="s">
        <v>72</v>
      </c>
      <c r="AA532" s="23" t="s">
        <v>179</v>
      </c>
      <c r="AB532" s="24" t="s">
        <v>2535</v>
      </c>
      <c r="AC532" s="25">
        <v>3</v>
      </c>
    </row>
    <row r="533" spans="1:29" ht="15" hidden="1" x14ac:dyDescent="0.2">
      <c r="A533">
        <v>3430889</v>
      </c>
      <c r="B533">
        <v>532</v>
      </c>
      <c r="C533" s="26" t="s">
        <v>1351</v>
      </c>
      <c r="D533" t="s">
        <v>2536</v>
      </c>
      <c r="E533">
        <v>3148624198</v>
      </c>
      <c r="F533" t="s">
        <v>2537</v>
      </c>
      <c r="G533" s="20" t="s">
        <v>2254</v>
      </c>
      <c r="H533" t="s">
        <v>2255</v>
      </c>
      <c r="I533" s="20" t="s">
        <v>2259</v>
      </c>
      <c r="J533" s="20" t="s">
        <v>71</v>
      </c>
      <c r="K533" s="20" t="s">
        <v>71</v>
      </c>
      <c r="L533" s="20" t="s">
        <v>71</v>
      </c>
      <c r="M533" s="20" t="s">
        <v>71</v>
      </c>
      <c r="N533" s="20" t="s">
        <v>71</v>
      </c>
      <c r="O533" s="20" t="s">
        <v>71</v>
      </c>
      <c r="P533" s="20" t="s">
        <v>71</v>
      </c>
      <c r="Q533" s="20" t="s">
        <v>71</v>
      </c>
      <c r="R533" s="20" t="s">
        <v>71</v>
      </c>
      <c r="S533" s="20" t="s">
        <v>71</v>
      </c>
      <c r="T533" s="20" t="s">
        <v>71</v>
      </c>
      <c r="U533" s="20" t="s">
        <v>72</v>
      </c>
      <c r="V533" s="20" t="s">
        <v>72</v>
      </c>
      <c r="W533" s="20" t="s">
        <v>72</v>
      </c>
      <c r="X533" s="20" t="s">
        <v>72</v>
      </c>
      <c r="Y533" s="20" t="s">
        <v>72</v>
      </c>
      <c r="Z533" s="20" t="s">
        <v>72</v>
      </c>
      <c r="AA533" s="23" t="s">
        <v>179</v>
      </c>
      <c r="AB533" s="24" t="s">
        <v>2491</v>
      </c>
      <c r="AC533" s="25">
        <v>3</v>
      </c>
    </row>
    <row r="534" spans="1:29" ht="15" hidden="1" x14ac:dyDescent="0.2">
      <c r="A534">
        <v>71796175</v>
      </c>
      <c r="B534">
        <v>533</v>
      </c>
      <c r="C534" s="26" t="s">
        <v>1351</v>
      </c>
      <c r="D534" t="s">
        <v>2538</v>
      </c>
      <c r="E534">
        <v>3016253457</v>
      </c>
      <c r="F534" t="s">
        <v>2539</v>
      </c>
      <c r="G534" s="20" t="s">
        <v>2254</v>
      </c>
      <c r="H534" t="s">
        <v>2255</v>
      </c>
      <c r="I534" s="20" t="s">
        <v>2259</v>
      </c>
      <c r="J534" s="20" t="s">
        <v>71</v>
      </c>
      <c r="K534" s="20" t="s">
        <v>71</v>
      </c>
      <c r="L534" s="20" t="s">
        <v>71</v>
      </c>
      <c r="M534" s="20" t="s">
        <v>71</v>
      </c>
      <c r="N534" s="20" t="s">
        <v>71</v>
      </c>
      <c r="O534" s="20" t="s">
        <v>71</v>
      </c>
      <c r="P534" s="20" t="s">
        <v>71</v>
      </c>
      <c r="Q534" s="20" t="s">
        <v>71</v>
      </c>
      <c r="R534" s="20" t="s">
        <v>71</v>
      </c>
      <c r="S534" s="20" t="s">
        <v>71</v>
      </c>
      <c r="T534" s="20" t="s">
        <v>71</v>
      </c>
      <c r="U534" s="20" t="s">
        <v>71</v>
      </c>
      <c r="V534" s="20" t="s">
        <v>72</v>
      </c>
      <c r="W534" s="20" t="s">
        <v>72</v>
      </c>
      <c r="X534" s="20" t="s">
        <v>71</v>
      </c>
      <c r="Y534" s="20" t="s">
        <v>72</v>
      </c>
      <c r="Z534" s="20" t="s">
        <v>71</v>
      </c>
      <c r="AA534" s="23" t="s">
        <v>179</v>
      </c>
      <c r="AB534" s="24" t="s">
        <v>2491</v>
      </c>
      <c r="AC534" s="25">
        <v>3</v>
      </c>
    </row>
    <row r="535" spans="1:29" ht="15" hidden="1" x14ac:dyDescent="0.2">
      <c r="A535">
        <v>1017154497</v>
      </c>
      <c r="B535">
        <v>534</v>
      </c>
      <c r="C535" s="26" t="s">
        <v>1351</v>
      </c>
      <c r="D535" t="s">
        <v>2540</v>
      </c>
      <c r="E535"/>
      <c r="F535" t="s">
        <v>2480</v>
      </c>
      <c r="G535" s="20" t="s">
        <v>2254</v>
      </c>
      <c r="H535" t="s">
        <v>2255</v>
      </c>
      <c r="I535" s="20" t="s">
        <v>2256</v>
      </c>
      <c r="J535" s="20" t="s">
        <v>71</v>
      </c>
      <c r="K535" s="20" t="s">
        <v>71</v>
      </c>
      <c r="L535" s="20" t="s">
        <v>72</v>
      </c>
      <c r="M535" s="20" t="s">
        <v>72</v>
      </c>
      <c r="N535" s="20" t="s">
        <v>72</v>
      </c>
      <c r="O535" s="20" t="s">
        <v>72</v>
      </c>
      <c r="P535" s="20" t="s">
        <v>72</v>
      </c>
      <c r="Q535" s="20" t="s">
        <v>72</v>
      </c>
      <c r="R535" s="20" t="s">
        <v>72</v>
      </c>
      <c r="S535" s="20" t="s">
        <v>72</v>
      </c>
      <c r="T535" s="20" t="s">
        <v>72</v>
      </c>
      <c r="AA535" s="23" t="s">
        <v>256</v>
      </c>
      <c r="AB535" s="24" t="s">
        <v>2541</v>
      </c>
      <c r="AC535" s="25">
        <v>3</v>
      </c>
    </row>
    <row r="536" spans="1:29" ht="15" hidden="1" x14ac:dyDescent="0.2">
      <c r="A536">
        <v>43661822</v>
      </c>
      <c r="B536">
        <v>535</v>
      </c>
      <c r="C536" s="26" t="s">
        <v>1351</v>
      </c>
      <c r="D536" t="s">
        <v>2542</v>
      </c>
      <c r="E536">
        <v>3244939590</v>
      </c>
      <c r="F536" t="s">
        <v>2543</v>
      </c>
      <c r="G536" s="20" t="s">
        <v>2254</v>
      </c>
      <c r="H536" t="s">
        <v>2255</v>
      </c>
      <c r="I536" s="20" t="s">
        <v>2259</v>
      </c>
      <c r="J536" s="20" t="s">
        <v>71</v>
      </c>
      <c r="K536" s="20" t="s">
        <v>71</v>
      </c>
      <c r="L536" s="20" t="s">
        <v>72</v>
      </c>
      <c r="M536" s="20" t="s">
        <v>71</v>
      </c>
      <c r="N536" s="20" t="s">
        <v>72</v>
      </c>
      <c r="O536" s="20" t="s">
        <v>72</v>
      </c>
      <c r="P536" s="20" t="s">
        <v>72</v>
      </c>
      <c r="Q536" s="20" t="s">
        <v>72</v>
      </c>
      <c r="R536" s="20" t="s">
        <v>72</v>
      </c>
      <c r="S536" s="20" t="s">
        <v>72</v>
      </c>
      <c r="T536" s="20" t="s">
        <v>72</v>
      </c>
      <c r="U536" s="20" t="s">
        <v>72</v>
      </c>
      <c r="V536" s="20" t="s">
        <v>72</v>
      </c>
      <c r="W536" s="20" t="s">
        <v>72</v>
      </c>
      <c r="X536" s="20" t="s">
        <v>71</v>
      </c>
      <c r="Y536" s="20" t="s">
        <v>72</v>
      </c>
      <c r="Z536" s="20" t="s">
        <v>71</v>
      </c>
      <c r="AA536" s="23" t="s">
        <v>80</v>
      </c>
      <c r="AB536" s="24" t="s">
        <v>2491</v>
      </c>
      <c r="AC536" s="25">
        <v>2</v>
      </c>
    </row>
    <row r="537" spans="1:29" ht="15" hidden="1" x14ac:dyDescent="0.2">
      <c r="A537">
        <v>43516112</v>
      </c>
      <c r="B537">
        <v>536</v>
      </c>
      <c r="C537" s="26" t="s">
        <v>1351</v>
      </c>
      <c r="D537" t="s">
        <v>2544</v>
      </c>
      <c r="E537">
        <v>3022407017</v>
      </c>
      <c r="F537" t="s">
        <v>2545</v>
      </c>
      <c r="G537" s="20" t="s">
        <v>2254</v>
      </c>
      <c r="H537" t="s">
        <v>2255</v>
      </c>
      <c r="I537" s="20" t="s">
        <v>2256</v>
      </c>
      <c r="J537" s="20" t="s">
        <v>76</v>
      </c>
      <c r="K537" s="20" t="s">
        <v>76</v>
      </c>
      <c r="L537" s="20" t="s">
        <v>72</v>
      </c>
      <c r="M537" s="20" t="s">
        <v>71</v>
      </c>
      <c r="N537" s="20" t="s">
        <v>72</v>
      </c>
      <c r="O537" s="20" t="s">
        <v>72</v>
      </c>
      <c r="P537" s="20" t="s">
        <v>72</v>
      </c>
      <c r="Q537" s="20" t="s">
        <v>72</v>
      </c>
      <c r="R537" s="20" t="s">
        <v>72</v>
      </c>
      <c r="S537" s="20" t="s">
        <v>72</v>
      </c>
      <c r="T537" s="20" t="s">
        <v>72</v>
      </c>
      <c r="U537" s="20" t="s">
        <v>72</v>
      </c>
      <c r="V537" s="20" t="s">
        <v>72</v>
      </c>
      <c r="W537" s="20" t="s">
        <v>72</v>
      </c>
      <c r="X537" s="20" t="s">
        <v>72</v>
      </c>
      <c r="Y537" s="20" t="s">
        <v>72</v>
      </c>
      <c r="Z537" s="20" t="s">
        <v>72</v>
      </c>
      <c r="AA537" s="23" t="s">
        <v>91</v>
      </c>
      <c r="AB537" s="24" t="s">
        <v>2546</v>
      </c>
      <c r="AC537" s="25">
        <v>1</v>
      </c>
    </row>
    <row r="538" spans="1:29" ht="15" hidden="1" x14ac:dyDescent="0.2">
      <c r="A538">
        <v>39387899</v>
      </c>
      <c r="B538">
        <v>537</v>
      </c>
      <c r="C538" s="26" t="s">
        <v>1351</v>
      </c>
      <c r="D538" t="s">
        <v>2547</v>
      </c>
      <c r="E538">
        <v>3117716971</v>
      </c>
      <c r="F538" t="s">
        <v>2548</v>
      </c>
      <c r="G538" s="20" t="s">
        <v>2254</v>
      </c>
      <c r="H538" t="s">
        <v>2255</v>
      </c>
      <c r="I538" s="20" t="s">
        <v>2259</v>
      </c>
      <c r="J538" s="20" t="s">
        <v>71</v>
      </c>
      <c r="K538" s="20" t="s">
        <v>71</v>
      </c>
      <c r="L538" s="20" t="s">
        <v>72</v>
      </c>
      <c r="M538" s="20" t="s">
        <v>71</v>
      </c>
      <c r="N538" s="20" t="s">
        <v>72</v>
      </c>
      <c r="O538" s="20" t="s">
        <v>72</v>
      </c>
      <c r="P538" s="20" t="s">
        <v>72</v>
      </c>
      <c r="Q538" s="20" t="s">
        <v>72</v>
      </c>
      <c r="R538" s="20" t="s">
        <v>72</v>
      </c>
      <c r="S538" s="20" t="s">
        <v>72</v>
      </c>
      <c r="T538" s="20" t="s">
        <v>72</v>
      </c>
      <c r="U538" s="20" t="s">
        <v>72</v>
      </c>
      <c r="V538" s="20" t="s">
        <v>72</v>
      </c>
      <c r="W538" s="20" t="s">
        <v>72</v>
      </c>
      <c r="X538" s="20" t="s">
        <v>72</v>
      </c>
      <c r="Y538" s="20" t="s">
        <v>72</v>
      </c>
      <c r="Z538" s="20" t="s">
        <v>72</v>
      </c>
      <c r="AA538" s="23" t="s">
        <v>85</v>
      </c>
      <c r="AB538" s="24" t="s">
        <v>2549</v>
      </c>
      <c r="AC538" s="25">
        <v>2</v>
      </c>
    </row>
    <row r="539" spans="1:29" ht="15" hidden="1" x14ac:dyDescent="0.2">
      <c r="A539">
        <v>32525563</v>
      </c>
      <c r="B539">
        <v>538</v>
      </c>
      <c r="C539" s="26" t="s">
        <v>1351</v>
      </c>
      <c r="D539" t="s">
        <v>2550</v>
      </c>
      <c r="E539">
        <v>3154808339</v>
      </c>
      <c r="F539" t="s">
        <v>2551</v>
      </c>
      <c r="G539" s="20" t="s">
        <v>2254</v>
      </c>
      <c r="H539" t="s">
        <v>2255</v>
      </c>
      <c r="I539" s="20" t="s">
        <v>2259</v>
      </c>
      <c r="AA539" s="23" t="s">
        <v>1367</v>
      </c>
      <c r="AB539" s="24" t="s">
        <v>2466</v>
      </c>
      <c r="AC539" s="25" t="s">
        <v>2552</v>
      </c>
    </row>
    <row r="540" spans="1:29" ht="15" hidden="1" x14ac:dyDescent="0.2">
      <c r="A540">
        <v>43533978</v>
      </c>
      <c r="B540">
        <v>539</v>
      </c>
      <c r="C540" s="26" t="s">
        <v>1351</v>
      </c>
      <c r="D540" t="s">
        <v>2553</v>
      </c>
      <c r="E540">
        <v>3182275858</v>
      </c>
      <c r="F540" t="s">
        <v>2554</v>
      </c>
      <c r="G540" s="20" t="s">
        <v>2254</v>
      </c>
      <c r="H540" t="s">
        <v>2255</v>
      </c>
      <c r="I540" s="20" t="s">
        <v>2256</v>
      </c>
      <c r="J540" s="20" t="s">
        <v>76</v>
      </c>
      <c r="K540" s="20" t="s">
        <v>76</v>
      </c>
      <c r="L540" s="20" t="s">
        <v>72</v>
      </c>
      <c r="M540" s="20" t="s">
        <v>71</v>
      </c>
      <c r="N540" s="20" t="s">
        <v>72</v>
      </c>
      <c r="O540" s="20" t="s">
        <v>72</v>
      </c>
      <c r="P540" s="20" t="s">
        <v>72</v>
      </c>
      <c r="Q540" s="20" t="s">
        <v>72</v>
      </c>
      <c r="R540" s="20" t="s">
        <v>72</v>
      </c>
      <c r="S540" s="20" t="s">
        <v>72</v>
      </c>
      <c r="T540" s="20" t="s">
        <v>72</v>
      </c>
      <c r="U540" s="20" t="s">
        <v>72</v>
      </c>
      <c r="V540" s="20" t="s">
        <v>72</v>
      </c>
      <c r="W540" s="20" t="s">
        <v>72</v>
      </c>
      <c r="X540" s="20" t="s">
        <v>72</v>
      </c>
      <c r="Y540" s="20" t="s">
        <v>72</v>
      </c>
      <c r="Z540" s="20" t="s">
        <v>72</v>
      </c>
      <c r="AA540" s="23" t="s">
        <v>91</v>
      </c>
      <c r="AB540" s="24" t="s">
        <v>2555</v>
      </c>
      <c r="AC540" s="25">
        <v>1</v>
      </c>
    </row>
    <row r="541" spans="1:29" ht="15" hidden="1" x14ac:dyDescent="0.2">
      <c r="A541">
        <v>42792823</v>
      </c>
      <c r="B541">
        <v>540</v>
      </c>
      <c r="C541" s="26" t="s">
        <v>1351</v>
      </c>
      <c r="D541" t="s">
        <v>2556</v>
      </c>
      <c r="E541">
        <v>3052486346</v>
      </c>
      <c r="F541" t="s">
        <v>2557</v>
      </c>
      <c r="G541" s="20" t="s">
        <v>2254</v>
      </c>
      <c r="H541" t="s">
        <v>2255</v>
      </c>
      <c r="I541" s="20" t="s">
        <v>2256</v>
      </c>
      <c r="J541" s="20" t="s">
        <v>71</v>
      </c>
      <c r="K541" s="20" t="s">
        <v>71</v>
      </c>
      <c r="L541" s="20" t="s">
        <v>72</v>
      </c>
      <c r="M541" s="20" t="s">
        <v>72</v>
      </c>
      <c r="N541" s="20" t="s">
        <v>72</v>
      </c>
      <c r="O541" s="20" t="s">
        <v>72</v>
      </c>
      <c r="P541" s="20" t="s">
        <v>72</v>
      </c>
      <c r="Q541" s="20" t="s">
        <v>72</v>
      </c>
      <c r="R541" s="20" t="s">
        <v>72</v>
      </c>
      <c r="S541" s="20" t="s">
        <v>72</v>
      </c>
      <c r="T541" s="20" t="s">
        <v>72</v>
      </c>
      <c r="U541" s="20" t="s">
        <v>72</v>
      </c>
      <c r="V541" s="20" t="s">
        <v>72</v>
      </c>
      <c r="W541" s="20" t="s">
        <v>72</v>
      </c>
      <c r="X541" s="20" t="s">
        <v>72</v>
      </c>
      <c r="Y541" s="20" t="s">
        <v>72</v>
      </c>
      <c r="Z541" s="20" t="s">
        <v>72</v>
      </c>
      <c r="AA541" s="23" t="s">
        <v>80</v>
      </c>
      <c r="AB541" s="24" t="s">
        <v>2558</v>
      </c>
      <c r="AC541" s="25">
        <v>2</v>
      </c>
    </row>
    <row r="542" spans="1:29" ht="15" hidden="1" x14ac:dyDescent="0.2">
      <c r="A542">
        <v>43085567</v>
      </c>
      <c r="B542">
        <v>541</v>
      </c>
      <c r="C542" s="26" t="s">
        <v>1351</v>
      </c>
      <c r="D542" t="s">
        <v>2559</v>
      </c>
      <c r="E542">
        <v>3117925546</v>
      </c>
      <c r="F542" t="s">
        <v>2560</v>
      </c>
      <c r="G542" s="20" t="s">
        <v>2254</v>
      </c>
      <c r="H542" t="s">
        <v>2255</v>
      </c>
      <c r="I542" s="20" t="s">
        <v>2259</v>
      </c>
      <c r="AA542" s="23" t="s">
        <v>1367</v>
      </c>
      <c r="AB542" s="24" t="s">
        <v>2466</v>
      </c>
      <c r="AC542" s="25" t="s">
        <v>2552</v>
      </c>
    </row>
    <row r="543" spans="1:29" ht="15" hidden="1" x14ac:dyDescent="0.2">
      <c r="A543">
        <v>1039460475</v>
      </c>
      <c r="B543">
        <v>542</v>
      </c>
      <c r="C543" s="26" t="s">
        <v>1351</v>
      </c>
      <c r="D543" t="s">
        <v>2561</v>
      </c>
      <c r="E543">
        <v>3243913740</v>
      </c>
      <c r="F543" t="s">
        <v>2562</v>
      </c>
      <c r="G543" s="20" t="s">
        <v>2254</v>
      </c>
      <c r="H543" t="s">
        <v>2255</v>
      </c>
      <c r="I543" s="20" t="s">
        <v>2256</v>
      </c>
      <c r="AA543" s="23" t="s">
        <v>1367</v>
      </c>
      <c r="AB543" s="24" t="s">
        <v>2563</v>
      </c>
      <c r="AC543" s="25" t="s">
        <v>2552</v>
      </c>
    </row>
    <row r="544" spans="1:29" ht="15" hidden="1" x14ac:dyDescent="0.2">
      <c r="A544">
        <v>1032421813</v>
      </c>
      <c r="B544">
        <v>543</v>
      </c>
      <c r="C544" s="26" t="s">
        <v>1351</v>
      </c>
      <c r="D544" t="s">
        <v>2564</v>
      </c>
      <c r="E544">
        <v>3145150569</v>
      </c>
      <c r="F544" t="s">
        <v>2565</v>
      </c>
      <c r="G544" s="20" t="s">
        <v>2254</v>
      </c>
      <c r="H544" t="s">
        <v>2255</v>
      </c>
      <c r="I544" s="20" t="s">
        <v>2259</v>
      </c>
      <c r="J544" s="20" t="s">
        <v>71</v>
      </c>
      <c r="K544" s="20" t="s">
        <v>71</v>
      </c>
      <c r="L544" s="20" t="s">
        <v>71</v>
      </c>
      <c r="M544" s="20" t="s">
        <v>76</v>
      </c>
      <c r="N544" s="20" t="s">
        <v>76</v>
      </c>
      <c r="O544" s="20" t="s">
        <v>72</v>
      </c>
      <c r="P544" s="20" t="s">
        <v>72</v>
      </c>
      <c r="Q544" s="20" t="s">
        <v>72</v>
      </c>
      <c r="R544" s="20" t="s">
        <v>72</v>
      </c>
      <c r="S544" s="20" t="s">
        <v>72</v>
      </c>
      <c r="T544" s="20" t="s">
        <v>72</v>
      </c>
      <c r="U544" s="20" t="s">
        <v>71</v>
      </c>
      <c r="V544" s="20" t="s">
        <v>71</v>
      </c>
      <c r="W544" s="20" t="s">
        <v>71</v>
      </c>
      <c r="X544" s="20" t="s">
        <v>71</v>
      </c>
      <c r="Y544" s="20" t="s">
        <v>71</v>
      </c>
      <c r="Z544" s="20" t="s">
        <v>71</v>
      </c>
      <c r="AA544" s="23" t="s">
        <v>256</v>
      </c>
      <c r="AB544" s="24" t="s">
        <v>2566</v>
      </c>
      <c r="AC544" s="25">
        <v>3</v>
      </c>
    </row>
    <row r="545" spans="1:29" ht="15" hidden="1" x14ac:dyDescent="0.2">
      <c r="A545">
        <v>43558878</v>
      </c>
      <c r="B545">
        <v>544</v>
      </c>
      <c r="C545" s="26" t="s">
        <v>1351</v>
      </c>
      <c r="D545" t="s">
        <v>2307</v>
      </c>
      <c r="E545">
        <v>3234402763</v>
      </c>
      <c r="F545" t="s">
        <v>2567</v>
      </c>
      <c r="G545" s="20" t="s">
        <v>2254</v>
      </c>
      <c r="H545" t="s">
        <v>2255</v>
      </c>
      <c r="I545" s="20" t="s">
        <v>2259</v>
      </c>
      <c r="J545" s="20" t="s">
        <v>71</v>
      </c>
      <c r="K545" s="20" t="s">
        <v>71</v>
      </c>
      <c r="L545" s="20" t="s">
        <v>71</v>
      </c>
      <c r="M545" s="20" t="s">
        <v>71</v>
      </c>
      <c r="N545" s="20" t="s">
        <v>71</v>
      </c>
      <c r="O545" s="20" t="s">
        <v>71</v>
      </c>
      <c r="P545" s="20" t="s">
        <v>71</v>
      </c>
      <c r="Q545" s="20" t="s">
        <v>71</v>
      </c>
      <c r="R545" s="20" t="s">
        <v>71</v>
      </c>
      <c r="S545" s="20" t="s">
        <v>71</v>
      </c>
      <c r="T545" s="20" t="s">
        <v>71</v>
      </c>
      <c r="U545" s="20" t="s">
        <v>71</v>
      </c>
      <c r="V545" s="20" t="s">
        <v>72</v>
      </c>
      <c r="W545" s="20" t="s">
        <v>72</v>
      </c>
      <c r="X545" s="20" t="s">
        <v>72</v>
      </c>
      <c r="Y545" s="20" t="s">
        <v>72</v>
      </c>
      <c r="Z545" s="20" t="s">
        <v>76</v>
      </c>
      <c r="AA545" s="23" t="s">
        <v>179</v>
      </c>
      <c r="AB545" s="24" t="s">
        <v>2568</v>
      </c>
      <c r="AC545" s="25">
        <v>3</v>
      </c>
    </row>
    <row r="546" spans="1:29" ht="15" hidden="1" x14ac:dyDescent="0.2">
      <c r="A546">
        <v>71260467</v>
      </c>
      <c r="B546">
        <v>545</v>
      </c>
      <c r="C546" s="26" t="s">
        <v>1351</v>
      </c>
      <c r="D546" t="s">
        <v>2569</v>
      </c>
      <c r="E546">
        <v>3011740607</v>
      </c>
      <c r="F546" t="s">
        <v>2570</v>
      </c>
      <c r="G546" s="20" t="s">
        <v>2254</v>
      </c>
      <c r="H546" t="s">
        <v>2255</v>
      </c>
      <c r="I546" s="20" t="s">
        <v>2259</v>
      </c>
      <c r="J546" s="20" t="s">
        <v>71</v>
      </c>
      <c r="K546" s="20" t="s">
        <v>71</v>
      </c>
      <c r="L546" s="20" t="s">
        <v>72</v>
      </c>
      <c r="M546" s="20" t="s">
        <v>71</v>
      </c>
      <c r="N546" s="20" t="s">
        <v>72</v>
      </c>
      <c r="O546" s="20" t="s">
        <v>72</v>
      </c>
      <c r="P546" s="20" t="s">
        <v>72</v>
      </c>
      <c r="Q546" s="20" t="s">
        <v>72</v>
      </c>
      <c r="R546" s="20" t="s">
        <v>72</v>
      </c>
      <c r="S546" s="20" t="s">
        <v>72</v>
      </c>
      <c r="T546" s="20" t="s">
        <v>72</v>
      </c>
      <c r="U546" s="20" t="s">
        <v>72</v>
      </c>
      <c r="V546" s="20" t="s">
        <v>72</v>
      </c>
      <c r="W546" s="20" t="s">
        <v>72</v>
      </c>
      <c r="X546" s="20" t="s">
        <v>72</v>
      </c>
      <c r="Y546" s="20" t="s">
        <v>76</v>
      </c>
      <c r="Z546" s="20" t="s">
        <v>76</v>
      </c>
      <c r="AA546" s="23" t="s">
        <v>85</v>
      </c>
      <c r="AB546" s="24" t="s">
        <v>2491</v>
      </c>
      <c r="AC546" s="25">
        <v>2</v>
      </c>
    </row>
    <row r="547" spans="1:29" ht="15" hidden="1" x14ac:dyDescent="0.2">
      <c r="A547">
        <v>43073733</v>
      </c>
      <c r="B547">
        <v>546</v>
      </c>
      <c r="C547" s="26" t="s">
        <v>1351</v>
      </c>
      <c r="D547" t="s">
        <v>2571</v>
      </c>
      <c r="E547">
        <v>3234775284</v>
      </c>
      <c r="F547" t="s">
        <v>2572</v>
      </c>
      <c r="G547" s="20" t="s">
        <v>2254</v>
      </c>
      <c r="H547" t="s">
        <v>2255</v>
      </c>
      <c r="I547" s="20" t="s">
        <v>2259</v>
      </c>
      <c r="J547" s="20" t="s">
        <v>71</v>
      </c>
      <c r="K547" s="20" t="s">
        <v>71</v>
      </c>
      <c r="L547" s="20" t="s">
        <v>72</v>
      </c>
      <c r="M547" s="20" t="s">
        <v>71</v>
      </c>
      <c r="N547" s="20" t="s">
        <v>76</v>
      </c>
      <c r="O547" s="20" t="s">
        <v>71</v>
      </c>
      <c r="P547" s="20" t="s">
        <v>71</v>
      </c>
      <c r="Q547" s="20" t="s">
        <v>72</v>
      </c>
      <c r="R547" s="20" t="s">
        <v>72</v>
      </c>
      <c r="S547" s="20" t="s">
        <v>72</v>
      </c>
      <c r="T547" s="20" t="s">
        <v>72</v>
      </c>
      <c r="U547" s="20" t="s">
        <v>71</v>
      </c>
      <c r="V547" s="20" t="s">
        <v>72</v>
      </c>
      <c r="W547" s="20" t="s">
        <v>72</v>
      </c>
      <c r="X547" s="20" t="s">
        <v>72</v>
      </c>
      <c r="Y547" s="20" t="s">
        <v>72</v>
      </c>
      <c r="Z547" s="20" t="s">
        <v>72</v>
      </c>
      <c r="AA547" s="23" t="s">
        <v>80</v>
      </c>
      <c r="AB547" s="24" t="s">
        <v>2491</v>
      </c>
      <c r="AC547" s="25">
        <v>2</v>
      </c>
    </row>
    <row r="548" spans="1:29" ht="15" hidden="1" x14ac:dyDescent="0.2">
      <c r="A548">
        <v>43836211</v>
      </c>
      <c r="B548">
        <v>547</v>
      </c>
      <c r="C548" s="26" t="s">
        <v>1351</v>
      </c>
      <c r="D548" t="s">
        <v>2573</v>
      </c>
      <c r="E548">
        <v>3147918132</v>
      </c>
      <c r="F548" t="s">
        <v>2574</v>
      </c>
      <c r="G548" s="20" t="s">
        <v>2254</v>
      </c>
      <c r="H548" t="s">
        <v>2255</v>
      </c>
      <c r="I548" s="20" t="s">
        <v>2256</v>
      </c>
      <c r="J548" s="20" t="s">
        <v>71</v>
      </c>
      <c r="K548" s="20" t="s">
        <v>71</v>
      </c>
      <c r="L548" s="20" t="s">
        <v>71</v>
      </c>
      <c r="M548" s="20" t="s">
        <v>71</v>
      </c>
      <c r="N548" s="20" t="s">
        <v>71</v>
      </c>
      <c r="O548" s="20" t="s">
        <v>71</v>
      </c>
      <c r="P548" s="20" t="s">
        <v>71</v>
      </c>
      <c r="Q548" s="20" t="s">
        <v>71</v>
      </c>
      <c r="R548" s="20" t="s">
        <v>71</v>
      </c>
      <c r="S548" s="20" t="s">
        <v>71</v>
      </c>
      <c r="T548" s="20" t="s">
        <v>71</v>
      </c>
      <c r="U548" s="20" t="s">
        <v>71</v>
      </c>
      <c r="V548" s="20" t="s">
        <v>76</v>
      </c>
      <c r="W548" s="20" t="s">
        <v>76</v>
      </c>
      <c r="X548" s="20" t="s">
        <v>76</v>
      </c>
      <c r="Y548" s="20" t="s">
        <v>72</v>
      </c>
      <c r="Z548" s="20" t="s">
        <v>76</v>
      </c>
      <c r="AA548" s="23" t="s">
        <v>179</v>
      </c>
      <c r="AB548" s="24" t="s">
        <v>2491</v>
      </c>
      <c r="AC548" s="25">
        <v>3</v>
      </c>
    </row>
    <row r="549" spans="1:29" ht="15" hidden="1" x14ac:dyDescent="0.2">
      <c r="A549">
        <v>71686558</v>
      </c>
      <c r="B549">
        <v>548</v>
      </c>
      <c r="C549" s="26" t="s">
        <v>1351</v>
      </c>
      <c r="D549" t="s">
        <v>2575</v>
      </c>
      <c r="E549">
        <v>3154605600</v>
      </c>
      <c r="F549" t="s">
        <v>2576</v>
      </c>
      <c r="G549" s="20" t="s">
        <v>2254</v>
      </c>
      <c r="H549" t="s">
        <v>2255</v>
      </c>
      <c r="I549" s="20" t="s">
        <v>2259</v>
      </c>
      <c r="J549" s="20" t="s">
        <v>71</v>
      </c>
      <c r="K549" s="20" t="s">
        <v>71</v>
      </c>
      <c r="L549" s="20" t="s">
        <v>72</v>
      </c>
      <c r="M549" s="20" t="s">
        <v>72</v>
      </c>
      <c r="N549" s="20" t="s">
        <v>72</v>
      </c>
      <c r="O549" s="20" t="s">
        <v>72</v>
      </c>
      <c r="P549" s="20" t="s">
        <v>72</v>
      </c>
      <c r="Q549" s="20" t="s">
        <v>72</v>
      </c>
      <c r="R549" s="20" t="s">
        <v>72</v>
      </c>
      <c r="S549" s="20" t="s">
        <v>72</v>
      </c>
      <c r="T549" s="20" t="s">
        <v>72</v>
      </c>
      <c r="U549" s="20" t="s">
        <v>72</v>
      </c>
      <c r="V549" s="20" t="s">
        <v>72</v>
      </c>
      <c r="W549" s="20" t="s">
        <v>72</v>
      </c>
      <c r="X549" s="20" t="s">
        <v>72</v>
      </c>
      <c r="Y549" s="20" t="s">
        <v>72</v>
      </c>
      <c r="Z549" s="20" t="s">
        <v>72</v>
      </c>
      <c r="AA549" s="23" t="s">
        <v>80</v>
      </c>
      <c r="AB549" s="24" t="s">
        <v>2491</v>
      </c>
      <c r="AC549" s="25">
        <v>2</v>
      </c>
    </row>
    <row r="550" spans="1:29" ht="15" hidden="1" x14ac:dyDescent="0.2">
      <c r="A550">
        <v>22227595</v>
      </c>
      <c r="B550">
        <v>549</v>
      </c>
      <c r="C550" s="26" t="s">
        <v>1351</v>
      </c>
      <c r="D550" t="s">
        <v>2577</v>
      </c>
      <c r="E550">
        <v>3013299816</v>
      </c>
      <c r="F550" t="s">
        <v>2578</v>
      </c>
      <c r="G550" s="20" t="s">
        <v>2254</v>
      </c>
      <c r="H550" t="s">
        <v>2255</v>
      </c>
      <c r="I550" s="20" t="s">
        <v>2259</v>
      </c>
      <c r="J550" s="20" t="s">
        <v>71</v>
      </c>
      <c r="K550" s="20" t="s">
        <v>71</v>
      </c>
      <c r="L550" s="20" t="s">
        <v>72</v>
      </c>
      <c r="M550" s="20" t="s">
        <v>72</v>
      </c>
      <c r="N550" s="20" t="s">
        <v>72</v>
      </c>
      <c r="O550" s="20" t="s">
        <v>72</v>
      </c>
      <c r="P550" s="20" t="s">
        <v>72</v>
      </c>
      <c r="Q550" s="20" t="s">
        <v>72</v>
      </c>
      <c r="R550" s="20" t="s">
        <v>72</v>
      </c>
      <c r="S550" s="20" t="s">
        <v>72</v>
      </c>
      <c r="T550" s="20" t="s">
        <v>72</v>
      </c>
      <c r="U550" s="20" t="s">
        <v>72</v>
      </c>
      <c r="V550" s="20" t="s">
        <v>72</v>
      </c>
      <c r="W550" s="20" t="s">
        <v>72</v>
      </c>
      <c r="X550" s="20" t="s">
        <v>72</v>
      </c>
      <c r="Y550" s="20" t="s">
        <v>76</v>
      </c>
      <c r="Z550" s="20" t="s">
        <v>71</v>
      </c>
      <c r="AA550" s="23" t="s">
        <v>179</v>
      </c>
      <c r="AB550" s="24" t="s">
        <v>2491</v>
      </c>
      <c r="AC550" s="25">
        <v>3</v>
      </c>
    </row>
    <row r="551" spans="1:29" ht="15" hidden="1" x14ac:dyDescent="0.2">
      <c r="A551">
        <v>43598403</v>
      </c>
      <c r="B551">
        <v>550</v>
      </c>
      <c r="C551" s="26" t="s">
        <v>1351</v>
      </c>
      <c r="D551" t="s">
        <v>2579</v>
      </c>
      <c r="E551">
        <v>3126139251</v>
      </c>
      <c r="F551" t="s">
        <v>2580</v>
      </c>
      <c r="G551" s="20" t="s">
        <v>2254</v>
      </c>
      <c r="H551" t="s">
        <v>2255</v>
      </c>
      <c r="I551" s="20" t="s">
        <v>2256</v>
      </c>
      <c r="J551" s="20" t="s">
        <v>76</v>
      </c>
      <c r="K551" s="20" t="s">
        <v>76</v>
      </c>
      <c r="L551" s="20" t="s">
        <v>72</v>
      </c>
      <c r="M551" s="20" t="s">
        <v>71</v>
      </c>
      <c r="N551" s="20" t="s">
        <v>72</v>
      </c>
      <c r="O551" s="20" t="s">
        <v>72</v>
      </c>
      <c r="P551" s="20" t="s">
        <v>72</v>
      </c>
      <c r="Q551" s="20" t="s">
        <v>72</v>
      </c>
      <c r="R551" s="20" t="s">
        <v>72</v>
      </c>
      <c r="S551" s="20" t="s">
        <v>72</v>
      </c>
      <c r="T551" s="20" t="s">
        <v>72</v>
      </c>
      <c r="U551" s="20" t="s">
        <v>71</v>
      </c>
      <c r="V551" s="20" t="s">
        <v>76</v>
      </c>
      <c r="W551" s="20" t="s">
        <v>76</v>
      </c>
      <c r="X551" s="20" t="s">
        <v>76</v>
      </c>
      <c r="Y551" s="20" t="s">
        <v>76</v>
      </c>
      <c r="Z551" s="20" t="s">
        <v>71</v>
      </c>
      <c r="AA551" s="23" t="s">
        <v>91</v>
      </c>
      <c r="AB551" s="24" t="s">
        <v>2581</v>
      </c>
      <c r="AC551" s="25">
        <v>2</v>
      </c>
    </row>
    <row r="552" spans="1:29" ht="15" hidden="1" x14ac:dyDescent="0.2">
      <c r="A552">
        <v>71591169</v>
      </c>
      <c r="B552">
        <v>551</v>
      </c>
      <c r="C552" s="26" t="s">
        <v>1351</v>
      </c>
      <c r="D552" t="s">
        <v>2582</v>
      </c>
      <c r="E552">
        <v>3011969679</v>
      </c>
      <c r="F552" t="s">
        <v>2583</v>
      </c>
      <c r="G552" s="20" t="s">
        <v>2254</v>
      </c>
      <c r="H552" t="s">
        <v>2255</v>
      </c>
      <c r="I552" s="20" t="s">
        <v>2259</v>
      </c>
      <c r="J552" s="20" t="s">
        <v>71</v>
      </c>
      <c r="K552" s="20" t="s">
        <v>71</v>
      </c>
      <c r="L552" s="20" t="s">
        <v>72</v>
      </c>
      <c r="M552" s="20" t="s">
        <v>71</v>
      </c>
      <c r="N552" s="20" t="s">
        <v>72</v>
      </c>
      <c r="O552" s="20" t="s">
        <v>72</v>
      </c>
      <c r="P552" s="20" t="s">
        <v>72</v>
      </c>
      <c r="Q552" s="20" t="s">
        <v>72</v>
      </c>
      <c r="R552" s="20" t="s">
        <v>72</v>
      </c>
      <c r="S552" s="20" t="s">
        <v>72</v>
      </c>
      <c r="T552" s="20" t="s">
        <v>72</v>
      </c>
      <c r="U552" s="20" t="s">
        <v>72</v>
      </c>
      <c r="V552" s="20" t="s">
        <v>72</v>
      </c>
      <c r="W552" s="20" t="s">
        <v>72</v>
      </c>
      <c r="X552" s="20" t="s">
        <v>72</v>
      </c>
      <c r="Y552" s="20" t="s">
        <v>72</v>
      </c>
      <c r="Z552" s="20" t="s">
        <v>71</v>
      </c>
      <c r="AA552" s="23" t="s">
        <v>80</v>
      </c>
      <c r="AB552" s="24" t="s">
        <v>2491</v>
      </c>
      <c r="AC552" s="25">
        <v>3</v>
      </c>
    </row>
    <row r="553" spans="1:29" ht="15" hidden="1" x14ac:dyDescent="0.2">
      <c r="A553">
        <v>8279530</v>
      </c>
      <c r="B553">
        <v>552</v>
      </c>
      <c r="C553" s="26" t="s">
        <v>1351</v>
      </c>
      <c r="D553" t="s">
        <v>2584</v>
      </c>
      <c r="E553">
        <v>3145040223</v>
      </c>
      <c r="F553" t="s">
        <v>2585</v>
      </c>
      <c r="G553" s="20" t="s">
        <v>2254</v>
      </c>
      <c r="H553" t="s">
        <v>2255</v>
      </c>
      <c r="I553" s="20" t="s">
        <v>2259</v>
      </c>
      <c r="J553" s="20" t="s">
        <v>71</v>
      </c>
      <c r="K553" s="20" t="s">
        <v>71</v>
      </c>
      <c r="L553" s="20" t="s">
        <v>72</v>
      </c>
      <c r="M553" s="20" t="s">
        <v>71</v>
      </c>
      <c r="N553" s="20" t="s">
        <v>76</v>
      </c>
      <c r="O553" s="20" t="s">
        <v>72</v>
      </c>
      <c r="P553" s="20" t="s">
        <v>72</v>
      </c>
      <c r="Q553" s="20" t="s">
        <v>72</v>
      </c>
      <c r="R553" s="20" t="s">
        <v>72</v>
      </c>
      <c r="S553" s="20" t="s">
        <v>72</v>
      </c>
      <c r="T553" s="20" t="s">
        <v>72</v>
      </c>
      <c r="U553" s="20" t="s">
        <v>71</v>
      </c>
      <c r="V553" s="20" t="s">
        <v>71</v>
      </c>
      <c r="W553" s="20" t="s">
        <v>71</v>
      </c>
      <c r="X553" s="20" t="s">
        <v>71</v>
      </c>
      <c r="Y553" s="20" t="s">
        <v>71</v>
      </c>
      <c r="Z553" s="20" t="s">
        <v>71</v>
      </c>
      <c r="AA553" s="23" t="s">
        <v>256</v>
      </c>
      <c r="AB553" s="24" t="s">
        <v>2491</v>
      </c>
      <c r="AC553" s="25">
        <v>3</v>
      </c>
    </row>
    <row r="554" spans="1:29" ht="15" hidden="1" x14ac:dyDescent="0.2">
      <c r="A554">
        <v>1214748815</v>
      </c>
      <c r="B554">
        <v>553</v>
      </c>
      <c r="C554" s="26" t="s">
        <v>1351</v>
      </c>
      <c r="D554" t="s">
        <v>2586</v>
      </c>
      <c r="E554">
        <v>3045952574</v>
      </c>
      <c r="F554" t="s">
        <v>2587</v>
      </c>
      <c r="G554" s="20" t="s">
        <v>2254</v>
      </c>
      <c r="H554" t="s">
        <v>2255</v>
      </c>
      <c r="I554" s="20" t="s">
        <v>2256</v>
      </c>
      <c r="J554" s="20" t="s">
        <v>71</v>
      </c>
      <c r="K554" s="20" t="s">
        <v>71</v>
      </c>
      <c r="L554" s="20" t="s">
        <v>72</v>
      </c>
      <c r="M554" s="20" t="s">
        <v>71</v>
      </c>
      <c r="N554" s="20" t="s">
        <v>76</v>
      </c>
      <c r="O554" s="20" t="s">
        <v>72</v>
      </c>
      <c r="P554" s="20" t="s">
        <v>72</v>
      </c>
      <c r="Q554" s="20" t="s">
        <v>72</v>
      </c>
      <c r="R554" s="20" t="s">
        <v>72</v>
      </c>
      <c r="S554" s="20" t="s">
        <v>72</v>
      </c>
      <c r="T554" s="20" t="s">
        <v>72</v>
      </c>
      <c r="U554" s="20" t="s">
        <v>71</v>
      </c>
      <c r="V554" s="20" t="s">
        <v>71</v>
      </c>
      <c r="W554" s="20" t="s">
        <v>71</v>
      </c>
      <c r="X554" s="20" t="s">
        <v>71</v>
      </c>
      <c r="Y554" s="20" t="s">
        <v>71</v>
      </c>
      <c r="Z554" s="20" t="s">
        <v>71</v>
      </c>
      <c r="AA554" s="23" t="s">
        <v>256</v>
      </c>
      <c r="AB554" s="24" t="s">
        <v>2491</v>
      </c>
      <c r="AC554" s="25">
        <v>3</v>
      </c>
    </row>
    <row r="555" spans="1:29" ht="15" hidden="1" x14ac:dyDescent="0.2">
      <c r="A555">
        <v>1037613164</v>
      </c>
      <c r="B555">
        <v>554</v>
      </c>
      <c r="C555" s="26" t="s">
        <v>1351</v>
      </c>
      <c r="D555" t="s">
        <v>2588</v>
      </c>
      <c r="E555">
        <v>3104555165</v>
      </c>
      <c r="F555" t="s">
        <v>2589</v>
      </c>
      <c r="G555" s="20" t="s">
        <v>2254</v>
      </c>
      <c r="H555" t="s">
        <v>2255</v>
      </c>
      <c r="I555" s="20" t="s">
        <v>2259</v>
      </c>
      <c r="J555" s="20" t="s">
        <v>71</v>
      </c>
      <c r="K555" s="20" t="s">
        <v>71</v>
      </c>
      <c r="L555" s="20" t="s">
        <v>72</v>
      </c>
      <c r="M555" s="20" t="s">
        <v>71</v>
      </c>
      <c r="N555" s="20" t="s">
        <v>76</v>
      </c>
      <c r="O555" s="20" t="s">
        <v>72</v>
      </c>
      <c r="P555" s="20" t="s">
        <v>72</v>
      </c>
      <c r="Q555" s="20" t="s">
        <v>72</v>
      </c>
      <c r="R555" s="20" t="s">
        <v>72</v>
      </c>
      <c r="S555" s="20" t="s">
        <v>71</v>
      </c>
      <c r="T555" s="20" t="s">
        <v>71</v>
      </c>
      <c r="U555" s="20" t="s">
        <v>72</v>
      </c>
      <c r="V555" s="20" t="s">
        <v>72</v>
      </c>
      <c r="W555" s="20" t="s">
        <v>72</v>
      </c>
      <c r="X555" s="20" t="s">
        <v>71</v>
      </c>
      <c r="Y555" s="20" t="s">
        <v>76</v>
      </c>
      <c r="Z555" s="20" t="s">
        <v>71</v>
      </c>
      <c r="AA555" s="23" t="s">
        <v>80</v>
      </c>
      <c r="AB555" s="24" t="s">
        <v>2491</v>
      </c>
      <c r="AC555" s="25">
        <v>2</v>
      </c>
    </row>
    <row r="556" spans="1:29" ht="15" hidden="1" x14ac:dyDescent="0.2">
      <c r="A556">
        <v>43447606</v>
      </c>
      <c r="B556">
        <v>555</v>
      </c>
      <c r="C556" s="26" t="s">
        <v>1351</v>
      </c>
      <c r="D556" t="s">
        <v>2590</v>
      </c>
      <c r="E556">
        <v>3116757653</v>
      </c>
      <c r="F556" t="s">
        <v>2591</v>
      </c>
      <c r="G556" s="20" t="s">
        <v>2254</v>
      </c>
      <c r="H556" t="s">
        <v>2255</v>
      </c>
      <c r="I556" s="20" t="s">
        <v>2259</v>
      </c>
      <c r="AA556" s="23" t="s">
        <v>1367</v>
      </c>
      <c r="AB556" s="24" t="s">
        <v>2466</v>
      </c>
      <c r="AC556" s="25" t="s">
        <v>1367</v>
      </c>
    </row>
    <row r="557" spans="1:29" ht="15" hidden="1" x14ac:dyDescent="0.2">
      <c r="A557">
        <v>22015124</v>
      </c>
      <c r="B557">
        <v>556</v>
      </c>
      <c r="C557" s="26" t="s">
        <v>1351</v>
      </c>
      <c r="D557" t="s">
        <v>2592</v>
      </c>
      <c r="E557">
        <v>3153682846</v>
      </c>
      <c r="F557" t="s">
        <v>2593</v>
      </c>
      <c r="G557" s="20" t="s">
        <v>2254</v>
      </c>
      <c r="H557" t="s">
        <v>2255</v>
      </c>
      <c r="I557" s="20" t="s">
        <v>2259</v>
      </c>
      <c r="AA557" s="23" t="s">
        <v>1367</v>
      </c>
      <c r="AB557" s="24" t="s">
        <v>2594</v>
      </c>
      <c r="AC557" s="25" t="s">
        <v>1367</v>
      </c>
    </row>
    <row r="558" spans="1:29" ht="15" hidden="1" x14ac:dyDescent="0.2">
      <c r="A558">
        <v>42762856</v>
      </c>
      <c r="B558">
        <v>557</v>
      </c>
      <c r="C558" s="26" t="s">
        <v>1351</v>
      </c>
      <c r="D558" t="s">
        <v>2595</v>
      </c>
      <c r="E558">
        <v>3234832887</v>
      </c>
      <c r="F558" t="s">
        <v>2596</v>
      </c>
      <c r="G558" s="20" t="s">
        <v>2254</v>
      </c>
      <c r="H558" t="s">
        <v>2255</v>
      </c>
      <c r="I558" s="20" t="s">
        <v>2259</v>
      </c>
      <c r="J558" s="20" t="s">
        <v>71</v>
      </c>
      <c r="K558" s="20" t="s">
        <v>71</v>
      </c>
      <c r="L558" s="20" t="s">
        <v>72</v>
      </c>
      <c r="M558" s="20" t="s">
        <v>71</v>
      </c>
      <c r="N558" s="20" t="s">
        <v>76</v>
      </c>
      <c r="O558" s="20" t="s">
        <v>72</v>
      </c>
      <c r="P558" s="20" t="s">
        <v>72</v>
      </c>
      <c r="Q558" s="20" t="s">
        <v>72</v>
      </c>
      <c r="R558" s="20" t="s">
        <v>72</v>
      </c>
      <c r="S558" s="20" t="s">
        <v>72</v>
      </c>
      <c r="T558" s="20" t="s">
        <v>72</v>
      </c>
      <c r="U558" s="20" t="s">
        <v>71</v>
      </c>
      <c r="V558" s="20" t="s">
        <v>71</v>
      </c>
      <c r="W558" s="20" t="s">
        <v>71</v>
      </c>
      <c r="X558" s="20" t="s">
        <v>71</v>
      </c>
      <c r="Y558" s="20" t="s">
        <v>71</v>
      </c>
      <c r="Z558" s="20" t="s">
        <v>71</v>
      </c>
      <c r="AA558" s="23" t="s">
        <v>256</v>
      </c>
      <c r="AB558" s="24" t="s">
        <v>2491</v>
      </c>
      <c r="AC558" s="25">
        <v>3</v>
      </c>
    </row>
    <row r="559" spans="1:29" ht="15" hidden="1" x14ac:dyDescent="0.2">
      <c r="A559">
        <v>43632097</v>
      </c>
      <c r="B559">
        <v>558</v>
      </c>
      <c r="C559" s="26" t="s">
        <v>1351</v>
      </c>
      <c r="D559" t="s">
        <v>2597</v>
      </c>
      <c r="E559">
        <v>3013137671</v>
      </c>
      <c r="F559" t="s">
        <v>2598</v>
      </c>
      <c r="G559" s="20" t="s">
        <v>2254</v>
      </c>
      <c r="H559" t="s">
        <v>2255</v>
      </c>
      <c r="I559" s="20" t="s">
        <v>2259</v>
      </c>
      <c r="J559" s="20" t="s">
        <v>71</v>
      </c>
      <c r="K559" s="20" t="s">
        <v>71</v>
      </c>
      <c r="L559" s="20" t="s">
        <v>72</v>
      </c>
      <c r="M559" s="20" t="s">
        <v>71</v>
      </c>
      <c r="N559" s="20" t="s">
        <v>76</v>
      </c>
      <c r="O559" s="20" t="s">
        <v>72</v>
      </c>
      <c r="P559" s="20" t="s">
        <v>72</v>
      </c>
      <c r="Q559" s="20" t="s">
        <v>72</v>
      </c>
      <c r="R559" s="20" t="s">
        <v>72</v>
      </c>
      <c r="S559" s="20" t="s">
        <v>71</v>
      </c>
      <c r="T559" s="20" t="s">
        <v>72</v>
      </c>
      <c r="U559" s="20" t="s">
        <v>72</v>
      </c>
      <c r="V559" s="20" t="s">
        <v>72</v>
      </c>
      <c r="W559" s="20" t="s">
        <v>72</v>
      </c>
      <c r="X559" s="20" t="s">
        <v>72</v>
      </c>
      <c r="Y559" s="20" t="s">
        <v>72</v>
      </c>
      <c r="Z559" s="20" t="s">
        <v>72</v>
      </c>
      <c r="AA559" s="23" t="s">
        <v>80</v>
      </c>
      <c r="AB559" s="24" t="s">
        <v>2491</v>
      </c>
      <c r="AC559" s="25">
        <v>2</v>
      </c>
    </row>
    <row r="560" spans="1:29" ht="15" hidden="1" x14ac:dyDescent="0.2">
      <c r="A560">
        <v>43221546</v>
      </c>
      <c r="B560">
        <v>559</v>
      </c>
      <c r="C560" s="26" t="s">
        <v>1351</v>
      </c>
      <c r="D560" t="s">
        <v>2599</v>
      </c>
      <c r="E560">
        <v>3006865775</v>
      </c>
      <c r="F560" t="s">
        <v>2600</v>
      </c>
      <c r="G560" s="20" t="s">
        <v>2254</v>
      </c>
      <c r="H560" t="s">
        <v>2255</v>
      </c>
      <c r="I560" s="20" t="s">
        <v>2259</v>
      </c>
      <c r="J560" s="20" t="s">
        <v>71</v>
      </c>
      <c r="K560" s="20" t="s">
        <v>71</v>
      </c>
      <c r="L560" s="20" t="s">
        <v>72</v>
      </c>
      <c r="M560" s="20" t="s">
        <v>71</v>
      </c>
      <c r="N560" s="20" t="s">
        <v>76</v>
      </c>
      <c r="O560" s="20" t="s">
        <v>72</v>
      </c>
      <c r="P560" s="20" t="s">
        <v>72</v>
      </c>
      <c r="Q560" s="20" t="s">
        <v>72</v>
      </c>
      <c r="R560" s="20" t="s">
        <v>72</v>
      </c>
      <c r="S560" s="20" t="s">
        <v>72</v>
      </c>
      <c r="T560" s="20" t="s">
        <v>72</v>
      </c>
      <c r="U560" s="20" t="s">
        <v>72</v>
      </c>
      <c r="V560" s="20" t="s">
        <v>72</v>
      </c>
      <c r="W560" s="20" t="s">
        <v>72</v>
      </c>
      <c r="X560" s="20" t="s">
        <v>72</v>
      </c>
      <c r="Y560" s="20" t="s">
        <v>72</v>
      </c>
      <c r="Z560" s="20" t="s">
        <v>72</v>
      </c>
      <c r="AA560" s="23" t="s">
        <v>80</v>
      </c>
      <c r="AB560" s="24" t="s">
        <v>2491</v>
      </c>
      <c r="AC560" s="25">
        <v>2</v>
      </c>
    </row>
    <row r="561" spans="1:29" ht="15" hidden="1" x14ac:dyDescent="0.2">
      <c r="A561">
        <v>32500559</v>
      </c>
      <c r="B561">
        <v>560</v>
      </c>
      <c r="C561" s="26" t="s">
        <v>1351</v>
      </c>
      <c r="D561" t="s">
        <v>2601</v>
      </c>
      <c r="E561">
        <v>3234078791</v>
      </c>
      <c r="F561" t="s">
        <v>2602</v>
      </c>
      <c r="G561" s="20" t="s">
        <v>2254</v>
      </c>
      <c r="H561" t="s">
        <v>2255</v>
      </c>
      <c r="I561" s="20" t="s">
        <v>2259</v>
      </c>
      <c r="AA561" s="23" t="s">
        <v>1367</v>
      </c>
      <c r="AB561" s="24" t="s">
        <v>2603</v>
      </c>
      <c r="AC561" s="25" t="s">
        <v>2552</v>
      </c>
    </row>
    <row r="562" spans="1:29" ht="15" hidden="1" x14ac:dyDescent="0.2">
      <c r="A562">
        <v>45509337</v>
      </c>
      <c r="B562">
        <v>561</v>
      </c>
      <c r="C562" s="26" t="s">
        <v>1351</v>
      </c>
      <c r="D562" t="s">
        <v>2604</v>
      </c>
      <c r="E562">
        <v>3225023210</v>
      </c>
      <c r="F562" t="s">
        <v>2605</v>
      </c>
      <c r="G562" s="20" t="s">
        <v>2254</v>
      </c>
      <c r="H562" t="s">
        <v>2255</v>
      </c>
      <c r="I562" s="20" t="s">
        <v>2256</v>
      </c>
      <c r="AA562" s="23" t="s">
        <v>1367</v>
      </c>
      <c r="AB562" s="24" t="s">
        <v>2466</v>
      </c>
      <c r="AC562" s="25" t="s">
        <v>2552</v>
      </c>
    </row>
    <row r="563" spans="1:29" ht="15" hidden="1" x14ac:dyDescent="0.2">
      <c r="A563">
        <v>43265078</v>
      </c>
      <c r="B563">
        <v>562</v>
      </c>
      <c r="C563" s="26" t="s">
        <v>1351</v>
      </c>
      <c r="D563" t="s">
        <v>2606</v>
      </c>
      <c r="E563">
        <v>3005934464</v>
      </c>
      <c r="F563" t="s">
        <v>2607</v>
      </c>
      <c r="G563" s="20" t="s">
        <v>2254</v>
      </c>
      <c r="H563" t="s">
        <v>2255</v>
      </c>
      <c r="I563" s="20" t="s">
        <v>2259</v>
      </c>
      <c r="J563" s="20" t="s">
        <v>71</v>
      </c>
      <c r="K563" s="20" t="s">
        <v>71</v>
      </c>
      <c r="L563" s="20" t="s">
        <v>72</v>
      </c>
      <c r="M563" s="20" t="s">
        <v>71</v>
      </c>
      <c r="N563" s="20" t="s">
        <v>72</v>
      </c>
      <c r="O563" s="20" t="s">
        <v>72</v>
      </c>
      <c r="P563" s="20" t="s">
        <v>72</v>
      </c>
      <c r="Q563" s="20" t="s">
        <v>72</v>
      </c>
      <c r="R563" s="20" t="s">
        <v>72</v>
      </c>
      <c r="S563" s="20" t="s">
        <v>72</v>
      </c>
      <c r="T563" s="20" t="s">
        <v>71</v>
      </c>
      <c r="U563" s="20" t="s">
        <v>76</v>
      </c>
      <c r="V563" s="20" t="s">
        <v>72</v>
      </c>
      <c r="W563" s="20" t="s">
        <v>72</v>
      </c>
      <c r="X563" s="20" t="s">
        <v>72</v>
      </c>
      <c r="Y563" s="20" t="s">
        <v>72</v>
      </c>
      <c r="Z563" s="20" t="s">
        <v>72</v>
      </c>
      <c r="AA563" s="23" t="s">
        <v>80</v>
      </c>
      <c r="AB563" s="24" t="s">
        <v>2491</v>
      </c>
      <c r="AC563" s="25">
        <v>2</v>
      </c>
    </row>
    <row r="564" spans="1:29" ht="15" hidden="1" x14ac:dyDescent="0.2">
      <c r="A564">
        <v>43083979</v>
      </c>
      <c r="B564">
        <v>563</v>
      </c>
      <c r="C564" s="26" t="s">
        <v>1351</v>
      </c>
      <c r="D564" t="s">
        <v>2275</v>
      </c>
      <c r="E564">
        <v>3228843829</v>
      </c>
      <c r="F564" t="s">
        <v>2608</v>
      </c>
      <c r="G564" s="20" t="s">
        <v>2254</v>
      </c>
      <c r="H564" t="s">
        <v>2255</v>
      </c>
      <c r="I564" s="20" t="s">
        <v>2259</v>
      </c>
      <c r="AA564" s="23" t="s">
        <v>1367</v>
      </c>
      <c r="AB564" s="24" t="s">
        <v>2466</v>
      </c>
      <c r="AC564" s="25" t="s">
        <v>2552</v>
      </c>
    </row>
    <row r="565" spans="1:29" ht="15" hidden="1" x14ac:dyDescent="0.2">
      <c r="A565">
        <v>43672851</v>
      </c>
      <c r="B565">
        <v>564</v>
      </c>
      <c r="C565" s="26" t="s">
        <v>1351</v>
      </c>
      <c r="D565" t="s">
        <v>2609</v>
      </c>
      <c r="E565">
        <v>3104029366</v>
      </c>
      <c r="F565" t="s">
        <v>2610</v>
      </c>
      <c r="G565" s="20" t="s">
        <v>2254</v>
      </c>
      <c r="H565" t="s">
        <v>2255</v>
      </c>
      <c r="I565" s="20" t="s">
        <v>2259</v>
      </c>
      <c r="AA565" s="23" t="s">
        <v>1367</v>
      </c>
      <c r="AB565" s="24" t="s">
        <v>2611</v>
      </c>
      <c r="AC565" s="25" t="s">
        <v>2552</v>
      </c>
    </row>
    <row r="566" spans="1:29" ht="15" hidden="1" x14ac:dyDescent="0.2">
      <c r="A566">
        <v>71717122</v>
      </c>
      <c r="B566">
        <v>565</v>
      </c>
      <c r="C566" s="26" t="s">
        <v>1351</v>
      </c>
      <c r="D566" t="s">
        <v>2612</v>
      </c>
      <c r="E566">
        <v>3005077076</v>
      </c>
      <c r="F566" t="s">
        <v>2613</v>
      </c>
      <c r="G566" s="20" t="s">
        <v>2254</v>
      </c>
      <c r="H566" t="s">
        <v>2255</v>
      </c>
      <c r="I566" s="20" t="s">
        <v>2259</v>
      </c>
      <c r="J566" s="20" t="s">
        <v>71</v>
      </c>
      <c r="K566" s="20" t="s">
        <v>71</v>
      </c>
      <c r="L566" s="20" t="s">
        <v>71</v>
      </c>
      <c r="M566" s="20" t="s">
        <v>71</v>
      </c>
      <c r="N566" s="20" t="s">
        <v>72</v>
      </c>
      <c r="O566" s="20" t="s">
        <v>72</v>
      </c>
      <c r="P566" s="20" t="s">
        <v>72</v>
      </c>
      <c r="Q566" s="20" t="s">
        <v>71</v>
      </c>
      <c r="R566" s="20" t="s">
        <v>72</v>
      </c>
      <c r="S566" s="20" t="s">
        <v>72</v>
      </c>
      <c r="T566" s="20" t="s">
        <v>71</v>
      </c>
      <c r="U566" s="20" t="s">
        <v>71</v>
      </c>
      <c r="V566" s="20" t="s">
        <v>71</v>
      </c>
      <c r="W566" s="20" t="s">
        <v>71</v>
      </c>
      <c r="X566" s="20" t="s">
        <v>71</v>
      </c>
      <c r="Y566" s="20" t="s">
        <v>71</v>
      </c>
      <c r="Z566" s="20" t="s">
        <v>71</v>
      </c>
      <c r="AA566" s="23" t="s">
        <v>256</v>
      </c>
      <c r="AB566" s="24" t="s">
        <v>2491</v>
      </c>
      <c r="AC566" s="25">
        <v>3</v>
      </c>
    </row>
    <row r="567" spans="1:29" ht="15" hidden="1" x14ac:dyDescent="0.2">
      <c r="A567">
        <v>43635359</v>
      </c>
      <c r="B567">
        <v>566</v>
      </c>
      <c r="C567" s="26" t="s">
        <v>1351</v>
      </c>
      <c r="D567" t="s">
        <v>2614</v>
      </c>
      <c r="E567">
        <v>3172209117</v>
      </c>
      <c r="F567" t="s">
        <v>2615</v>
      </c>
      <c r="G567" s="20" t="s">
        <v>2254</v>
      </c>
      <c r="H567" t="s">
        <v>2255</v>
      </c>
      <c r="I567" s="20" t="s">
        <v>2259</v>
      </c>
      <c r="J567" s="20" t="s">
        <v>71</v>
      </c>
      <c r="K567" s="20" t="s">
        <v>71</v>
      </c>
      <c r="L567" s="20" t="s">
        <v>71</v>
      </c>
      <c r="M567" s="20" t="s">
        <v>71</v>
      </c>
      <c r="N567" s="20" t="s">
        <v>71</v>
      </c>
      <c r="O567" s="20" t="s">
        <v>71</v>
      </c>
      <c r="P567" s="20" t="s">
        <v>71</v>
      </c>
      <c r="Q567" s="20" t="s">
        <v>71</v>
      </c>
      <c r="R567" s="20" t="s">
        <v>71</v>
      </c>
      <c r="S567" s="20" t="s">
        <v>71</v>
      </c>
      <c r="T567" s="20" t="s">
        <v>71</v>
      </c>
      <c r="U567" s="20" t="s">
        <v>71</v>
      </c>
      <c r="V567" s="20" t="s">
        <v>72</v>
      </c>
      <c r="W567" s="20" t="s">
        <v>72</v>
      </c>
      <c r="X567" s="20" t="s">
        <v>71</v>
      </c>
      <c r="Y567" s="20" t="s">
        <v>76</v>
      </c>
      <c r="Z567" s="20" t="s">
        <v>71</v>
      </c>
      <c r="AA567" s="23" t="s">
        <v>179</v>
      </c>
      <c r="AB567" s="24" t="s">
        <v>2491</v>
      </c>
      <c r="AC567" s="25">
        <v>3</v>
      </c>
    </row>
    <row r="568" spans="1:29" ht="15" hidden="1" x14ac:dyDescent="0.2">
      <c r="A568">
        <v>43164479</v>
      </c>
      <c r="B568">
        <v>567</v>
      </c>
      <c r="C568" s="26" t="s">
        <v>1351</v>
      </c>
      <c r="D568" t="s">
        <v>2616</v>
      </c>
      <c r="E568">
        <v>3025855797</v>
      </c>
      <c r="F568" t="s">
        <v>2617</v>
      </c>
      <c r="G568" s="20" t="s">
        <v>2254</v>
      </c>
      <c r="H568" t="s">
        <v>2255</v>
      </c>
      <c r="I568" s="20" t="s">
        <v>2259</v>
      </c>
      <c r="J568" s="20" t="s">
        <v>71</v>
      </c>
      <c r="K568" s="20" t="s">
        <v>71</v>
      </c>
      <c r="L568" s="20" t="s">
        <v>71</v>
      </c>
      <c r="M568" s="20" t="s">
        <v>71</v>
      </c>
      <c r="N568" s="20" t="s">
        <v>72</v>
      </c>
      <c r="O568" s="20" t="s">
        <v>72</v>
      </c>
      <c r="P568" s="20" t="s">
        <v>72</v>
      </c>
      <c r="Q568" s="20" t="s">
        <v>71</v>
      </c>
      <c r="R568" s="20" t="s">
        <v>72</v>
      </c>
      <c r="S568" s="20" t="s">
        <v>72</v>
      </c>
      <c r="T568" s="20" t="s">
        <v>71</v>
      </c>
      <c r="U568" s="20" t="s">
        <v>71</v>
      </c>
      <c r="V568" s="20" t="s">
        <v>71</v>
      </c>
      <c r="W568" s="20" t="s">
        <v>71</v>
      </c>
      <c r="X568" s="20" t="s">
        <v>71</v>
      </c>
      <c r="Y568" s="20" t="s">
        <v>71</v>
      </c>
      <c r="Z568" s="20" t="s">
        <v>71</v>
      </c>
      <c r="AA568" s="23" t="s">
        <v>256</v>
      </c>
      <c r="AB568" s="24" t="s">
        <v>2491</v>
      </c>
      <c r="AC568" s="25">
        <v>3</v>
      </c>
    </row>
    <row r="569" spans="1:29" ht="15" hidden="1" x14ac:dyDescent="0.2">
      <c r="A569">
        <v>43011082</v>
      </c>
      <c r="B569">
        <v>568</v>
      </c>
      <c r="C569" s="26" t="s">
        <v>1351</v>
      </c>
      <c r="D569" t="s">
        <v>2618</v>
      </c>
      <c r="E569">
        <v>3147959912</v>
      </c>
      <c r="F569" t="s">
        <v>2619</v>
      </c>
      <c r="G569" s="20" t="s">
        <v>2254</v>
      </c>
      <c r="H569" t="s">
        <v>2255</v>
      </c>
      <c r="I569" s="20" t="s">
        <v>2259</v>
      </c>
      <c r="AA569" s="23" t="s">
        <v>1367</v>
      </c>
      <c r="AB569" s="24" t="s">
        <v>2466</v>
      </c>
      <c r="AC569" s="25" t="s">
        <v>2552</v>
      </c>
    </row>
    <row r="570" spans="1:29" ht="15" hidden="1" x14ac:dyDescent="0.2">
      <c r="A570">
        <v>8316734</v>
      </c>
      <c r="B570">
        <v>569</v>
      </c>
      <c r="C570" s="26" t="s">
        <v>1351</v>
      </c>
      <c r="D570" t="s">
        <v>2620</v>
      </c>
      <c r="E570">
        <v>3207640434</v>
      </c>
      <c r="F570" t="s">
        <v>2621</v>
      </c>
      <c r="G570" s="20" t="s">
        <v>2254</v>
      </c>
      <c r="H570" t="s">
        <v>2255</v>
      </c>
      <c r="I570" s="20" t="s">
        <v>2259</v>
      </c>
      <c r="J570" s="20" t="s">
        <v>71</v>
      </c>
      <c r="K570" s="20" t="s">
        <v>71</v>
      </c>
      <c r="L570" s="20" t="s">
        <v>71</v>
      </c>
      <c r="M570" s="20" t="s">
        <v>71</v>
      </c>
      <c r="N570" s="20" t="s">
        <v>71</v>
      </c>
      <c r="O570" s="20" t="s">
        <v>71</v>
      </c>
      <c r="P570" s="20" t="s">
        <v>71</v>
      </c>
      <c r="Q570" s="20" t="s">
        <v>71</v>
      </c>
      <c r="R570" s="20" t="s">
        <v>71</v>
      </c>
      <c r="S570" s="20" t="s">
        <v>71</v>
      </c>
      <c r="T570" s="20" t="s">
        <v>71</v>
      </c>
      <c r="U570" s="20" t="s">
        <v>72</v>
      </c>
      <c r="V570" s="20" t="s">
        <v>72</v>
      </c>
      <c r="W570" s="20" t="s">
        <v>72</v>
      </c>
      <c r="X570" s="20" t="s">
        <v>72</v>
      </c>
      <c r="Y570" s="20" t="s">
        <v>72</v>
      </c>
      <c r="Z570" s="20" t="s">
        <v>72</v>
      </c>
      <c r="AA570" s="23" t="s">
        <v>179</v>
      </c>
      <c r="AB570" s="24" t="s">
        <v>2491</v>
      </c>
      <c r="AC570" s="25">
        <v>2</v>
      </c>
    </row>
    <row r="571" spans="1:29" ht="15" hidden="1" x14ac:dyDescent="0.2">
      <c r="A571">
        <v>43534342</v>
      </c>
      <c r="B571">
        <v>570</v>
      </c>
      <c r="C571" s="26" t="s">
        <v>1351</v>
      </c>
      <c r="D571" t="s">
        <v>2622</v>
      </c>
      <c r="E571">
        <v>3023212663</v>
      </c>
      <c r="F571" t="s">
        <v>2623</v>
      </c>
      <c r="G571" s="20" t="s">
        <v>2254</v>
      </c>
      <c r="H571" t="s">
        <v>2255</v>
      </c>
      <c r="I571" s="20" t="s">
        <v>2259</v>
      </c>
      <c r="J571" s="20" t="s">
        <v>76</v>
      </c>
      <c r="K571" s="20" t="s">
        <v>76</v>
      </c>
      <c r="L571" s="20" t="s">
        <v>72</v>
      </c>
      <c r="M571" s="20" t="s">
        <v>71</v>
      </c>
      <c r="N571" s="20" t="s">
        <v>72</v>
      </c>
      <c r="O571" s="20" t="s">
        <v>72</v>
      </c>
      <c r="P571" s="20" t="s">
        <v>72</v>
      </c>
      <c r="Q571" s="20" t="s">
        <v>72</v>
      </c>
      <c r="R571" s="20" t="s">
        <v>72</v>
      </c>
      <c r="S571" s="20" t="s">
        <v>72</v>
      </c>
      <c r="T571" s="20" t="s">
        <v>72</v>
      </c>
      <c r="U571" s="20" t="s">
        <v>72</v>
      </c>
      <c r="V571" s="20" t="s">
        <v>72</v>
      </c>
      <c r="W571" s="20" t="s">
        <v>72</v>
      </c>
      <c r="X571" s="20" t="s">
        <v>71</v>
      </c>
      <c r="Y571" s="20" t="s">
        <v>72</v>
      </c>
      <c r="Z571" s="20" t="s">
        <v>72</v>
      </c>
      <c r="AA571" s="23" t="s">
        <v>91</v>
      </c>
      <c r="AB571" s="24" t="s">
        <v>2491</v>
      </c>
      <c r="AC571" s="25">
        <v>1</v>
      </c>
    </row>
    <row r="572" spans="1:29" ht="15" hidden="1" x14ac:dyDescent="0.2">
      <c r="A572">
        <v>71218215</v>
      </c>
      <c r="B572">
        <v>571</v>
      </c>
      <c r="C572" s="26" t="s">
        <v>1351</v>
      </c>
      <c r="D572" t="s">
        <v>2624</v>
      </c>
      <c r="E572">
        <v>3122318708</v>
      </c>
      <c r="F572" t="s">
        <v>2625</v>
      </c>
      <c r="G572" s="20" t="s">
        <v>2254</v>
      </c>
      <c r="H572" t="s">
        <v>2255</v>
      </c>
      <c r="I572" s="20" t="s">
        <v>2256</v>
      </c>
      <c r="AA572" s="23" t="s">
        <v>1367</v>
      </c>
      <c r="AB572" s="24" t="s">
        <v>2626</v>
      </c>
      <c r="AC572" s="25" t="s">
        <v>2552</v>
      </c>
    </row>
    <row r="573" spans="1:29" ht="15" hidden="1" x14ac:dyDescent="0.2">
      <c r="A573">
        <v>43589509</v>
      </c>
      <c r="B573">
        <v>572</v>
      </c>
      <c r="C573" s="26" t="s">
        <v>1351</v>
      </c>
      <c r="D573" t="s">
        <v>2627</v>
      </c>
      <c r="E573">
        <v>3222689437</v>
      </c>
      <c r="F573" t="s">
        <v>2628</v>
      </c>
      <c r="G573" s="20" t="s">
        <v>2254</v>
      </c>
      <c r="H573" t="s">
        <v>2255</v>
      </c>
      <c r="I573" s="20" t="s">
        <v>2256</v>
      </c>
      <c r="J573" s="20" t="s">
        <v>76</v>
      </c>
      <c r="K573" s="20" t="s">
        <v>76</v>
      </c>
      <c r="L573" s="20" t="s">
        <v>71</v>
      </c>
      <c r="M573" s="20" t="s">
        <v>71</v>
      </c>
      <c r="N573" s="20" t="s">
        <v>71</v>
      </c>
      <c r="O573" s="20" t="s">
        <v>71</v>
      </c>
      <c r="P573" s="20" t="s">
        <v>71</v>
      </c>
      <c r="Q573" s="20" t="s">
        <v>71</v>
      </c>
      <c r="R573" s="20" t="s">
        <v>71</v>
      </c>
      <c r="S573" s="20" t="s">
        <v>71</v>
      </c>
      <c r="T573" s="20" t="s">
        <v>71</v>
      </c>
      <c r="U573" s="20" t="s">
        <v>71</v>
      </c>
      <c r="V573" s="20" t="s">
        <v>71</v>
      </c>
      <c r="W573" s="20" t="s">
        <v>71</v>
      </c>
      <c r="X573" s="20" t="s">
        <v>71</v>
      </c>
      <c r="Y573" s="20" t="s">
        <v>71</v>
      </c>
      <c r="Z573" s="20" t="s">
        <v>71</v>
      </c>
      <c r="AA573" s="23" t="s">
        <v>73</v>
      </c>
      <c r="AB573" s="24" t="s">
        <v>2629</v>
      </c>
      <c r="AC573" s="25">
        <v>1</v>
      </c>
    </row>
    <row r="574" spans="1:29" ht="15" hidden="1" x14ac:dyDescent="0.2">
      <c r="A574">
        <v>71387728</v>
      </c>
      <c r="B574">
        <v>573</v>
      </c>
      <c r="C574" s="26" t="s">
        <v>1351</v>
      </c>
      <c r="D574" t="s">
        <v>2630</v>
      </c>
      <c r="E574">
        <v>3017723729</v>
      </c>
      <c r="F574" t="s">
        <v>2631</v>
      </c>
      <c r="G574" s="20" t="s">
        <v>2254</v>
      </c>
      <c r="H574" t="s">
        <v>2255</v>
      </c>
      <c r="I574" s="20" t="s">
        <v>2259</v>
      </c>
      <c r="AA574" s="23" t="s">
        <v>1367</v>
      </c>
      <c r="AB574" s="24" t="s">
        <v>2632</v>
      </c>
      <c r="AC574" s="25" t="s">
        <v>2552</v>
      </c>
    </row>
    <row r="575" spans="1:29" ht="15" hidden="1" x14ac:dyDescent="0.2">
      <c r="A575">
        <v>21610540</v>
      </c>
      <c r="B575">
        <v>574</v>
      </c>
      <c r="C575" s="26" t="s">
        <v>1351</v>
      </c>
      <c r="D575" t="s">
        <v>2633</v>
      </c>
      <c r="E575">
        <v>324120080</v>
      </c>
      <c r="F575" t="s">
        <v>2634</v>
      </c>
      <c r="G575" s="20" t="s">
        <v>2254</v>
      </c>
      <c r="H575" t="s">
        <v>2255</v>
      </c>
      <c r="I575" s="20" t="s">
        <v>2259</v>
      </c>
      <c r="J575" s="20" t="s">
        <v>71</v>
      </c>
      <c r="K575" s="20" t="s">
        <v>71</v>
      </c>
      <c r="L575" s="20" t="s">
        <v>72</v>
      </c>
      <c r="M575" s="20" t="s">
        <v>71</v>
      </c>
      <c r="N575" s="20" t="s">
        <v>72</v>
      </c>
      <c r="O575" s="20" t="s">
        <v>72</v>
      </c>
      <c r="P575" s="20" t="s">
        <v>72</v>
      </c>
      <c r="Q575" s="20" t="s">
        <v>72</v>
      </c>
      <c r="R575" s="20" t="s">
        <v>72</v>
      </c>
      <c r="S575" s="20" t="s">
        <v>72</v>
      </c>
      <c r="T575" s="20" t="s">
        <v>72</v>
      </c>
      <c r="U575" s="20" t="s">
        <v>72</v>
      </c>
      <c r="V575" s="20" t="s">
        <v>72</v>
      </c>
      <c r="W575" s="20" t="s">
        <v>72</v>
      </c>
      <c r="X575" s="20" t="s">
        <v>72</v>
      </c>
      <c r="Y575" s="20" t="s">
        <v>72</v>
      </c>
      <c r="Z575" s="20" t="s">
        <v>72</v>
      </c>
      <c r="AA575" s="23" t="s">
        <v>80</v>
      </c>
      <c r="AB575" s="24" t="s">
        <v>2491</v>
      </c>
      <c r="AC575" s="25">
        <v>2</v>
      </c>
    </row>
    <row r="576" spans="1:29" ht="15" hidden="1" x14ac:dyDescent="0.2">
      <c r="A576">
        <v>1022094431</v>
      </c>
      <c r="B576">
        <v>575</v>
      </c>
      <c r="C576" s="26" t="s">
        <v>1351</v>
      </c>
      <c r="D576" t="s">
        <v>2635</v>
      </c>
      <c r="E576">
        <v>3024107268</v>
      </c>
      <c r="F576" t="s">
        <v>2636</v>
      </c>
      <c r="G576" s="20" t="s">
        <v>2254</v>
      </c>
      <c r="H576" t="s">
        <v>2255</v>
      </c>
      <c r="I576" s="20" t="s">
        <v>2259</v>
      </c>
      <c r="J576" s="20" t="s">
        <v>71</v>
      </c>
      <c r="K576" s="20" t="s">
        <v>71</v>
      </c>
      <c r="L576" s="20" t="s">
        <v>71</v>
      </c>
      <c r="M576" s="20" t="s">
        <v>71</v>
      </c>
      <c r="N576" s="20" t="s">
        <v>71</v>
      </c>
      <c r="O576" s="20" t="s">
        <v>71</v>
      </c>
      <c r="P576" s="20" t="s">
        <v>71</v>
      </c>
      <c r="Q576" s="20" t="s">
        <v>71</v>
      </c>
      <c r="R576" s="20" t="s">
        <v>71</v>
      </c>
      <c r="S576" s="20" t="s">
        <v>71</v>
      </c>
      <c r="T576" s="20" t="s">
        <v>71</v>
      </c>
      <c r="U576" s="20" t="s">
        <v>72</v>
      </c>
      <c r="V576" s="20" t="s">
        <v>72</v>
      </c>
      <c r="W576" s="20" t="s">
        <v>72</v>
      </c>
      <c r="X576" s="20" t="s">
        <v>72</v>
      </c>
      <c r="Y576" s="20" t="s">
        <v>72</v>
      </c>
      <c r="Z576" s="20" t="s">
        <v>72</v>
      </c>
      <c r="AA576" s="23" t="s">
        <v>179</v>
      </c>
      <c r="AB576" s="24" t="s">
        <v>2637</v>
      </c>
      <c r="AC576" s="25">
        <v>3</v>
      </c>
    </row>
    <row r="577" spans="1:29" ht="15" hidden="1" x14ac:dyDescent="0.2">
      <c r="A577">
        <v>71799939</v>
      </c>
      <c r="B577">
        <v>576</v>
      </c>
      <c r="C577" s="26" t="s">
        <v>1351</v>
      </c>
      <c r="D577" t="s">
        <v>2638</v>
      </c>
      <c r="E577">
        <v>3242038771</v>
      </c>
      <c r="F577" t="s">
        <v>2639</v>
      </c>
      <c r="G577" s="20" t="s">
        <v>2254</v>
      </c>
      <c r="H577" t="s">
        <v>2255</v>
      </c>
      <c r="I577" s="20" t="s">
        <v>2256</v>
      </c>
      <c r="J577" s="20" t="s">
        <v>71</v>
      </c>
      <c r="K577" s="20" t="s">
        <v>71</v>
      </c>
      <c r="L577" s="20" t="s">
        <v>72</v>
      </c>
      <c r="M577" s="20" t="s">
        <v>76</v>
      </c>
      <c r="N577" s="20" t="s">
        <v>72</v>
      </c>
      <c r="O577" s="20" t="s">
        <v>72</v>
      </c>
      <c r="P577" s="20" t="s">
        <v>72</v>
      </c>
      <c r="Q577" s="20" t="s">
        <v>72</v>
      </c>
      <c r="R577" s="20" t="s">
        <v>72</v>
      </c>
      <c r="S577" s="20" t="s">
        <v>72</v>
      </c>
      <c r="T577" s="20" t="s">
        <v>72</v>
      </c>
      <c r="U577" s="20" t="s">
        <v>72</v>
      </c>
      <c r="V577" s="20" t="s">
        <v>72</v>
      </c>
      <c r="W577" s="20" t="s">
        <v>72</v>
      </c>
      <c r="X577" s="20" t="s">
        <v>72</v>
      </c>
      <c r="Y577" s="20" t="s">
        <v>72</v>
      </c>
      <c r="Z577" s="20" t="s">
        <v>72</v>
      </c>
      <c r="AA577" s="23" t="s">
        <v>80</v>
      </c>
      <c r="AB577" s="24" t="s">
        <v>2640</v>
      </c>
      <c r="AC577" s="25">
        <v>2</v>
      </c>
    </row>
    <row r="578" spans="1:29" ht="15" hidden="1" x14ac:dyDescent="0.2">
      <c r="A578">
        <v>1036631758</v>
      </c>
      <c r="B578">
        <v>577</v>
      </c>
      <c r="C578" s="26" t="s">
        <v>1351</v>
      </c>
      <c r="D578" t="s">
        <v>2641</v>
      </c>
      <c r="E578"/>
      <c r="F578" t="s">
        <v>2642</v>
      </c>
      <c r="G578" s="20" t="s">
        <v>2254</v>
      </c>
      <c r="H578" t="s">
        <v>2255</v>
      </c>
      <c r="I578" s="20" t="s">
        <v>2259</v>
      </c>
      <c r="J578" s="20" t="s">
        <v>71</v>
      </c>
      <c r="K578" s="20" t="s">
        <v>71</v>
      </c>
      <c r="L578" s="20" t="s">
        <v>72</v>
      </c>
      <c r="M578" s="20" t="s">
        <v>72</v>
      </c>
      <c r="N578" s="20" t="s">
        <v>72</v>
      </c>
      <c r="O578" s="20" t="s">
        <v>72</v>
      </c>
      <c r="P578" s="20" t="s">
        <v>72</v>
      </c>
      <c r="Q578" s="20" t="s">
        <v>72</v>
      </c>
      <c r="R578" s="20" t="s">
        <v>72</v>
      </c>
      <c r="S578" s="20" t="s">
        <v>72</v>
      </c>
      <c r="T578" s="20" t="s">
        <v>72</v>
      </c>
      <c r="U578" s="20" t="s">
        <v>72</v>
      </c>
      <c r="V578" s="20" t="s">
        <v>72</v>
      </c>
      <c r="W578" s="20" t="s">
        <v>72</v>
      </c>
      <c r="X578" s="20" t="s">
        <v>72</v>
      </c>
      <c r="Y578" s="20" t="s">
        <v>72</v>
      </c>
      <c r="Z578" s="20" t="s">
        <v>72</v>
      </c>
      <c r="AA578" s="23" t="s">
        <v>80</v>
      </c>
      <c r="AB578" s="24" t="s">
        <v>2643</v>
      </c>
      <c r="AC578" s="25">
        <v>1</v>
      </c>
    </row>
    <row r="579" spans="1:29" ht="15" hidden="1" x14ac:dyDescent="0.2">
      <c r="A579">
        <v>43754194</v>
      </c>
      <c r="B579">
        <v>578</v>
      </c>
      <c r="C579" s="26" t="s">
        <v>1351</v>
      </c>
      <c r="D579" t="s">
        <v>2644</v>
      </c>
      <c r="E579">
        <v>3113182027</v>
      </c>
      <c r="F579" t="s">
        <v>2645</v>
      </c>
      <c r="G579" s="20" t="s">
        <v>2254</v>
      </c>
      <c r="H579" t="s">
        <v>2255</v>
      </c>
      <c r="I579" s="20" t="s">
        <v>2256</v>
      </c>
      <c r="AA579" s="23" t="s">
        <v>1367</v>
      </c>
      <c r="AB579" s="24" t="s">
        <v>2646</v>
      </c>
      <c r="AC579" s="25" t="s">
        <v>2552</v>
      </c>
    </row>
    <row r="580" spans="1:29" ht="15" hidden="1" x14ac:dyDescent="0.2">
      <c r="A580">
        <v>43733194</v>
      </c>
      <c r="B580">
        <v>579</v>
      </c>
      <c r="C580" s="26" t="s">
        <v>1351</v>
      </c>
      <c r="D580" t="s">
        <v>1587</v>
      </c>
      <c r="E580">
        <v>3045649380</v>
      </c>
      <c r="F580" t="s">
        <v>2647</v>
      </c>
      <c r="G580" s="20" t="s">
        <v>2254</v>
      </c>
      <c r="H580" t="s">
        <v>2255</v>
      </c>
      <c r="I580" s="20" t="s">
        <v>2259</v>
      </c>
      <c r="J580" s="20" t="s">
        <v>71</v>
      </c>
      <c r="K580" s="20" t="s">
        <v>71</v>
      </c>
      <c r="L580" s="20" t="s">
        <v>72</v>
      </c>
      <c r="M580" s="20" t="s">
        <v>72</v>
      </c>
      <c r="N580" s="20" t="s">
        <v>72</v>
      </c>
      <c r="O580" s="20" t="s">
        <v>72</v>
      </c>
      <c r="P580" s="20" t="s">
        <v>72</v>
      </c>
      <c r="Q580" s="20" t="s">
        <v>72</v>
      </c>
      <c r="R580" s="20" t="s">
        <v>72</v>
      </c>
      <c r="S580" s="20" t="s">
        <v>72</v>
      </c>
      <c r="T580" s="20" t="s">
        <v>72</v>
      </c>
      <c r="U580" s="20" t="s">
        <v>72</v>
      </c>
      <c r="V580" s="20" t="s">
        <v>72</v>
      </c>
      <c r="W580" s="20" t="s">
        <v>72</v>
      </c>
      <c r="X580" s="20" t="s">
        <v>72</v>
      </c>
      <c r="Y580" s="20" t="s">
        <v>72</v>
      </c>
      <c r="Z580" s="20" t="s">
        <v>72</v>
      </c>
      <c r="AA580" s="23" t="s">
        <v>80</v>
      </c>
      <c r="AB580" s="24" t="s">
        <v>2640</v>
      </c>
      <c r="AC580" s="25">
        <v>2</v>
      </c>
    </row>
    <row r="581" spans="1:29" ht="15" hidden="1" x14ac:dyDescent="0.2">
      <c r="A581">
        <v>43025963</v>
      </c>
      <c r="B581">
        <v>580</v>
      </c>
      <c r="C581" s="26" t="s">
        <v>1351</v>
      </c>
      <c r="D581" t="s">
        <v>2648</v>
      </c>
      <c r="E581">
        <v>3215895061</v>
      </c>
      <c r="F581" t="s">
        <v>2649</v>
      </c>
      <c r="G581" s="20" t="s">
        <v>2254</v>
      </c>
      <c r="H581" t="s">
        <v>2255</v>
      </c>
      <c r="I581" s="20" t="s">
        <v>2259</v>
      </c>
      <c r="J581" s="20" t="s">
        <v>76</v>
      </c>
      <c r="K581" s="20" t="s">
        <v>76</v>
      </c>
      <c r="L581" s="20" t="s">
        <v>72</v>
      </c>
      <c r="M581" s="20" t="s">
        <v>72</v>
      </c>
      <c r="N581" s="20" t="s">
        <v>72</v>
      </c>
      <c r="O581" s="20" t="s">
        <v>72</v>
      </c>
      <c r="P581" s="20" t="s">
        <v>72</v>
      </c>
      <c r="Q581" s="20" t="s">
        <v>72</v>
      </c>
      <c r="R581" s="20" t="s">
        <v>72</v>
      </c>
      <c r="S581" s="20" t="s">
        <v>72</v>
      </c>
      <c r="T581" s="20" t="s">
        <v>72</v>
      </c>
      <c r="U581" s="20" t="s">
        <v>72</v>
      </c>
      <c r="V581" s="20" t="s">
        <v>72</v>
      </c>
      <c r="W581" s="20" t="s">
        <v>72</v>
      </c>
      <c r="X581" s="20" t="s">
        <v>72</v>
      </c>
      <c r="Y581" s="20" t="s">
        <v>72</v>
      </c>
      <c r="Z581" s="20" t="s">
        <v>72</v>
      </c>
      <c r="AA581" s="23" t="s">
        <v>91</v>
      </c>
      <c r="AB581" s="24" t="s">
        <v>2650</v>
      </c>
      <c r="AC581" s="25">
        <v>1</v>
      </c>
    </row>
    <row r="582" spans="1:29" ht="15" hidden="1" x14ac:dyDescent="0.2">
      <c r="A582">
        <v>43455918</v>
      </c>
      <c r="B582">
        <v>581</v>
      </c>
      <c r="C582" s="26" t="s">
        <v>1351</v>
      </c>
      <c r="D582" t="s">
        <v>2651</v>
      </c>
      <c r="E582">
        <v>3207488077</v>
      </c>
      <c r="F582" t="s">
        <v>2652</v>
      </c>
      <c r="G582" s="20" t="s">
        <v>2254</v>
      </c>
      <c r="H582" t="s">
        <v>2255</v>
      </c>
      <c r="I582" s="20" t="s">
        <v>2259</v>
      </c>
      <c r="AA582" s="23" t="s">
        <v>1367</v>
      </c>
      <c r="AB582" s="24" t="s">
        <v>2646</v>
      </c>
      <c r="AC582" s="25" t="s">
        <v>2552</v>
      </c>
    </row>
    <row r="583" spans="1:29" ht="15" hidden="1" x14ac:dyDescent="0.2">
      <c r="A583">
        <v>32479953</v>
      </c>
      <c r="B583">
        <v>582</v>
      </c>
      <c r="C583" s="26" t="s">
        <v>1351</v>
      </c>
      <c r="D583" t="s">
        <v>2653</v>
      </c>
      <c r="E583" t="s">
        <v>2654</v>
      </c>
      <c r="F583" t="s">
        <v>2655</v>
      </c>
      <c r="G583" s="20" t="s">
        <v>2254</v>
      </c>
      <c r="H583" t="s">
        <v>2255</v>
      </c>
      <c r="I583" s="20" t="s">
        <v>2259</v>
      </c>
      <c r="AA583" s="23" t="s">
        <v>1367</v>
      </c>
      <c r="AB583" s="24" t="s">
        <v>2656</v>
      </c>
      <c r="AC583" s="25" t="s">
        <v>2552</v>
      </c>
    </row>
    <row r="584" spans="1:29" ht="15" hidden="1" x14ac:dyDescent="0.2">
      <c r="A584">
        <v>1128437636</v>
      </c>
      <c r="B584">
        <v>583</v>
      </c>
      <c r="C584" s="26" t="s">
        <v>1351</v>
      </c>
      <c r="D584" t="s">
        <v>2657</v>
      </c>
      <c r="E584">
        <v>3217530061</v>
      </c>
      <c r="F584" t="s">
        <v>2658</v>
      </c>
      <c r="G584" s="20" t="s">
        <v>2254</v>
      </c>
      <c r="H584" t="s">
        <v>2255</v>
      </c>
      <c r="I584" s="20" t="s">
        <v>2256</v>
      </c>
      <c r="J584" s="20" t="s">
        <v>71</v>
      </c>
      <c r="K584" s="20" t="s">
        <v>71</v>
      </c>
      <c r="L584" s="20" t="s">
        <v>72</v>
      </c>
      <c r="M584" s="20" t="s">
        <v>72</v>
      </c>
      <c r="N584" s="20" t="s">
        <v>72</v>
      </c>
      <c r="O584" s="20" t="s">
        <v>72</v>
      </c>
      <c r="P584" s="20" t="s">
        <v>72</v>
      </c>
      <c r="Q584" s="20" t="s">
        <v>72</v>
      </c>
      <c r="R584" s="20" t="s">
        <v>72</v>
      </c>
      <c r="S584" s="20" t="s">
        <v>72</v>
      </c>
      <c r="T584" s="20" t="s">
        <v>72</v>
      </c>
      <c r="U584" s="20" t="s">
        <v>72</v>
      </c>
      <c r="V584" s="20" t="s">
        <v>72</v>
      </c>
      <c r="W584" s="20" t="s">
        <v>72</v>
      </c>
      <c r="X584" s="20" t="s">
        <v>72</v>
      </c>
      <c r="Y584" s="20" t="s">
        <v>72</v>
      </c>
      <c r="Z584" s="20" t="s">
        <v>72</v>
      </c>
      <c r="AA584" s="23" t="s">
        <v>80</v>
      </c>
      <c r="AB584" s="24" t="s">
        <v>2659</v>
      </c>
      <c r="AC584" s="25">
        <v>2</v>
      </c>
    </row>
    <row r="585" spans="1:29" ht="15" hidden="1" x14ac:dyDescent="0.2">
      <c r="A585">
        <v>32393942</v>
      </c>
      <c r="B585">
        <v>584</v>
      </c>
      <c r="C585" s="26" t="s">
        <v>1351</v>
      </c>
      <c r="D585" t="s">
        <v>2660</v>
      </c>
      <c r="E585">
        <v>3008477036</v>
      </c>
      <c r="F585" t="s">
        <v>2661</v>
      </c>
      <c r="G585" s="20" t="s">
        <v>2254</v>
      </c>
      <c r="H585" t="s">
        <v>2255</v>
      </c>
      <c r="I585" s="20" t="s">
        <v>2259</v>
      </c>
      <c r="J585" s="20" t="s">
        <v>76</v>
      </c>
      <c r="K585" s="20" t="s">
        <v>76</v>
      </c>
      <c r="L585" s="20" t="s">
        <v>71</v>
      </c>
      <c r="M585" s="20" t="s">
        <v>71</v>
      </c>
      <c r="N585" s="20" t="s">
        <v>71</v>
      </c>
      <c r="O585" s="20" t="s">
        <v>71</v>
      </c>
      <c r="P585" s="20" t="s">
        <v>71</v>
      </c>
      <c r="Q585" s="20" t="s">
        <v>71</v>
      </c>
      <c r="R585" s="20" t="s">
        <v>71</v>
      </c>
      <c r="S585" s="20" t="s">
        <v>71</v>
      </c>
      <c r="T585" s="20" t="s">
        <v>71</v>
      </c>
      <c r="U585" s="20" t="s">
        <v>71</v>
      </c>
      <c r="V585" s="20" t="s">
        <v>71</v>
      </c>
      <c r="W585" s="20" t="s">
        <v>71</v>
      </c>
      <c r="X585" s="20" t="s">
        <v>71</v>
      </c>
      <c r="Y585" s="20" t="s">
        <v>71</v>
      </c>
      <c r="Z585" s="20" t="s">
        <v>71</v>
      </c>
      <c r="AA585" s="23" t="s">
        <v>73</v>
      </c>
      <c r="AB585" s="24" t="s">
        <v>2662</v>
      </c>
      <c r="AC585" s="25">
        <v>1</v>
      </c>
    </row>
    <row r="586" spans="1:29" ht="15" hidden="1" x14ac:dyDescent="0.2">
      <c r="A586">
        <v>1020450299</v>
      </c>
      <c r="B586">
        <v>585</v>
      </c>
      <c r="C586" s="26" t="s">
        <v>1351</v>
      </c>
      <c r="D586" t="s">
        <v>2663</v>
      </c>
      <c r="E586">
        <v>3112602144</v>
      </c>
      <c r="F586" t="s">
        <v>2664</v>
      </c>
      <c r="G586" s="20" t="s">
        <v>2254</v>
      </c>
      <c r="H586" t="s">
        <v>2255</v>
      </c>
      <c r="I586" s="20" t="s">
        <v>2259</v>
      </c>
      <c r="AA586" s="23" t="s">
        <v>1367</v>
      </c>
      <c r="AB586" s="24" t="s">
        <v>2646</v>
      </c>
      <c r="AC586" s="25" t="s">
        <v>2552</v>
      </c>
    </row>
    <row r="587" spans="1:29" ht="15" hidden="1" x14ac:dyDescent="0.2">
      <c r="A587">
        <v>43534027</v>
      </c>
      <c r="B587">
        <v>586</v>
      </c>
      <c r="C587" s="26" t="s">
        <v>1351</v>
      </c>
      <c r="D587" t="s">
        <v>2665</v>
      </c>
      <c r="E587">
        <v>3022982188</v>
      </c>
      <c r="F587" t="s">
        <v>2666</v>
      </c>
      <c r="G587" s="20" t="s">
        <v>2254</v>
      </c>
      <c r="H587" t="s">
        <v>2255</v>
      </c>
      <c r="I587" s="20" t="s">
        <v>2259</v>
      </c>
      <c r="AA587" s="23" t="s">
        <v>1367</v>
      </c>
      <c r="AB587" s="24" t="s">
        <v>2646</v>
      </c>
      <c r="AC587" s="25" t="s">
        <v>2552</v>
      </c>
    </row>
    <row r="588" spans="1:29" ht="15" hidden="1" x14ac:dyDescent="0.2">
      <c r="A588">
        <v>71769872</v>
      </c>
      <c r="B588">
        <v>587</v>
      </c>
      <c r="C588" s="26" t="s">
        <v>1351</v>
      </c>
      <c r="D588" t="s">
        <v>2667</v>
      </c>
      <c r="E588">
        <v>3246098376</v>
      </c>
      <c r="F588" t="s">
        <v>2668</v>
      </c>
      <c r="G588" s="20" t="s">
        <v>2254</v>
      </c>
      <c r="H588" t="s">
        <v>2255</v>
      </c>
      <c r="I588" s="20" t="s">
        <v>2256</v>
      </c>
      <c r="J588" s="20" t="s">
        <v>71</v>
      </c>
      <c r="K588" s="20" t="s">
        <v>71</v>
      </c>
      <c r="L588" s="20" t="s">
        <v>72</v>
      </c>
      <c r="M588" s="20" t="s">
        <v>71</v>
      </c>
      <c r="N588" s="20" t="s">
        <v>72</v>
      </c>
      <c r="O588" s="20" t="s">
        <v>72</v>
      </c>
      <c r="P588" s="20" t="s">
        <v>72</v>
      </c>
      <c r="Q588" s="20" t="s">
        <v>72</v>
      </c>
      <c r="R588" s="20" t="s">
        <v>72</v>
      </c>
      <c r="S588" s="20" t="s">
        <v>72</v>
      </c>
      <c r="T588" s="20" t="s">
        <v>72</v>
      </c>
      <c r="U588" s="20" t="s">
        <v>71</v>
      </c>
      <c r="V588" s="20" t="s">
        <v>72</v>
      </c>
      <c r="W588" s="20" t="s">
        <v>72</v>
      </c>
      <c r="X588" s="20" t="s">
        <v>72</v>
      </c>
      <c r="Y588" s="20" t="s">
        <v>72</v>
      </c>
      <c r="Z588" s="20" t="s">
        <v>72</v>
      </c>
      <c r="AA588" s="23" t="s">
        <v>80</v>
      </c>
      <c r="AB588" s="24" t="s">
        <v>2491</v>
      </c>
      <c r="AC588" s="25">
        <v>2</v>
      </c>
    </row>
    <row r="589" spans="1:29" ht="15" hidden="1" x14ac:dyDescent="0.2">
      <c r="A589">
        <v>44002874</v>
      </c>
      <c r="B589">
        <v>588</v>
      </c>
      <c r="C589" s="26" t="s">
        <v>1351</v>
      </c>
      <c r="D589" t="s">
        <v>2669</v>
      </c>
      <c r="E589">
        <v>3014252602</v>
      </c>
      <c r="F589" t="s">
        <v>2670</v>
      </c>
      <c r="G589" s="20" t="s">
        <v>2254</v>
      </c>
      <c r="H589" t="s">
        <v>2255</v>
      </c>
      <c r="I589" s="20" t="s">
        <v>2259</v>
      </c>
      <c r="J589" s="20" t="s">
        <v>71</v>
      </c>
      <c r="K589" s="20" t="s">
        <v>71</v>
      </c>
      <c r="L589" s="20" t="s">
        <v>72</v>
      </c>
      <c r="M589" s="20" t="s">
        <v>71</v>
      </c>
      <c r="N589" s="20" t="s">
        <v>72</v>
      </c>
      <c r="O589" s="20" t="s">
        <v>72</v>
      </c>
      <c r="P589" s="20" t="s">
        <v>72</v>
      </c>
      <c r="Q589" s="20" t="s">
        <v>72</v>
      </c>
      <c r="R589" s="20" t="s">
        <v>72</v>
      </c>
      <c r="S589" s="20" t="s">
        <v>71</v>
      </c>
      <c r="T589" s="20" t="s">
        <v>72</v>
      </c>
      <c r="U589" s="20" t="s">
        <v>71</v>
      </c>
      <c r="V589" s="20" t="s">
        <v>71</v>
      </c>
      <c r="W589" s="20" t="s">
        <v>71</v>
      </c>
      <c r="X589" s="20" t="s">
        <v>71</v>
      </c>
      <c r="Y589" s="20" t="s">
        <v>76</v>
      </c>
      <c r="Z589" s="20" t="s">
        <v>71</v>
      </c>
      <c r="AA589" s="23" t="s">
        <v>256</v>
      </c>
      <c r="AB589" s="24" t="s">
        <v>2491</v>
      </c>
      <c r="AC589" s="25">
        <v>3</v>
      </c>
    </row>
    <row r="590" spans="1:29" ht="15" hidden="1" x14ac:dyDescent="0.2">
      <c r="A590">
        <v>32255078</v>
      </c>
      <c r="B590">
        <v>589</v>
      </c>
      <c r="C590" s="26" t="s">
        <v>1351</v>
      </c>
      <c r="D590" t="s">
        <v>2671</v>
      </c>
      <c r="E590">
        <v>3011963008</v>
      </c>
      <c r="F590" t="s">
        <v>2672</v>
      </c>
      <c r="G590" s="20" t="s">
        <v>2254</v>
      </c>
      <c r="H590" t="s">
        <v>2255</v>
      </c>
      <c r="I590" s="20" t="s">
        <v>2256</v>
      </c>
      <c r="J590" s="20" t="s">
        <v>71</v>
      </c>
      <c r="K590" s="20" t="s">
        <v>71</v>
      </c>
      <c r="L590" s="20" t="s">
        <v>71</v>
      </c>
      <c r="M590" s="20" t="s">
        <v>71</v>
      </c>
      <c r="N590" s="20" t="s">
        <v>71</v>
      </c>
      <c r="O590" s="20" t="s">
        <v>72</v>
      </c>
      <c r="P590" s="20" t="s">
        <v>72</v>
      </c>
      <c r="Q590" s="20" t="s">
        <v>72</v>
      </c>
      <c r="R590" s="20" t="s">
        <v>72</v>
      </c>
      <c r="S590" s="20" t="s">
        <v>72</v>
      </c>
      <c r="T590" s="20" t="s">
        <v>72</v>
      </c>
      <c r="U590" s="20" t="s">
        <v>71</v>
      </c>
      <c r="V590" s="20" t="s">
        <v>72</v>
      </c>
      <c r="W590" s="20" t="s">
        <v>72</v>
      </c>
      <c r="X590" s="20" t="s">
        <v>71</v>
      </c>
      <c r="Y590" s="20" t="s">
        <v>72</v>
      </c>
      <c r="Z590" s="20" t="s">
        <v>76</v>
      </c>
      <c r="AA590" s="23" t="s">
        <v>80</v>
      </c>
      <c r="AB590" s="24" t="s">
        <v>2491</v>
      </c>
      <c r="AC590" s="25">
        <v>2</v>
      </c>
    </row>
    <row r="591" spans="1:29" ht="15" hidden="1" x14ac:dyDescent="0.2">
      <c r="A591">
        <v>1015193737</v>
      </c>
      <c r="B591">
        <v>590</v>
      </c>
      <c r="C591" s="26" t="s">
        <v>1351</v>
      </c>
      <c r="D591" t="s">
        <v>2673</v>
      </c>
      <c r="E591">
        <v>3244312811</v>
      </c>
      <c r="F591" t="s">
        <v>2674</v>
      </c>
      <c r="G591" s="20" t="s">
        <v>2254</v>
      </c>
      <c r="H591" t="s">
        <v>2255</v>
      </c>
      <c r="I591" s="20" t="s">
        <v>2256</v>
      </c>
      <c r="J591" s="20" t="s">
        <v>71</v>
      </c>
      <c r="K591" s="20" t="s">
        <v>71</v>
      </c>
      <c r="L591" s="20" t="s">
        <v>71</v>
      </c>
      <c r="M591" s="20" t="s">
        <v>71</v>
      </c>
      <c r="N591" s="20" t="s">
        <v>72</v>
      </c>
      <c r="O591" s="20" t="s">
        <v>72</v>
      </c>
      <c r="P591" s="20" t="s">
        <v>72</v>
      </c>
      <c r="Q591" s="20" t="s">
        <v>71</v>
      </c>
      <c r="R591" s="20" t="s">
        <v>72</v>
      </c>
      <c r="S591" s="20" t="s">
        <v>71</v>
      </c>
      <c r="T591" s="20" t="s">
        <v>71</v>
      </c>
      <c r="U591" s="20" t="s">
        <v>71</v>
      </c>
      <c r="V591" s="20" t="s">
        <v>71</v>
      </c>
      <c r="W591" s="20" t="s">
        <v>72</v>
      </c>
      <c r="X591" s="20" t="s">
        <v>71</v>
      </c>
      <c r="Y591" s="20" t="s">
        <v>71</v>
      </c>
      <c r="Z591" s="20" t="s">
        <v>71</v>
      </c>
      <c r="AA591" s="23" t="s">
        <v>256</v>
      </c>
      <c r="AB591" s="24" t="s">
        <v>2675</v>
      </c>
      <c r="AC591" s="25">
        <v>3</v>
      </c>
    </row>
    <row r="592" spans="1:29" ht="15" hidden="1" x14ac:dyDescent="0.2">
      <c r="A592">
        <v>22187123</v>
      </c>
      <c r="B592">
        <v>591</v>
      </c>
      <c r="C592" s="26" t="s">
        <v>1351</v>
      </c>
      <c r="D592" t="s">
        <v>2676</v>
      </c>
      <c r="E592">
        <v>3137763374</v>
      </c>
      <c r="F592" t="s">
        <v>2677</v>
      </c>
      <c r="G592" s="20" t="s">
        <v>2254</v>
      </c>
      <c r="H592" t="s">
        <v>2255</v>
      </c>
      <c r="I592" s="20" t="s">
        <v>2259</v>
      </c>
      <c r="J592" s="20" t="s">
        <v>72</v>
      </c>
      <c r="K592" s="20" t="s">
        <v>72</v>
      </c>
      <c r="L592" s="20" t="s">
        <v>72</v>
      </c>
      <c r="M592" s="20" t="s">
        <v>76</v>
      </c>
      <c r="N592" s="20" t="s">
        <v>72</v>
      </c>
      <c r="O592" s="20" t="s">
        <v>72</v>
      </c>
      <c r="P592" s="20" t="s">
        <v>72</v>
      </c>
      <c r="Q592" s="20" t="s">
        <v>72</v>
      </c>
      <c r="R592" s="20" t="s">
        <v>72</v>
      </c>
      <c r="S592" s="20" t="s">
        <v>72</v>
      </c>
      <c r="T592" s="20" t="s">
        <v>72</v>
      </c>
      <c r="U592" s="20" t="s">
        <v>72</v>
      </c>
      <c r="V592" s="20" t="s">
        <v>72</v>
      </c>
      <c r="W592" s="20" t="s">
        <v>72</v>
      </c>
      <c r="X592" s="20" t="s">
        <v>72</v>
      </c>
      <c r="Y592" s="20" t="s">
        <v>72</v>
      </c>
      <c r="Z592" s="20" t="s">
        <v>72</v>
      </c>
      <c r="AA592" s="23" t="s">
        <v>2678</v>
      </c>
      <c r="AB592" s="24" t="s">
        <v>2491</v>
      </c>
      <c r="AC592" s="25">
        <v>1</v>
      </c>
    </row>
    <row r="593" spans="1:29" ht="15" hidden="1" x14ac:dyDescent="0.2">
      <c r="A593">
        <v>32430020</v>
      </c>
      <c r="B593">
        <v>592</v>
      </c>
      <c r="C593" s="26" t="s">
        <v>1351</v>
      </c>
      <c r="D593" t="s">
        <v>2679</v>
      </c>
      <c r="E593">
        <v>3137857915</v>
      </c>
      <c r="F593" t="s">
        <v>2680</v>
      </c>
      <c r="G593" s="20" t="s">
        <v>2254</v>
      </c>
      <c r="H593" t="s">
        <v>2255</v>
      </c>
      <c r="I593" s="20" t="s">
        <v>2259</v>
      </c>
      <c r="J593" s="20" t="s">
        <v>71</v>
      </c>
      <c r="K593" s="20" t="s">
        <v>71</v>
      </c>
      <c r="L593" s="20" t="s">
        <v>72</v>
      </c>
      <c r="M593" s="20" t="s">
        <v>76</v>
      </c>
      <c r="N593" s="20" t="s">
        <v>72</v>
      </c>
      <c r="O593" s="20" t="s">
        <v>72</v>
      </c>
      <c r="P593" s="20" t="s">
        <v>72</v>
      </c>
      <c r="Q593" s="20" t="s">
        <v>72</v>
      </c>
      <c r="R593" s="20" t="s">
        <v>72</v>
      </c>
      <c r="S593" s="20" t="s">
        <v>72</v>
      </c>
      <c r="T593" s="20" t="s">
        <v>72</v>
      </c>
      <c r="U593" s="20" t="s">
        <v>72</v>
      </c>
      <c r="V593" s="20" t="s">
        <v>72</v>
      </c>
      <c r="W593" s="20" t="s">
        <v>72</v>
      </c>
      <c r="X593" s="20" t="s">
        <v>72</v>
      </c>
      <c r="Y593" s="20" t="s">
        <v>72</v>
      </c>
      <c r="Z593" s="20" t="s">
        <v>72</v>
      </c>
      <c r="AA593" s="23" t="s">
        <v>2681</v>
      </c>
      <c r="AB593" s="24" t="s">
        <v>2682</v>
      </c>
      <c r="AC593" s="25">
        <v>2</v>
      </c>
    </row>
    <row r="594" spans="1:29" ht="15" hidden="1" x14ac:dyDescent="0.2">
      <c r="A594">
        <v>43558865</v>
      </c>
      <c r="B594">
        <v>593</v>
      </c>
      <c r="C594" s="26" t="s">
        <v>1351</v>
      </c>
      <c r="D594" t="s">
        <v>2683</v>
      </c>
      <c r="E594">
        <v>3193415237</v>
      </c>
      <c r="F594" t="s">
        <v>2684</v>
      </c>
      <c r="G594" s="20" t="s">
        <v>2254</v>
      </c>
      <c r="H594" t="s">
        <v>2255</v>
      </c>
      <c r="I594" s="20" t="s">
        <v>2259</v>
      </c>
      <c r="AA594" s="23" t="s">
        <v>1367</v>
      </c>
      <c r="AB594" s="24" t="s">
        <v>2646</v>
      </c>
      <c r="AC594" s="25" t="s">
        <v>2552</v>
      </c>
    </row>
    <row r="595" spans="1:29" ht="15" hidden="1" x14ac:dyDescent="0.2">
      <c r="A595">
        <v>32521000</v>
      </c>
      <c r="B595">
        <v>594</v>
      </c>
      <c r="C595" s="26" t="s">
        <v>1351</v>
      </c>
      <c r="D595" t="s">
        <v>2685</v>
      </c>
      <c r="E595">
        <v>3146153009</v>
      </c>
      <c r="F595" t="s">
        <v>2686</v>
      </c>
      <c r="G595" s="20" t="s">
        <v>2254</v>
      </c>
      <c r="H595" t="s">
        <v>2255</v>
      </c>
      <c r="I595" s="20" t="s">
        <v>2259</v>
      </c>
      <c r="AA595" s="23" t="s">
        <v>1367</v>
      </c>
      <c r="AB595" s="24" t="s">
        <v>2646</v>
      </c>
      <c r="AC595" s="25" t="s">
        <v>2552</v>
      </c>
    </row>
    <row r="596" spans="1:29" ht="15" hidden="1" x14ac:dyDescent="0.2">
      <c r="A596">
        <v>32465235</v>
      </c>
      <c r="B596">
        <v>595</v>
      </c>
      <c r="C596" s="26" t="s">
        <v>1351</v>
      </c>
      <c r="D596" t="s">
        <v>1388</v>
      </c>
      <c r="E596">
        <v>3023940415</v>
      </c>
      <c r="F596" t="s">
        <v>2687</v>
      </c>
      <c r="G596" s="20" t="s">
        <v>2254</v>
      </c>
      <c r="H596" t="s">
        <v>2255</v>
      </c>
      <c r="I596" s="20" t="s">
        <v>2259</v>
      </c>
      <c r="AA596" s="23" t="s">
        <v>1367</v>
      </c>
      <c r="AB596" s="24" t="s">
        <v>2646</v>
      </c>
      <c r="AC596" s="25" t="s">
        <v>2552</v>
      </c>
    </row>
    <row r="597" spans="1:29" ht="15" hidden="1" x14ac:dyDescent="0.2">
      <c r="A597">
        <v>21499811</v>
      </c>
      <c r="B597">
        <v>596</v>
      </c>
      <c r="C597" s="26" t="s">
        <v>1351</v>
      </c>
      <c r="D597" t="s">
        <v>2688</v>
      </c>
      <c r="E597">
        <v>3126438819</v>
      </c>
      <c r="F597" t="s">
        <v>2689</v>
      </c>
      <c r="G597" s="20" t="s">
        <v>2254</v>
      </c>
      <c r="H597" t="s">
        <v>2255</v>
      </c>
      <c r="I597" s="20" t="s">
        <v>2259</v>
      </c>
      <c r="J597" s="20" t="s">
        <v>2690</v>
      </c>
      <c r="K597" s="20" t="s">
        <v>2690</v>
      </c>
      <c r="L597" s="20" t="s">
        <v>72</v>
      </c>
      <c r="M597" s="20" t="s">
        <v>71</v>
      </c>
      <c r="N597" s="20" t="s">
        <v>2691</v>
      </c>
      <c r="O597" s="20" t="s">
        <v>72</v>
      </c>
      <c r="P597" s="20" t="s">
        <v>2692</v>
      </c>
      <c r="Q597" s="20" t="s">
        <v>2692</v>
      </c>
      <c r="R597" s="20" t="s">
        <v>72</v>
      </c>
      <c r="S597" s="20" t="s">
        <v>2692</v>
      </c>
      <c r="T597" s="20" t="s">
        <v>2692</v>
      </c>
      <c r="U597" s="20" t="s">
        <v>2693</v>
      </c>
      <c r="V597" s="20" t="s">
        <v>71</v>
      </c>
      <c r="W597" s="20" t="s">
        <v>71</v>
      </c>
      <c r="X597" s="20" t="s">
        <v>2693</v>
      </c>
      <c r="Y597" s="20" t="s">
        <v>2693</v>
      </c>
      <c r="Z597" s="20" t="s">
        <v>71</v>
      </c>
      <c r="AA597" s="23" t="s">
        <v>2694</v>
      </c>
      <c r="AB597" s="24" t="s">
        <v>2695</v>
      </c>
      <c r="AC597" s="25">
        <v>1</v>
      </c>
    </row>
    <row r="598" spans="1:29" ht="15" hidden="1" x14ac:dyDescent="0.2">
      <c r="A598">
        <v>32323288</v>
      </c>
      <c r="B598">
        <v>597</v>
      </c>
      <c r="C598" s="26" t="s">
        <v>1351</v>
      </c>
      <c r="D598" t="s">
        <v>1543</v>
      </c>
      <c r="E598">
        <v>3101257745</v>
      </c>
      <c r="F598" t="s">
        <v>2696</v>
      </c>
      <c r="G598" s="20" t="s">
        <v>2254</v>
      </c>
      <c r="H598" t="s">
        <v>2255</v>
      </c>
      <c r="I598" s="20" t="s">
        <v>2259</v>
      </c>
      <c r="J598" s="20" t="s">
        <v>71</v>
      </c>
      <c r="K598" s="20" t="s">
        <v>71</v>
      </c>
      <c r="L598" s="20" t="s">
        <v>72</v>
      </c>
      <c r="M598" s="20" t="s">
        <v>71</v>
      </c>
      <c r="N598" s="20" t="s">
        <v>76</v>
      </c>
      <c r="O598" s="20" t="s">
        <v>72</v>
      </c>
      <c r="P598" s="20" t="s">
        <v>2692</v>
      </c>
      <c r="Q598" s="20" t="s">
        <v>2692</v>
      </c>
      <c r="R598" s="20" t="s">
        <v>72</v>
      </c>
      <c r="S598" s="20" t="s">
        <v>2692</v>
      </c>
      <c r="T598" s="20" t="s">
        <v>2692</v>
      </c>
      <c r="U598" s="20" t="s">
        <v>2693</v>
      </c>
      <c r="V598" s="20" t="s">
        <v>71</v>
      </c>
      <c r="W598" s="20" t="s">
        <v>2692</v>
      </c>
      <c r="X598" s="20" t="s">
        <v>2692</v>
      </c>
      <c r="Y598" s="20" t="s">
        <v>2692</v>
      </c>
      <c r="Z598" s="20" t="s">
        <v>2692</v>
      </c>
      <c r="AA598" s="23" t="s">
        <v>2681</v>
      </c>
      <c r="AB598" s="24" t="s">
        <v>2491</v>
      </c>
      <c r="AC598" s="25">
        <v>2</v>
      </c>
    </row>
    <row r="599" spans="1:29" ht="15" hidden="1" x14ac:dyDescent="0.2">
      <c r="A599">
        <v>32342765</v>
      </c>
      <c r="B599">
        <v>598</v>
      </c>
      <c r="C599" s="26" t="s">
        <v>1351</v>
      </c>
      <c r="D599" t="s">
        <v>2697</v>
      </c>
      <c r="E599">
        <v>3105178435</v>
      </c>
      <c r="F599" t="s">
        <v>2698</v>
      </c>
      <c r="G599" s="20" t="s">
        <v>2254</v>
      </c>
      <c r="H599" t="s">
        <v>2255</v>
      </c>
      <c r="I599" s="20" t="s">
        <v>2259</v>
      </c>
      <c r="J599" s="20" t="s">
        <v>2690</v>
      </c>
      <c r="K599" s="20" t="s">
        <v>2690</v>
      </c>
      <c r="L599" s="20" t="s">
        <v>72</v>
      </c>
      <c r="M599" s="20" t="s">
        <v>71</v>
      </c>
      <c r="N599" s="20" t="s">
        <v>2692</v>
      </c>
      <c r="O599" s="20" t="s">
        <v>72</v>
      </c>
      <c r="P599" s="20" t="s">
        <v>2692</v>
      </c>
      <c r="Q599" s="20" t="s">
        <v>2692</v>
      </c>
      <c r="R599" s="20" t="s">
        <v>72</v>
      </c>
      <c r="S599" s="20" t="s">
        <v>2692</v>
      </c>
      <c r="T599" s="20" t="s">
        <v>2692</v>
      </c>
      <c r="U599" s="20" t="s">
        <v>72</v>
      </c>
      <c r="V599" s="20" t="s">
        <v>2692</v>
      </c>
      <c r="W599" s="20" t="s">
        <v>2692</v>
      </c>
      <c r="X599" s="20" t="s">
        <v>2692</v>
      </c>
      <c r="Y599" s="20" t="s">
        <v>2692</v>
      </c>
      <c r="Z599" s="20" t="s">
        <v>2692</v>
      </c>
      <c r="AA599" s="23" t="s">
        <v>2681</v>
      </c>
      <c r="AB599" s="24" t="s">
        <v>2699</v>
      </c>
      <c r="AC599" s="25">
        <v>2</v>
      </c>
    </row>
    <row r="600" spans="1:29" ht="15" hidden="1" x14ac:dyDescent="0.2">
      <c r="A600">
        <v>71697945</v>
      </c>
      <c r="B600">
        <v>599</v>
      </c>
      <c r="C600" s="26" t="s">
        <v>1351</v>
      </c>
      <c r="D600" t="s">
        <v>2700</v>
      </c>
      <c r="E600">
        <v>3146313499</v>
      </c>
      <c r="F600" t="s">
        <v>2701</v>
      </c>
      <c r="G600" s="20" t="s">
        <v>2254</v>
      </c>
      <c r="H600" t="s">
        <v>2255</v>
      </c>
      <c r="I600" s="20" t="s">
        <v>2259</v>
      </c>
      <c r="J600" s="20" t="s">
        <v>71</v>
      </c>
      <c r="K600" s="20" t="s">
        <v>71</v>
      </c>
      <c r="L600" s="20" t="s">
        <v>72</v>
      </c>
      <c r="M600" s="20" t="s">
        <v>71</v>
      </c>
      <c r="N600" s="20" t="s">
        <v>2702</v>
      </c>
      <c r="O600" s="20" t="s">
        <v>72</v>
      </c>
      <c r="P600" s="20" t="s">
        <v>2692</v>
      </c>
      <c r="Q600" s="20" t="s">
        <v>2692</v>
      </c>
      <c r="R600" s="20" t="s">
        <v>72</v>
      </c>
      <c r="S600" s="20" t="s">
        <v>2692</v>
      </c>
      <c r="T600" s="20" t="s">
        <v>2692</v>
      </c>
      <c r="U600" s="20" t="s">
        <v>2693</v>
      </c>
      <c r="V600" s="20" t="s">
        <v>2692</v>
      </c>
      <c r="W600" s="20" t="s">
        <v>2692</v>
      </c>
      <c r="X600" s="20" t="s">
        <v>2692</v>
      </c>
      <c r="Y600" s="20" t="s">
        <v>2692</v>
      </c>
      <c r="Z600" s="20" t="s">
        <v>2692</v>
      </c>
      <c r="AA600" s="23" t="s">
        <v>2681</v>
      </c>
      <c r="AB600" s="24" t="s">
        <v>2703</v>
      </c>
      <c r="AC600" s="25">
        <v>2</v>
      </c>
    </row>
  </sheetData>
  <autoFilter ref="A1:AC600" xr:uid="{8CB9D368-9AA3-493E-A610-953FDCE22536}">
    <filterColumn colId="7">
      <filters>
        <filter val="Cali"/>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Relacion de formatos</vt:lpstr>
      <vt:lpstr>Formato 1 Barranquilla</vt:lpstr>
      <vt:lpstr>Formato 2  Cali</vt:lpstr>
      <vt:lpstr>Hoja2</vt:lpstr>
      <vt:lpstr>Fromato 3 Medellín</vt:lpstr>
      <vt:lpstr>Formato 4 (Control)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Daniela Mejia Tejada</dc:creator>
  <cp:keywords/>
  <dc:description/>
  <cp:lastModifiedBy>Juan Carlos Muñoz Mora</cp:lastModifiedBy>
  <cp:revision/>
  <dcterms:created xsi:type="dcterms:W3CDTF">2024-03-01T15:14:51Z</dcterms:created>
  <dcterms:modified xsi:type="dcterms:W3CDTF">2024-06-28T11:44:20Z</dcterms:modified>
  <cp:category/>
  <cp:contentStatus/>
</cp:coreProperties>
</file>